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Validation" sheetId="2" state="visible" r:id="rId4"/>
    <sheet name="Read Me" sheetId="3" state="visible" r:id="rId5"/>
  </sheets>
  <definedNames>
    <definedName function="false" hidden="true" localSheetId="1" name="_xlnm._FilterDatabase" vbProcedure="false">Validation!$A$1:$I$71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<sst xmlns="http://schemas.openxmlformats.org/spreadsheetml/2006/main" count="302" uniqueCount="159">
  <si>
    <t xml:space="preserve">Company</t>
  </si>
  <si>
    <t xml:space="preserve">Role</t>
  </si>
  <si>
    <t xml:space="preserve">Application Link</t>
  </si>
  <si>
    <t xml:space="preserve">Tailored JPMC Bullets (5)</t>
  </si>
  <si>
    <t xml:space="preserve">Avg Score (/10)</t>
  </si>
  <si>
    <t xml:space="preserve">Eligibility / Fit Note</t>
  </si>
  <si>
    <t xml:space="preserve">Amazon (Twitch)</t>
  </si>
  <si>
    <t xml:space="preserve">Software Engineer I (Seattle)</t>
  </si>
  <si>
    <t xml:space="preserve">https://www.amazon.jobs/en/jobs/3141336/software-engineer-i</t>
  </si>
  <si>
    <t xml:space="preserve">• Owned [N] backend microservices in JPMC's [payments] platform (Java/Spring, AWS), serving [X]M requests/day at [99.9]% availability.
• Cut p99 latency on [service] from [X]ms to [Y]ms by adding a caching layer and rewriting [N] hot SQL queries.
• Built a CI/CD pipeline with automated integration tests, shrinking release cycle from [X] days to [Y] hours and reducing rollbacks by [Z]%.
• Led on-call triage for [team]; wrote runbooks and dashboards that lowered mean-time-to-resolve by [X]%.
• Adopted AI coding assistants and prompt-driven test generation, lifting unit-test coverage from [X]% to [Y]% in [Z] weeks.</t>
  </si>
  <si>
    <t xml:space="preserve">Asks ~1+ yr professional experience; good YOE match.</t>
  </si>
  <si>
    <t xml:space="preserve">Amazon</t>
  </si>
  <si>
    <t xml:space="preserve">Software Engineer I, Payments</t>
  </si>
  <si>
    <t xml:space="preserve">https://www.amazon.jobs/en/jobs/10502486/software-engineer-i-payments</t>
  </si>
  <si>
    <t xml:space="preserve">• Built and shipped [N] features in JPMC's payment-processing stack handling $[X]M/day, with zero Sev-1 incidents post-launch.
• Designed idempotent retry logic for [payment/settlement] flows, eliminating [X] duplicate-transaction cases per month.
• Migrated [N] legacy batch jobs to event-driven services (Kafka), cutting end-to-end processing time by [X]%.
• Added audit logging and reconciliation checks that surfaced [N] data mismatches before reaching customers.
• Built an LLM-assisted triage script that classifies failed-payment tickets, saving the team ~[X] hrs/week.</t>
  </si>
  <si>
    <t xml:space="preserve">SDE I band; ~0-2 yrs fits. Payments domain overlaps with JPMC.</t>
  </si>
  <si>
    <t xml:space="preserve">Mastercard</t>
  </si>
  <si>
    <t xml:space="preserve">Software Engineer I (O'Fallon, MO)</t>
  </si>
  <si>
    <t xml:space="preserve">https://careers.mastercard.com/us/en/job/R-292618/Software-Engineer-I</t>
  </si>
  <si>
    <t xml:space="preserve">• Developed and maintained [N] Java services in a high-volume [transaction] pipeline processing [X]M events/day.
• Reduced build-and-deploy time by [X]% by containerizing [N] services and automating tests in a Jenkins/GitHub Actions pipeline.
• Hardened [N] APIs against OWASP top-10 findings, closing [X] security-scan issues ahead of audit deadline.
• Partnered with QA and product to ship [feature] to [N] internal users on schedule, [X] sprints ahead of plan.
• Used AI coding tools to accelerate refactors and documentation, cutting onboarding time for new teammates by [X]%.</t>
  </si>
  <si>
    <t xml:space="preserve">Entry-level band ($72K-$115K); you're at/above level.</t>
  </si>
  <si>
    <t xml:space="preserve">Addepar</t>
  </si>
  <si>
    <t xml:space="preserve">Software Engineer, Full Stack - Alts &amp; Data Management</t>
  </si>
  <si>
    <t xml:space="preserve">https://job-boards.greenhouse.io/addepar1/jobs/8538666002</t>
  </si>
  <si>
    <t xml:space="preserve">• Built full-stack features (React/TypeScript + Java/Python APIs) for [wealth/portfolio] workflows used by [N]+ internal users.
• Designed a data-ingestion pipeline normalizing [N] sources into a unified schema, cutting manual reconciliation by [X] hrs/week.
• Improved dashboard load time from [X]s to [Y]s via query optimization and pagination on [N]M-row datasets.
• Wrote [N] integration tests and data-validation checks, catching [X] bad-data cases before they hit client-facing reports.
• Prototyped an LLM feature for natural-language querying of [portfolio] data, with an eval set measuring [X]% accuracy.</t>
  </si>
  <si>
    <t xml:space="preserve">Requires 2+ yrs full stack OR 1+ yr each FE/BE; you're borderline, so stress both layers.</t>
  </si>
  <si>
    <t xml:space="preserve">Software Engineer, Fullstack</t>
  </si>
  <si>
    <t xml:space="preserve">https://job-boards.greenhouse.io/addepar1/jobs/8606946002</t>
  </si>
  <si>
    <t xml:space="preserve">• Shipped [N] customer-facing features end-to-end (React, REST APIs, Postgres) in [X]-week cycles at JPMC.
• Refactored [module] to remove [X]% duplicated logic, speeding feature delivery for [N] teammates.
• Introduced typed API contracts (OpenAPI) reducing FE/BE integration bugs by [X]%.
• Owned a [financial-data] feature from design doc through production rollout with feature flags and monitoring.
• Integrated AI assistants into dev workflow and shared prompt patterns with [N] teammates, improving PR throughput by [X]%.</t>
  </si>
  <si>
    <t xml:space="preserve">Check posting for exact YOE bar before applying.</t>
  </si>
  <si>
    <t xml:space="preserve">Rescale</t>
  </si>
  <si>
    <t xml:space="preserve">Software Engineer, Full Stack - AI &amp; Data</t>
  </si>
  <si>
    <t xml:space="preserve">https://jobs.ashbyhq.com/rescale/fdba3410-d255-4879-9a6e-bed488b4a1fc</t>
  </si>
  <si>
    <t xml:space="preserve">• Built distributed backend services on AWS ([ECS/Lambda]) processing [X]TB/day, with autoscaling that cut compute cost [Y]%.
• Designed async job-orchestration (queues + retries + dead-letter) lifting job success rate from [X]% to [Y]%.
• Created observability dashboards and alerts (Datadog/Grafana) that reduced incident detection time from [X] to [Y] min.
• Built an LLM-powered agent that [summarizes logs/triages failures], resolving [X]% of cases without human escalation.
• Wrote Python tooling and Terraform modules adopted by [N] teams, standardizing [X] deployments.</t>
  </si>
  <si>
    <t xml:space="preserve">Posting cites 1-3 yrs backend/distributed systems on a major cloud + LLM/agent exposure.</t>
  </si>
  <si>
    <t xml:space="preserve">Affirm</t>
  </si>
  <si>
    <t xml:space="preserve">Software Engineer, Early Career (NYC)</t>
  </si>
  <si>
    <t xml:space="preserve">https://job-boards.greenhouse.io/affirm/jobs/8008649003</t>
  </si>
  <si>
    <t xml:space="preserve">• Developed [N] backend services in [Java/Python] powering [lending/payments] flows with $[X]M monthly volume.
• Added risk/validation rules cutting [fraud/error] cases by [X]% while holding false-positive rate under [Y]%.
• Improved service reliability from [X]% to [Y]% uptime via circuit breakers, retries, and load testing.
• Built internal tooling that automated [manual process], saving ~[X] eng-hours per month.
• Used LLM-based tooling to generate test fixtures and summarize incidents, shortening postmortems by [X]%.</t>
  </si>
  <si>
    <t xml:space="preserve">Older Greenhouse ID, so confirm it's still open (Affirm early-career reposts often).</t>
  </si>
  <si>
    <t xml:space="preserve">Palantir</t>
  </si>
  <si>
    <t xml:space="preserve">Forward Deployed Software Engineer, New Grad - Commercial</t>
  </si>
  <si>
    <t xml:space="preserve">https://jobs.lever.co/palantir/e500bcf3-19d8-4d3c-b340-4d76e4a55b40</t>
  </si>
  <si>
    <t xml:space="preserve">• Embedded with [business/ops] stakeholders to scope and deliver [N] data tools, adopted by [X] users within [Y] weeks.
• Built end-to-end data pipelines and dashboards consolidating [N] systems, replacing a [X]-hr manual reporting process.
• Translated ambiguous requirements into shipped solutions across [N] workstreams, presenting results to senior stakeholders.
• Debugged production data issues across systems, cutting recurring incident volume by [X]%.
• Prototyped LLM workflows for [document/ticket] processing with human-in-loop review, reaching [X]% accuracy.</t>
  </si>
  <si>
    <t xml:space="preserve">New-grad track; may require recent-grad status. Check eligibility.</t>
  </si>
  <si>
    <t xml:space="preserve">Harvey</t>
  </si>
  <si>
    <t xml:space="preserve">Software Engineer, New Grad (2027)</t>
  </si>
  <si>
    <t xml:space="preserve">https://jobs.ashbyhq.com/harvey/4d8dc9ba-eb86-4d88-af7d-65d2fdaf3fdc</t>
  </si>
  <si>
    <t xml:space="preserve">• Shipped [N] production features in a regulated environment, with compliance and audit requirements baked into design.
• Built a document-processing pipeline for [N]K files/month with [X]% extraction accuracy and full traceability.
• Created an LLM evaluation harness (golden sets + regression checks) preventing [X] quality regressions before release.
• Used AI coding agents daily to ship [X]% faster; wrote team guidelines on review and testing of AI-generated code.
• Collaborated with legal/compliance stakeholders to turn [policy] into [N] automated checks.</t>
  </si>
  <si>
    <t xml:space="preserve">2027 new-grad cohort; likely requires upcoming graduation. Long shot at your YOE.</t>
  </si>
  <si>
    <t xml:space="preserve">Replit</t>
  </si>
  <si>
    <t xml:space="preserve">Software Engineer - New Grad (2027)</t>
  </si>
  <si>
    <t xml:space="preserve">https://jobs.ashbyhq.com/replit/b5e81eae-06f9-4798-8988-2d06ca936dbc</t>
  </si>
  <si>
    <t xml:space="preserve">• Built [developer-facing tool] used by [N] engineers, cutting [task] time from [X] to [Y] minutes.
• Shipped [N] features end-to-end (TypeScript/React + Python) with weekly releases and measurable adoption of [X]%.
• Built AI-assisted workflows (codegen, test generation, PR summaries) adopted by [N] teammates, saving ~[X] hrs/week.
• Open-sourced / internally documented [tool] with README, examples, and [N] adopters.
• Debugged and fixed [N] production issues across the stack, improving [metric] by [X]%.</t>
  </si>
  <si>
    <t xml:space="preserve">2027 new-grad cohort; likely requires upcoming graduation. Long shot.</t>
  </si>
  <si>
    <t xml:space="preserve">Cursor (Anysphere)</t>
  </si>
  <si>
    <t xml:space="preserve">Software Engineer, New Grad 2027</t>
  </si>
  <si>
    <t xml:space="preserve">https://jobs.ashbyhq.com/cursor/d0e5b41d-84ab-4887-bd3a-55589b11dd7b</t>
  </si>
  <si>
    <t xml:space="preserve">• Shipped [N] production features using AI coding agents as primary workflow, delivering [X]% more PRs per sprint.
• Built a prompt/eval pipeline testing LLM outputs on [N] cases, catching [X] regressions before release.
• Reduced [service] p99 latency by [X]% through profiling and algorithmic changes in [language].
• Built internal developer tooling (CLI/VS Code extension) used by [N] engineers.
• Own end-to-end quality: wrote [N] tests, added telemetry, and monitored rollout of every feature shipped.</t>
  </si>
  <si>
    <t xml:space="preserve">Wants Spring 2027 grads + an open/reviewable shipped project. Long shot; side-project link helps.</t>
  </si>
  <si>
    <t xml:space="preserve">Notion</t>
  </si>
  <si>
    <t xml:space="preserve">Software Engineer, New Grad (Dec 2026)</t>
  </si>
  <si>
    <t xml:space="preserve">https://jobs.ashbyhq.com/notion/e32799d2-8ef8-4803-8189-c72514afa816</t>
  </si>
  <si>
    <t xml:space="preserve">• Built user-facing features in React/TypeScript for [N] internal users with [X]% adoption in first [Y] weeks.
• Improved page/UI render performance by [X]% through memoization, lazy loading, and query batching.
• Ran experiments and instrumented funnels to inform [N] product decisions, lifting [metric] by [X]%.
• Used AI assistants for scaffolding and test generation, documenting prompt patterns shared with [N] teammates.
• Collaborated with design and PM to ship [feature] from spec to launch in [X] weeks.</t>
  </si>
  <si>
    <t xml:space="preserve">Requires graduating by Dec 2026 and prior internship. Likely ineligible; apply only if flexible.</t>
  </si>
  <si>
    <t xml:space="preserve">Whatnot</t>
  </si>
  <si>
    <t xml:space="preserve">Software Engineer, 2027 New Grad</t>
  </si>
  <si>
    <t xml:space="preserve">https://jobs.ashbyhq.com/whatnot/29bad846-de60-4be7-a222-69b97e044930</t>
  </si>
  <si>
    <t xml:space="preserve">• Built real-time [event/notification] services handling [X]K events/sec with sub-[Y]ms delivery.
• Cut checkout/transaction failure rate from [X]% to [Y]% via retry logic and improved error handling.
• Shipped [N] features end-to-end in 2-week sprints, owning design, rollout, and post-launch metrics.
• Added fraud/abuse checks blocking [X] suspicious transactions per month.
• Leveraged AI coding tools to cut feature cycle time by [X]%; built LLM script for [support/ops] triage.</t>
  </si>
  <si>
    <t xml:space="preserve">Summer 2027 degree expected; likely ineligible by date. Marketplace/real-time angle.</t>
  </si>
  <si>
    <t xml:space="preserve">Zip</t>
  </si>
  <si>
    <t xml:space="preserve">Software Engineer, New Grad (2027 Start)</t>
  </si>
  <si>
    <t xml:space="preserve">https://jobs.ashbyhq.com/zip/df6eb1ee-b360-46fe-b23f-658626ec59ea/application</t>
  </si>
  <si>
    <t xml:space="preserve">• Built workflow/approval features for [financial process] used by [N] users, automating [X]% of manual steps.
• Integrated [N] third-party/internal systems via REST/event APIs, with schema validation and error handling.
• Reduced approval-cycle time from [X] days to [Y] by redesigning [workflow] and adding notifications.
• Added role-based access controls and audit trails meeting [compliance] requirements across [N] services.
• Prototyped an LLM agent to [extract/classify invoices or requests], hitting [X]% accuracy vs. manual baseline.</t>
  </si>
  <si>
    <t xml:space="preserve">Asks for Dec 2026-Jun 2027 graduation. Likely ineligible; procurement/fintech overlap with JPMC.</t>
  </si>
  <si>
    <t xml:space="preserve">Bullet #</t>
  </si>
  <si>
    <t xml:space="preserve">Bullet</t>
  </si>
  <si>
    <t xml:space="preserve">Concise &amp; Punchy (/10)</t>
  </si>
  <si>
    <t xml:space="preserve">Overall Impact (/10)</t>
  </si>
  <si>
    <t xml:space="preserve">Realistic for ~1 YOE (/10)</t>
  </si>
  <si>
    <t xml:space="preserve">AI-Native Fluency (/10)</t>
  </si>
  <si>
    <t xml:space="preserve">Average (/10)</t>
  </si>
  <si>
    <t xml:space="preserve">Owned [N] backend microservices in JPMC's [payments] platform (Java/Spring, AWS), serving [X]M requests/day at [99.9]% availability.</t>
  </si>
  <si>
    <t xml:space="preserve">Cut p99 latency on [service] from [X]ms to [Y]ms by adding a caching layer and rewriting [N] hot SQL queries.</t>
  </si>
  <si>
    <t xml:space="preserve">Built a CI/CD pipeline with automated integration tests, shrinking release cycle from [X] days to [Y] hours and reducing rollbacks by [Z]%.</t>
  </si>
  <si>
    <t xml:space="preserve">Led on-call triage for [team]; wrote runbooks and dashboards that lowered mean-time-to-resolve by [X]%.</t>
  </si>
  <si>
    <t xml:space="preserve">Adopted AI coding assistants and prompt-driven test generation, lifting unit-test coverage from [X]% to [Y]% in [Z] weeks.</t>
  </si>
  <si>
    <t xml:space="preserve">Built and shipped [N] features in JPMC's payment-processing stack handling $[X]M/day, with zero Sev-1 incidents post-launch.</t>
  </si>
  <si>
    <t xml:space="preserve">Designed idempotent retry logic for [payment/settlement] flows, eliminating [X] duplicate-transaction cases per month.</t>
  </si>
  <si>
    <t xml:space="preserve">Migrated [N] legacy batch jobs to event-driven services (Kafka), cutting end-to-end processing time by [X]%.</t>
  </si>
  <si>
    <t xml:space="preserve">Added audit logging and reconciliation checks that surfaced [N] data mismatches before reaching customers.</t>
  </si>
  <si>
    <t xml:space="preserve">Built an LLM-assisted triage script that classifies failed-payment tickets, saving the team ~[X] hrs/week.</t>
  </si>
  <si>
    <t xml:space="preserve">Developed and maintained [N] Java services in a high-volume [transaction] pipeline processing [X]M events/day.</t>
  </si>
  <si>
    <t xml:space="preserve">Reduced build-and-deploy time by [X]% by containerizing [N] services and automating tests in a Jenkins/GitHub Actions pipeline.</t>
  </si>
  <si>
    <t xml:space="preserve">Hardened [N] APIs against OWASP top-10 findings, closing [X] security-scan issues ahead of audit deadline.</t>
  </si>
  <si>
    <t xml:space="preserve">Partnered with QA and product to ship [feature] to [N] internal users on schedule, [X] sprints ahead of plan.</t>
  </si>
  <si>
    <t xml:space="preserve">Used AI coding tools to accelerate refactors and documentation, cutting onboarding time for new teammates by [X]%.</t>
  </si>
  <si>
    <t xml:space="preserve">Built full-stack features (React/TypeScript + Java/Python APIs) for [wealth/portfolio] workflows used by [N]+ internal users.</t>
  </si>
  <si>
    <t xml:space="preserve">Designed a data-ingestion pipeline normalizing [N] sources into a unified schema, cutting manual reconciliation by [X] hrs/week.</t>
  </si>
  <si>
    <t xml:space="preserve">Improved dashboard load time from [X]s to [Y]s via query optimization and pagination on [N]M-row datasets.</t>
  </si>
  <si>
    <t xml:space="preserve">Wrote [N] integration tests and data-validation checks, catching [X] bad-data cases before they hit client-facing reports.</t>
  </si>
  <si>
    <t xml:space="preserve">Prototyped an LLM feature for natural-language querying of [portfolio] data, with an eval set measuring [X]% accuracy.</t>
  </si>
  <si>
    <t xml:space="preserve">Shipped [N] customer-facing features end-to-end (React, REST APIs, Postgres) in [X]-week cycles at JPMC.</t>
  </si>
  <si>
    <t xml:space="preserve">Refactored [module] to remove [X]% duplicated logic, speeding feature delivery for [N] teammates.</t>
  </si>
  <si>
    <t xml:space="preserve">Introduced typed API contracts (OpenAPI) reducing FE/BE integration bugs by [X]%.</t>
  </si>
  <si>
    <t xml:space="preserve">Owned a [financial-data] feature from design doc through production rollout with feature flags and monitoring.</t>
  </si>
  <si>
    <t xml:space="preserve">Integrated AI assistants into dev workflow and shared prompt patterns with [N] teammates, improving PR throughput by [X]%.</t>
  </si>
  <si>
    <t xml:space="preserve">Built distributed backend services on AWS ([ECS/Lambda]) processing [X]TB/day, with autoscaling that cut compute cost [Y]%.</t>
  </si>
  <si>
    <t xml:space="preserve">Designed async job-orchestration (queues + retries + dead-letter) lifting job success rate from [X]% to [Y]%.</t>
  </si>
  <si>
    <t xml:space="preserve">Created observability dashboards and alerts (Datadog/Grafana) that reduced incident detection time from [X] to [Y] min.</t>
  </si>
  <si>
    <t xml:space="preserve">Built an LLM-powered agent that [summarizes logs/triages failures], resolving [X]% of cases without human escalation.</t>
  </si>
  <si>
    <t xml:space="preserve">Wrote Python tooling and Terraform modules adopted by [N] teams, standardizing [X] deployments.</t>
  </si>
  <si>
    <t xml:space="preserve">Developed [N] backend services in [Java/Python] powering [lending/payments] flows with $[X]M monthly volume.</t>
  </si>
  <si>
    <t xml:space="preserve">Added risk/validation rules cutting [fraud/error] cases by [X]% while holding false-positive rate under [Y]%.</t>
  </si>
  <si>
    <t xml:space="preserve">Improved service reliability from [X]% to [Y]% uptime via circuit breakers, retries, and load testing.</t>
  </si>
  <si>
    <t xml:space="preserve">Built internal tooling that automated [manual process], saving ~[X] eng-hours per month.</t>
  </si>
  <si>
    <t xml:space="preserve">Used LLM-based tooling to generate test fixtures and summarize incidents, shortening postmortems by [X]%.</t>
  </si>
  <si>
    <t xml:space="preserve">Embedded with [business/ops] stakeholders to scope and deliver [N] data tools, adopted by [X] users within [Y] weeks.</t>
  </si>
  <si>
    <t xml:space="preserve">Built end-to-end data pipelines and dashboards consolidating [N] systems, replacing a [X]-hr manual reporting process.</t>
  </si>
  <si>
    <t xml:space="preserve">Translated ambiguous requirements into shipped solutions across [N] workstreams, presenting results to senior stakeholders.</t>
  </si>
  <si>
    <t xml:space="preserve">Debugged production data issues across systems, cutting recurring incident volume by [X]%.</t>
  </si>
  <si>
    <t xml:space="preserve">Prototyped LLM workflows for [document/ticket] processing with human-in-loop review, reaching [X]% accuracy.</t>
  </si>
  <si>
    <t xml:space="preserve">Shipped [N] production features in a regulated environment, with compliance and audit requirements baked into design.</t>
  </si>
  <si>
    <t xml:space="preserve">Built a document-processing pipeline for [N]K files/month with [X]% extraction accuracy and full traceability.</t>
  </si>
  <si>
    <t xml:space="preserve">Created an LLM evaluation harness (golden sets + regression checks) preventing [X] quality regressions before release.</t>
  </si>
  <si>
    <t xml:space="preserve">Used AI coding agents daily to ship [X]% faster; wrote team guidelines on review and testing of AI-generated code.</t>
  </si>
  <si>
    <t xml:space="preserve">Collaborated with legal/compliance stakeholders to turn [policy] into [N] automated checks.</t>
  </si>
  <si>
    <t xml:space="preserve">Built [developer-facing tool] used by [N] engineers, cutting [task] time from [X] to [Y] minutes.</t>
  </si>
  <si>
    <t xml:space="preserve">Shipped [N] features end-to-end (TypeScript/React + Python) with weekly releases and measurable adoption of [X]%.</t>
  </si>
  <si>
    <t xml:space="preserve">Built AI-assisted workflows (codegen, test generation, PR summaries) adopted by [N] teammates, saving ~[X] hrs/week.</t>
  </si>
  <si>
    <t xml:space="preserve">Open-sourced / internally documented [tool] with README, examples, and [N] adopters.</t>
  </si>
  <si>
    <t xml:space="preserve">Debugged and fixed [N] production issues across the stack, improving [metric] by [X]%.</t>
  </si>
  <si>
    <t xml:space="preserve">Shipped [N] production features using AI coding agents as primary workflow, delivering [X]% more PRs per sprint.</t>
  </si>
  <si>
    <t xml:space="preserve">Built a prompt/eval pipeline testing LLM outputs on [N] cases, catching [X] regressions before release.</t>
  </si>
  <si>
    <t xml:space="preserve">Reduced [service] p99 latency by [X]% through profiling and algorithmic changes in [language].</t>
  </si>
  <si>
    <t xml:space="preserve">Built internal developer tooling (CLI/VS Code extension) used by [N] engineers.</t>
  </si>
  <si>
    <t xml:space="preserve">Own end-to-end quality: wrote [N] tests, added telemetry, and monitored rollout of every feature shipped.</t>
  </si>
  <si>
    <t xml:space="preserve">Built user-facing features in React/TypeScript for [N] internal users with [X]% adoption in first [Y] weeks.</t>
  </si>
  <si>
    <t xml:space="preserve">Improved page/UI render performance by [X]% through memoization, lazy loading, and query batching.</t>
  </si>
  <si>
    <t xml:space="preserve">Ran experiments and instrumented funnels to inform [N] product decisions, lifting [metric] by [X]%.</t>
  </si>
  <si>
    <t xml:space="preserve">Used AI assistants for scaffolding and test generation, documenting prompt patterns shared with [N] teammates.</t>
  </si>
  <si>
    <t xml:space="preserve">Collaborated with design and PM to ship [feature] from spec to launch in [X] weeks.</t>
  </si>
  <si>
    <t xml:space="preserve">Built real-time [event/notification] services handling [X]K events/sec with sub-[Y]ms delivery.</t>
  </si>
  <si>
    <t xml:space="preserve">Cut checkout/transaction failure rate from [X]% to [Y]% via retry logic and improved error handling.</t>
  </si>
  <si>
    <t xml:space="preserve">Shipped [N] features end-to-end in 2-week sprints, owning design, rollout, and post-launch metrics.</t>
  </si>
  <si>
    <t xml:space="preserve">Added fraud/abuse checks blocking [X] suspicious transactions per month.</t>
  </si>
  <si>
    <t xml:space="preserve">Leveraged AI coding tools to cut feature cycle time by [X]%; built LLM script for [support/ops] triage.</t>
  </si>
  <si>
    <t xml:space="preserve">Built workflow/approval features for [financial process] used by [N] users, automating [X]% of manual steps.</t>
  </si>
  <si>
    <t xml:space="preserve">Integrated [N] third-party/internal systems via REST/event APIs, with schema validation and error handling.</t>
  </si>
  <si>
    <t xml:space="preserve">Reduced approval-cycle time from [X] days to [Y] by redesigning [workflow] and adding notifications.</t>
  </si>
  <si>
    <t xml:space="preserve">Added role-based access controls and audit trails meeting [compliance] requirements across [N] services.</t>
  </si>
  <si>
    <t xml:space="preserve">Prototyped an LLM agent to [extract/classify invoices or requests], hitting [X]% accuracy vs. manual baseline.</t>
  </si>
  <si>
    <t xml:space="preserve">READ ME - how to use this workbook</t>
  </si>
  <si>
    <t xml:space="preserve">1. Bullets are DRAFTS. I don't know your actual JPMC projects, so every [bracketed] item (metric, service, tech) is a placeholder. Replace each with your real facts and numbers before applying. Do not submit unfilled brackets or invented figures.</t>
  </si>
  <si>
    <t xml:space="preserve">2. Bullets are written for ~1 yr of experience (SWE at JPMC since 28 Jul 2025; as of 20 Oct 2026). Verbs are 'built / shipped / owned', not 'led org' claims, to stay credible.</t>
  </si>
  <si>
    <t xml:space="preserve">3. Scoring (Validation sheet): each bullet is rated 1-10 on conciseness/punchiness, overall impact, realism for ~1 YOE, and AI-native fluency; Average is a formula. Scores assume the placeholders are filled with real, solid numbers. They were assigned by me (an LLM) as a rubric-based judgment, not an objective measure. Edit any score cell freely; averages recalc.</t>
  </si>
  <si>
    <t xml:space="preserve">4. Links come from web search of the companies' official job boards (Amazon, Mastercard, Greenhouse, Ashby, Lever). I could NOT open the pages from this environment (network restrictions), so I could not confirm each posting is still open as of today. Click each link to verify status before applying.</t>
  </si>
  <si>
    <t xml:space="preserve">5. Eligibility: Harvey, Replit, Cursor, Notion, Whatnot, Zip and Palantir are NEW-GRAD (2026/2027 cohort) postings that typically require upcoming graduation; at ~1 yr YOE you may be ineligible. They're included because they're strong targets for AI-native roles, but the Applications tab's Fit Note flags this. Amazon, Mastercard, Addepar, Rescale and Affirm are the best YOE matches.</t>
  </si>
  <si>
    <t xml:space="preserve">6. Salary figures quoted by search summaries were not copied into the sheet because I couldn't verify them.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</si>
</sst>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jobs/en/jobs/3141336/software-engineer-i" TargetMode="External"/><Relationship Id="rId2" Type="http://schemas.openxmlformats.org/officeDocument/2006/relationships/hyperlink" Target="https://www.amazon.jobs/en/jobs/10502486/software-engineer-i-payments" TargetMode="External"/><Relationship Id="rId3" Type="http://schemas.openxmlformats.org/officeDocument/2006/relationships/hyperlink" Target="https://careers.mastercard.com/us/en/job/R-292618/Software-Engineer-I" TargetMode="External"/><Relationship Id="rId4" Type="http://schemas.openxmlformats.org/officeDocument/2006/relationships/hyperlink" Target="https://job-boards.greenhouse.io/addepar1/jobs/8538666002" TargetMode="External"/><Relationship Id="rId5" Type="http://schemas.openxmlformats.org/officeDocument/2006/relationships/hyperlink" Target="https://job-boards.greenhouse.io/addepar1/jobs/8606946002" TargetMode="External"/><Relationship Id="rId6" Type="http://schemas.openxmlformats.org/officeDocument/2006/relationships/hyperlink" Target="https://jobs.ashbyhq.com/rescale/fdba3410-d255-4879-9a6e-bed488b4a1fc" TargetMode="External"/><Relationship Id="rId7" Type="http://schemas.openxmlformats.org/officeDocument/2006/relationships/hyperlink" Target="https://job-boards.greenhouse.io/affirm/jobs/8008649003" TargetMode="External"/><Relationship Id="rId8" Type="http://schemas.openxmlformats.org/officeDocument/2006/relationships/hyperlink" Target="https://jobs.lever.co/palantir/e500bcf3-19d8-4d3c-b340-4d76e4a55b40" TargetMode="External"/><Relationship Id="rId9" Type="http://schemas.openxmlformats.org/officeDocument/2006/relationships/hyperlink" Target="https://jobs.ashbyhq.com/harvey/4d8dc9ba-eb86-4d88-af7d-65d2fdaf3fdc" TargetMode="External"/><Relationship Id="rId10" Type="http://schemas.openxmlformats.org/officeDocument/2006/relationships/hyperlink" Target="https://jobs.ashbyhq.com/replit/b5e81eae-06f9-4798-8988-2d06ca936dbc" TargetMode="External"/><Relationship Id="rId11" Type="http://schemas.openxmlformats.org/officeDocument/2006/relationships/hyperlink" Target="https://jobs.ashbyhq.com/cursor/d0e5b41d-84ab-4887-bd3a-55589b11dd7b" TargetMode="External"/><Relationship Id="rId12" Type="http://schemas.openxmlformats.org/officeDocument/2006/relationships/hyperlink" Target="https://jobs.ashbyhq.com/notion/e32799d2-8ef8-4803-8189-c72514afa816" TargetMode="External"/><Relationship Id="rId13" Type="http://schemas.openxmlformats.org/officeDocument/2006/relationships/hyperlink" Target="https://jobs.ashbyhq.com/whatnot/29bad846-de60-4be7-a222-69b97e044930" TargetMode="External"/><Relationship Id="rId14" Type="http://schemas.openxmlformats.org/officeDocument/2006/relationships/hyperlink" Target="https://jobs.ashbyhq.com/zip/df6eb1ee-b360-46fe-b23f-658626ec59ea/application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110"/>
    <col collapsed="false" customWidth="true" hidden="false" outlineLevel="0" max="5" min="5" style="0" width="12"/>
    <col collapsed="false" customWidth="true" hidden="false" outlineLevel="0" max="6" min="6" style="0" width="4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9.5" hidden="false" customHeight="true" outlineLevel="0" collapsed="false">
      <c r="A2" s="2" t="s">
        <v>6</v>
      </c>
      <c r="B2" s="2" t="s">
        <v>7</v>
      </c>
      <c r="C2" s="3" t="s">
        <v>8</v>
      </c>
      <c r="D2" s="2" t="s">
        <v>9</v>
      </c>
      <c r="E2" s="4" t="n">
        <f aca="false">AVERAGEIFS(Validation!$I$2:$I$71,Validation!$A$2:$A$71,A2,Validation!$B$2:$B$71,B2)</f>
        <v>7</v>
      </c>
      <c r="F2" s="2" t="s">
        <v>10</v>
      </c>
    </row>
    <row r="3" customFormat="false" ht="169.5" hidden="false" customHeight="true" outlineLevel="0" collapsed="false">
      <c r="A3" s="2" t="s">
        <v>11</v>
      </c>
      <c r="B3" s="2" t="s">
        <v>12</v>
      </c>
      <c r="C3" s="3" t="s">
        <v>13</v>
      </c>
      <c r="D3" s="2" t="s">
        <v>14</v>
      </c>
      <c r="E3" s="4" t="n">
        <f aca="false">AVERAGEIFS(Validation!$I$2:$I$71,Validation!$A$2:$A$71,A3,Validation!$B$2:$B$71,B3)</f>
        <v>6.9</v>
      </c>
      <c r="F3" s="2" t="s">
        <v>15</v>
      </c>
    </row>
    <row r="4" customFormat="false" ht="169.5" hidden="false" customHeight="true" outlineLevel="0" collapsed="false">
      <c r="A4" s="2" t="s">
        <v>16</v>
      </c>
      <c r="B4" s="2" t="s">
        <v>17</v>
      </c>
      <c r="C4" s="3" t="s">
        <v>18</v>
      </c>
      <c r="D4" s="2" t="s">
        <v>19</v>
      </c>
      <c r="E4" s="4" t="n">
        <f aca="false">AVERAGEIFS(Validation!$I$2:$I$71,Validation!$A$2:$A$71,A4,Validation!$B$2:$B$71,B4)</f>
        <v>6.55</v>
      </c>
      <c r="F4" s="2" t="s">
        <v>20</v>
      </c>
    </row>
    <row r="5" customFormat="false" ht="169.5" hidden="false" customHeight="true" outlineLevel="0" collapsed="false">
      <c r="A5" s="2" t="s">
        <v>21</v>
      </c>
      <c r="B5" s="2" t="s">
        <v>22</v>
      </c>
      <c r="C5" s="3" t="s">
        <v>23</v>
      </c>
      <c r="D5" s="2" t="s">
        <v>24</v>
      </c>
      <c r="E5" s="4" t="n">
        <f aca="false">AVERAGEIFS(Validation!$I$2:$I$71,Validation!$A$2:$A$71,A5,Validation!$B$2:$B$71,B5)</f>
        <v>7</v>
      </c>
      <c r="F5" s="2" t="s">
        <v>25</v>
      </c>
    </row>
    <row r="6" customFormat="false" ht="169.5" hidden="false" customHeight="true" outlineLevel="0" collapsed="false">
      <c r="A6" s="2" t="s">
        <v>21</v>
      </c>
      <c r="B6" s="2" t="s">
        <v>26</v>
      </c>
      <c r="C6" s="3" t="s">
        <v>27</v>
      </c>
      <c r="D6" s="2" t="s">
        <v>28</v>
      </c>
      <c r="E6" s="4" t="n">
        <f aca="false">AVERAGEIFS(Validation!$I$2:$I$71,Validation!$A$2:$A$71,A6,Validation!$B$2:$B$71,B6)</f>
        <v>6.8</v>
      </c>
      <c r="F6" s="2" t="s">
        <v>29</v>
      </c>
    </row>
    <row r="7" customFormat="false" ht="169.5" hidden="false" customHeight="true" outlineLevel="0" collapsed="false">
      <c r="A7" s="2" t="s">
        <v>30</v>
      </c>
      <c r="B7" s="2" t="s">
        <v>31</v>
      </c>
      <c r="C7" s="3" t="s">
        <v>32</v>
      </c>
      <c r="D7" s="2" t="s">
        <v>33</v>
      </c>
      <c r="E7" s="4" t="n">
        <f aca="false">AVERAGEIFS(Validation!$I$2:$I$71,Validation!$A$2:$A$71,A7,Validation!$B$2:$B$71,B7)</f>
        <v>6.95</v>
      </c>
      <c r="F7" s="2" t="s">
        <v>34</v>
      </c>
    </row>
    <row r="8" customFormat="false" ht="169.5" hidden="false" customHeight="true" outlineLevel="0" collapsed="false">
      <c r="A8" s="2" t="s">
        <v>35</v>
      </c>
      <c r="B8" s="2" t="s">
        <v>36</v>
      </c>
      <c r="C8" s="3" t="s">
        <v>37</v>
      </c>
      <c r="D8" s="2" t="s">
        <v>38</v>
      </c>
      <c r="E8" s="4" t="n">
        <f aca="false">AVERAGEIFS(Validation!$I$2:$I$71,Validation!$A$2:$A$71,A8,Validation!$B$2:$B$71,B8)</f>
        <v>6.9</v>
      </c>
      <c r="F8" s="2" t="s">
        <v>39</v>
      </c>
    </row>
    <row r="9" customFormat="false" ht="169.5" hidden="false" customHeight="true" outlineLevel="0" collapsed="false">
      <c r="A9" s="2" t="s">
        <v>40</v>
      </c>
      <c r="B9" s="2" t="s">
        <v>41</v>
      </c>
      <c r="C9" s="3" t="s">
        <v>42</v>
      </c>
      <c r="D9" s="2" t="s">
        <v>43</v>
      </c>
      <c r="E9" s="4" t="n">
        <f aca="false">AVERAGEIFS(Validation!$I$2:$I$71,Validation!$A$2:$A$71,A9,Validation!$B$2:$B$71,B9)</f>
        <v>6.85</v>
      </c>
      <c r="F9" s="2" t="s">
        <v>44</v>
      </c>
    </row>
    <row r="10" customFormat="false" ht="169.5" hidden="false" customHeight="true" outlineLevel="0" collapsed="false">
      <c r="A10" s="2" t="s">
        <v>45</v>
      </c>
      <c r="B10" s="2" t="s">
        <v>46</v>
      </c>
      <c r="C10" s="3" t="s">
        <v>47</v>
      </c>
      <c r="D10" s="2" t="s">
        <v>48</v>
      </c>
      <c r="E10" s="4" t="n">
        <f aca="false">AVERAGEIFS(Validation!$I$2:$I$71,Validation!$A$2:$A$71,A10,Validation!$B$2:$B$71,B10)</f>
        <v>7.65</v>
      </c>
      <c r="F10" s="2" t="s">
        <v>49</v>
      </c>
    </row>
    <row r="11" customFormat="false" ht="169.5" hidden="false" customHeight="true" outlineLevel="0" collapsed="false">
      <c r="A11" s="2" t="s">
        <v>50</v>
      </c>
      <c r="B11" s="2" t="s">
        <v>51</v>
      </c>
      <c r="C11" s="3" t="s">
        <v>52</v>
      </c>
      <c r="D11" s="2" t="s">
        <v>53</v>
      </c>
      <c r="E11" s="4" t="n">
        <f aca="false">AVERAGEIFS(Validation!$I$2:$I$71,Validation!$A$2:$A$71,A11,Validation!$B$2:$B$71,B11)</f>
        <v>6.95</v>
      </c>
      <c r="F11" s="2" t="s">
        <v>54</v>
      </c>
    </row>
    <row r="12" customFormat="false" ht="169.5" hidden="false" customHeight="true" outlineLevel="0" collapsed="false">
      <c r="A12" s="2" t="s">
        <v>55</v>
      </c>
      <c r="B12" s="2" t="s">
        <v>56</v>
      </c>
      <c r="C12" s="3" t="s">
        <v>57</v>
      </c>
      <c r="D12" s="2" t="s">
        <v>58</v>
      </c>
      <c r="E12" s="4" t="n">
        <f aca="false">AVERAGEIFS(Validation!$I$2:$I$71,Validation!$A$2:$A$71,A12,Validation!$B$2:$B$71,B12)</f>
        <v>7.3</v>
      </c>
      <c r="F12" s="2" t="s">
        <v>59</v>
      </c>
    </row>
    <row r="13" customFormat="false" ht="169.5" hidden="false" customHeight="true" outlineLevel="0" collapsed="false">
      <c r="A13" s="2" t="s">
        <v>60</v>
      </c>
      <c r="B13" s="2" t="s">
        <v>61</v>
      </c>
      <c r="C13" s="3" t="s">
        <v>62</v>
      </c>
      <c r="D13" s="2" t="s">
        <v>63</v>
      </c>
      <c r="E13" s="4" t="n">
        <f aca="false">AVERAGEIFS(Validation!$I$2:$I$71,Validation!$A$2:$A$71,A13,Validation!$B$2:$B$71,B13)</f>
        <v>6.65</v>
      </c>
      <c r="F13" s="2" t="s">
        <v>64</v>
      </c>
    </row>
    <row r="14" customFormat="false" ht="169.5" hidden="false" customHeight="true" outlineLevel="0" collapsed="false">
      <c r="A14" s="2" t="s">
        <v>65</v>
      </c>
      <c r="B14" s="2" t="s">
        <v>66</v>
      </c>
      <c r="C14" s="3" t="s">
        <v>67</v>
      </c>
      <c r="D14" s="2" t="s">
        <v>68</v>
      </c>
      <c r="E14" s="4" t="n">
        <f aca="false">AVERAGEIFS(Validation!$I$2:$I$71,Validation!$A$2:$A$71,A14,Validation!$B$2:$B$71,B14)</f>
        <v>6.9</v>
      </c>
      <c r="F14" s="2" t="s">
        <v>69</v>
      </c>
    </row>
    <row r="15" customFormat="false" ht="169.5" hidden="false" customHeight="true" outlineLevel="0" collapsed="false">
      <c r="A15" s="2" t="s">
        <v>70</v>
      </c>
      <c r="B15" s="2" t="s">
        <v>71</v>
      </c>
      <c r="C15" s="3" t="s">
        <v>72</v>
      </c>
      <c r="D15" s="2" t="s">
        <v>73</v>
      </c>
      <c r="E15" s="4" t="n">
        <f aca="false">AVERAGEIFS(Validation!$I$2:$I$71,Validation!$A$2:$A$71,A15,Validation!$B$2:$B$71,B15)</f>
        <v>7</v>
      </c>
      <c r="F15" s="2" t="s">
        <v>74</v>
      </c>
    </row>
  </sheetData>
  <hyperlinks>
    <hyperlink ref="C2" r:id="rId1" display="https://www.amazon.jobs/en/jobs/3141336/software-engineer-i"/>
    <hyperlink ref="C3" r:id="rId2" display="https://www.amazon.jobs/en/jobs/10502486/software-engineer-i-payments"/>
    <hyperlink ref="C4" r:id="rId3" display="https://careers.mastercard.com/us/en/job/R-292618/Software-Engineer-I"/>
    <hyperlink ref="C5" r:id="rId4" display="https://job-boards.greenhouse.io/addepar1/jobs/8538666002"/>
    <hyperlink ref="C6" r:id="rId5" display="https://job-boards.greenhouse.io/addepar1/jobs/8606946002"/>
    <hyperlink ref="C7" r:id="rId6" display="https://jobs.ashbyhq.com/rescale/fdba3410-d255-4879-9a6e-bed488b4a1fc"/>
    <hyperlink ref="C8" r:id="rId7" display="https://job-boards.greenhouse.io/affirm/jobs/8008649003"/>
    <hyperlink ref="C9" r:id="rId8" display="https://jobs.lever.co/palantir/e500bcf3-19d8-4d3c-b340-4d76e4a55b40"/>
    <hyperlink ref="C10" r:id="rId9" display="https://jobs.ashbyhq.com/harvey/4d8dc9ba-eb86-4d88-af7d-65d2fdaf3fdc"/>
    <hyperlink ref="C11" r:id="rId10" display="https://jobs.ashbyhq.com/replit/b5e81eae-06f9-4798-8988-2d06ca936dbc"/>
    <hyperlink ref="C12" r:id="rId11" display="https://jobs.ashbyhq.com/cursor/d0e5b41d-84ab-4887-bd3a-55589b11dd7b"/>
    <hyperlink ref="C13" r:id="rId12" display="https://jobs.ashbyhq.com/notion/e32799d2-8ef8-4803-8189-c72514afa816"/>
    <hyperlink ref="C14" r:id="rId13" display="https://jobs.ashbyhq.com/whatnot/29bad846-de60-4be7-a222-69b97e044930"/>
    <hyperlink ref="C15" r:id="rId14" display="https://jobs.ashbyhq.com/zip/df6eb1ee-b360-46fe-b23f-658626ec59ea/applic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90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customFormat="false" ht="23.85" hidden="false" customHeight="false" outlineLevel="0" collapsed="false">
      <c r="A2" s="2" t="s">
        <v>6</v>
      </c>
      <c r="B2" s="2" t="s">
        <v>7</v>
      </c>
      <c r="C2" s="5" t="n">
        <v>1</v>
      </c>
      <c r="D2" s="2" t="s">
        <v>82</v>
      </c>
      <c r="E2" s="5" t="n">
        <v>8</v>
      </c>
      <c r="F2" s="5" t="n">
        <v>7</v>
      </c>
      <c r="G2" s="5" t="n">
        <v>8</v>
      </c>
      <c r="H2" s="5" t="n">
        <v>5</v>
      </c>
      <c r="I2" s="4" t="n">
        <f aca="false">AVERAGE(E2:H2)</f>
        <v>7</v>
      </c>
    </row>
    <row r="3" customFormat="false" ht="15" hidden="false" customHeight="false" outlineLevel="0" collapsed="false">
      <c r="A3" s="2" t="s">
        <v>6</v>
      </c>
      <c r="B3" s="2" t="s">
        <v>7</v>
      </c>
      <c r="C3" s="5" t="n">
        <v>2</v>
      </c>
      <c r="D3" s="2" t="s">
        <v>83</v>
      </c>
      <c r="E3" s="5" t="n">
        <v>9</v>
      </c>
      <c r="F3" s="5" t="n">
        <v>8</v>
      </c>
      <c r="G3" s="5" t="n">
        <v>8</v>
      </c>
      <c r="H3" s="5" t="n">
        <v>4</v>
      </c>
      <c r="I3" s="4" t="n">
        <f aca="false">AVERAGE(E3:H3)</f>
        <v>7.25</v>
      </c>
    </row>
    <row r="4" customFormat="false" ht="23.85" hidden="false" customHeight="false" outlineLevel="0" collapsed="false">
      <c r="A4" s="2" t="s">
        <v>6</v>
      </c>
      <c r="B4" s="2" t="s">
        <v>7</v>
      </c>
      <c r="C4" s="5" t="n">
        <v>3</v>
      </c>
      <c r="D4" s="2" t="s">
        <v>84</v>
      </c>
      <c r="E4" s="5" t="n">
        <v>8</v>
      </c>
      <c r="F4" s="5" t="n">
        <v>7</v>
      </c>
      <c r="G4" s="5" t="n">
        <v>8</v>
      </c>
      <c r="H4" s="5" t="n">
        <v>4</v>
      </c>
      <c r="I4" s="4" t="n">
        <f aca="false">AVERAGE(E4:H4)</f>
        <v>6.75</v>
      </c>
    </row>
    <row r="5" customFormat="false" ht="15" hidden="false" customHeight="false" outlineLevel="0" collapsed="false">
      <c r="A5" s="2" t="s">
        <v>6</v>
      </c>
      <c r="B5" s="2" t="s">
        <v>7</v>
      </c>
      <c r="C5" s="5" t="n">
        <v>4</v>
      </c>
      <c r="D5" s="2" t="s">
        <v>85</v>
      </c>
      <c r="E5" s="5" t="n">
        <v>8</v>
      </c>
      <c r="F5" s="5" t="n">
        <v>7</v>
      </c>
      <c r="G5" s="5" t="n">
        <v>7</v>
      </c>
      <c r="H5" s="5" t="n">
        <v>4</v>
      </c>
      <c r="I5" s="4" t="n">
        <f aca="false">AVERAGE(E5:H5)</f>
        <v>6.5</v>
      </c>
    </row>
    <row r="6" customFormat="false" ht="23.85" hidden="false" customHeight="false" outlineLevel="0" collapsed="false">
      <c r="A6" s="2" t="s">
        <v>6</v>
      </c>
      <c r="B6" s="2" t="s">
        <v>7</v>
      </c>
      <c r="C6" s="5" t="n">
        <v>5</v>
      </c>
      <c r="D6" s="2" t="s">
        <v>86</v>
      </c>
      <c r="E6" s="5" t="n">
        <v>8</v>
      </c>
      <c r="F6" s="5" t="n">
        <v>6</v>
      </c>
      <c r="G6" s="5" t="n">
        <v>8</v>
      </c>
      <c r="H6" s="5" t="n">
        <v>8</v>
      </c>
      <c r="I6" s="4" t="n">
        <f aca="false">AVERAGE(E6:H6)</f>
        <v>7.5</v>
      </c>
    </row>
    <row r="7" customFormat="false" ht="23.85" hidden="false" customHeight="false" outlineLevel="0" collapsed="false">
      <c r="A7" s="2" t="s">
        <v>11</v>
      </c>
      <c r="B7" s="2" t="s">
        <v>12</v>
      </c>
      <c r="C7" s="5" t="n">
        <v>1</v>
      </c>
      <c r="D7" s="2" t="s">
        <v>87</v>
      </c>
      <c r="E7" s="5" t="n">
        <v>8</v>
      </c>
      <c r="F7" s="5" t="n">
        <v>8</v>
      </c>
      <c r="G7" s="5" t="n">
        <v>7</v>
      </c>
      <c r="H7" s="5" t="n">
        <v>4</v>
      </c>
      <c r="I7" s="4" t="n">
        <f aca="false">AVERAGE(E7:H7)</f>
        <v>6.75</v>
      </c>
    </row>
    <row r="8" customFormat="false" ht="23.85" hidden="false" customHeight="false" outlineLevel="0" collapsed="false">
      <c r="A8" s="2" t="s">
        <v>11</v>
      </c>
      <c r="B8" s="2" t="s">
        <v>12</v>
      </c>
      <c r="C8" s="5" t="n">
        <v>2</v>
      </c>
      <c r="D8" s="2" t="s">
        <v>88</v>
      </c>
      <c r="E8" s="5" t="n">
        <v>9</v>
      </c>
      <c r="F8" s="5" t="n">
        <v>9</v>
      </c>
      <c r="G8" s="5" t="n">
        <v>7</v>
      </c>
      <c r="H8" s="5" t="n">
        <v>3</v>
      </c>
      <c r="I8" s="4" t="n">
        <f aca="false">AVERAGE(E8:H8)</f>
        <v>7</v>
      </c>
    </row>
    <row r="9" customFormat="false" ht="15" hidden="false" customHeight="false" outlineLevel="0" collapsed="false">
      <c r="A9" s="2" t="s">
        <v>11</v>
      </c>
      <c r="B9" s="2" t="s">
        <v>12</v>
      </c>
      <c r="C9" s="5" t="n">
        <v>3</v>
      </c>
      <c r="D9" s="2" t="s">
        <v>89</v>
      </c>
      <c r="E9" s="5" t="n">
        <v>8</v>
      </c>
      <c r="F9" s="5" t="n">
        <v>8</v>
      </c>
      <c r="G9" s="5" t="n">
        <v>7</v>
      </c>
      <c r="H9" s="5" t="n">
        <v>3</v>
      </c>
      <c r="I9" s="4" t="n">
        <f aca="false">AVERAGE(E9:H9)</f>
        <v>6.5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5" t="n">
        <v>4</v>
      </c>
      <c r="D10" s="2" t="s">
        <v>90</v>
      </c>
      <c r="E10" s="5" t="n">
        <v>8</v>
      </c>
      <c r="F10" s="5" t="n">
        <v>7</v>
      </c>
      <c r="G10" s="5" t="n">
        <v>8</v>
      </c>
      <c r="H10" s="5" t="n">
        <v>3</v>
      </c>
      <c r="I10" s="4" t="n">
        <f aca="false">AVERAGE(E10:H10)</f>
        <v>6.5</v>
      </c>
    </row>
    <row r="11" customFormat="false" ht="15" hidden="false" customHeight="false" outlineLevel="0" collapsed="false">
      <c r="A11" s="2" t="s">
        <v>11</v>
      </c>
      <c r="B11" s="2" t="s">
        <v>12</v>
      </c>
      <c r="C11" s="5" t="n">
        <v>5</v>
      </c>
      <c r="D11" s="2" t="s">
        <v>91</v>
      </c>
      <c r="E11" s="5" t="n">
        <v>8</v>
      </c>
      <c r="F11" s="5" t="n">
        <v>7</v>
      </c>
      <c r="G11" s="5" t="n">
        <v>7</v>
      </c>
      <c r="H11" s="5" t="n">
        <v>9</v>
      </c>
      <c r="I11" s="4" t="n">
        <f aca="false">AVERAGE(E11:H11)</f>
        <v>7.75</v>
      </c>
    </row>
    <row r="12" customFormat="false" ht="23.85" hidden="false" customHeight="false" outlineLevel="0" collapsed="false">
      <c r="A12" s="2" t="s">
        <v>16</v>
      </c>
      <c r="B12" s="2" t="s">
        <v>17</v>
      </c>
      <c r="C12" s="5" t="n">
        <v>1</v>
      </c>
      <c r="D12" s="2" t="s">
        <v>92</v>
      </c>
      <c r="E12" s="5" t="n">
        <v>8</v>
      </c>
      <c r="F12" s="5" t="n">
        <v>7</v>
      </c>
      <c r="G12" s="5" t="n">
        <v>9</v>
      </c>
      <c r="H12" s="5" t="n">
        <v>3</v>
      </c>
      <c r="I12" s="4" t="n">
        <f aca="false">AVERAGE(E12:H12)</f>
        <v>6.75</v>
      </c>
    </row>
    <row r="13" customFormat="false" ht="23.85" hidden="false" customHeight="false" outlineLevel="0" collapsed="false">
      <c r="A13" s="2" t="s">
        <v>16</v>
      </c>
      <c r="B13" s="2" t="s">
        <v>17</v>
      </c>
      <c r="C13" s="5" t="n">
        <v>2</v>
      </c>
      <c r="D13" s="2" t="s">
        <v>93</v>
      </c>
      <c r="E13" s="5" t="n">
        <v>8</v>
      </c>
      <c r="F13" s="5" t="n">
        <v>7</v>
      </c>
      <c r="G13" s="5" t="n">
        <v>8</v>
      </c>
      <c r="H13" s="5" t="n">
        <v>3</v>
      </c>
      <c r="I13" s="4" t="n">
        <f aca="false">AVERAGE(E13:H13)</f>
        <v>6.5</v>
      </c>
    </row>
    <row r="14" customFormat="false" ht="15" hidden="false" customHeight="false" outlineLevel="0" collapsed="false">
      <c r="A14" s="2" t="s">
        <v>16</v>
      </c>
      <c r="B14" s="2" t="s">
        <v>17</v>
      </c>
      <c r="C14" s="5" t="n">
        <v>3</v>
      </c>
      <c r="D14" s="2" t="s">
        <v>94</v>
      </c>
      <c r="E14" s="5" t="n">
        <v>8</v>
      </c>
      <c r="F14" s="5" t="n">
        <v>7</v>
      </c>
      <c r="G14" s="5" t="n">
        <v>8</v>
      </c>
      <c r="H14" s="5" t="n">
        <v>2</v>
      </c>
      <c r="I14" s="4" t="n">
        <f aca="false">AVERAGE(E14:H14)</f>
        <v>6.25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5" t="n">
        <v>4</v>
      </c>
      <c r="D15" s="2" t="s">
        <v>95</v>
      </c>
      <c r="E15" s="5" t="n">
        <v>7</v>
      </c>
      <c r="F15" s="5" t="n">
        <v>6</v>
      </c>
      <c r="G15" s="5" t="n">
        <v>8</v>
      </c>
      <c r="H15" s="5" t="n">
        <v>2</v>
      </c>
      <c r="I15" s="4" t="n">
        <f aca="false">AVERAGE(E15:H15)</f>
        <v>5.75</v>
      </c>
    </row>
    <row r="16" customFormat="false" ht="23.85" hidden="false" customHeight="false" outlineLevel="0" collapsed="false">
      <c r="A16" s="2" t="s">
        <v>16</v>
      </c>
      <c r="B16" s="2" t="s">
        <v>17</v>
      </c>
      <c r="C16" s="5" t="n">
        <v>5</v>
      </c>
      <c r="D16" s="2" t="s">
        <v>96</v>
      </c>
      <c r="E16" s="5" t="n">
        <v>8</v>
      </c>
      <c r="F16" s="5" t="n">
        <v>6</v>
      </c>
      <c r="G16" s="5" t="n">
        <v>8</v>
      </c>
      <c r="H16" s="5" t="n">
        <v>8</v>
      </c>
      <c r="I16" s="4" t="n">
        <f aca="false">AVERAGE(E16:H16)</f>
        <v>7.5</v>
      </c>
    </row>
    <row r="17" customFormat="false" ht="23.85" hidden="false" customHeight="false" outlineLevel="0" collapsed="false">
      <c r="A17" s="2" t="s">
        <v>21</v>
      </c>
      <c r="B17" s="2" t="s">
        <v>22</v>
      </c>
      <c r="C17" s="5" t="n">
        <v>1</v>
      </c>
      <c r="D17" s="2" t="s">
        <v>97</v>
      </c>
      <c r="E17" s="5" t="n">
        <v>8</v>
      </c>
      <c r="F17" s="5" t="n">
        <v>8</v>
      </c>
      <c r="G17" s="5" t="n">
        <v>8</v>
      </c>
      <c r="H17" s="5" t="n">
        <v>3</v>
      </c>
      <c r="I17" s="4" t="n">
        <f aca="false">AVERAGE(E17:H17)</f>
        <v>6.75</v>
      </c>
    </row>
    <row r="18" customFormat="false" ht="23.85" hidden="false" customHeight="false" outlineLevel="0" collapsed="false">
      <c r="A18" s="2" t="s">
        <v>21</v>
      </c>
      <c r="B18" s="2" t="s">
        <v>22</v>
      </c>
      <c r="C18" s="5" t="n">
        <v>2</v>
      </c>
      <c r="D18" s="2" t="s">
        <v>98</v>
      </c>
      <c r="E18" s="5" t="n">
        <v>9</v>
      </c>
      <c r="F18" s="5" t="n">
        <v>9</v>
      </c>
      <c r="G18" s="5" t="n">
        <v>7</v>
      </c>
      <c r="H18" s="5" t="n">
        <v>3</v>
      </c>
      <c r="I18" s="4" t="n">
        <f aca="false">AVERAGE(E18:H18)</f>
        <v>7</v>
      </c>
    </row>
    <row r="19" customFormat="false" ht="23.85" hidden="false" customHeight="false" outlineLevel="0" collapsed="false">
      <c r="A19" s="2" t="s">
        <v>21</v>
      </c>
      <c r="B19" s="2" t="s">
        <v>22</v>
      </c>
      <c r="C19" s="5" t="n">
        <v>3</v>
      </c>
      <c r="D19" s="2" t="s">
        <v>99</v>
      </c>
      <c r="E19" s="5" t="n">
        <v>9</v>
      </c>
      <c r="F19" s="5" t="n">
        <v>8</v>
      </c>
      <c r="G19" s="5" t="n">
        <v>8</v>
      </c>
      <c r="H19" s="5" t="n">
        <v>3</v>
      </c>
      <c r="I19" s="4" t="n">
        <f aca="false">AVERAGE(E19:H19)</f>
        <v>7</v>
      </c>
    </row>
    <row r="20" customFormat="false" ht="23.85" hidden="false" customHeight="false" outlineLevel="0" collapsed="false">
      <c r="A20" s="2" t="s">
        <v>21</v>
      </c>
      <c r="B20" s="2" t="s">
        <v>22</v>
      </c>
      <c r="C20" s="5" t="n">
        <v>4</v>
      </c>
      <c r="D20" s="2" t="s">
        <v>100</v>
      </c>
      <c r="E20" s="5" t="n">
        <v>8</v>
      </c>
      <c r="F20" s="5" t="n">
        <v>7</v>
      </c>
      <c r="G20" s="5" t="n">
        <v>8</v>
      </c>
      <c r="H20" s="5" t="n">
        <v>3</v>
      </c>
      <c r="I20" s="4" t="n">
        <f aca="false">AVERAGE(E20:H20)</f>
        <v>6.5</v>
      </c>
    </row>
    <row r="21" customFormat="false" ht="23.85" hidden="false" customHeight="false" outlineLevel="0" collapsed="false">
      <c r="A21" s="2" t="s">
        <v>21</v>
      </c>
      <c r="B21" s="2" t="s">
        <v>22</v>
      </c>
      <c r="C21" s="5" t="n">
        <v>5</v>
      </c>
      <c r="D21" s="2" t="s">
        <v>101</v>
      </c>
      <c r="E21" s="5" t="n">
        <v>8</v>
      </c>
      <c r="F21" s="5" t="n">
        <v>8</v>
      </c>
      <c r="G21" s="5" t="n">
        <v>6</v>
      </c>
      <c r="H21" s="5" t="n">
        <v>9</v>
      </c>
      <c r="I21" s="4" t="n">
        <f aca="false">AVERAGE(E21:H21)</f>
        <v>7.75</v>
      </c>
    </row>
    <row r="22" customFormat="false" ht="15" hidden="false" customHeight="false" outlineLevel="0" collapsed="false">
      <c r="A22" s="2" t="s">
        <v>21</v>
      </c>
      <c r="B22" s="2" t="s">
        <v>26</v>
      </c>
      <c r="C22" s="5" t="n">
        <v>1</v>
      </c>
      <c r="D22" s="2" t="s">
        <v>102</v>
      </c>
      <c r="E22" s="5" t="n">
        <v>8</v>
      </c>
      <c r="F22" s="5" t="n">
        <v>8</v>
      </c>
      <c r="G22" s="5" t="n">
        <v>8</v>
      </c>
      <c r="H22" s="5" t="n">
        <v>3</v>
      </c>
      <c r="I22" s="4" t="n">
        <f aca="false">AVERAGE(E22:H22)</f>
        <v>6.75</v>
      </c>
    </row>
    <row r="23" customFormat="false" ht="15" hidden="false" customHeight="false" outlineLevel="0" collapsed="false">
      <c r="A23" s="2" t="s">
        <v>21</v>
      </c>
      <c r="B23" s="2" t="s">
        <v>26</v>
      </c>
      <c r="C23" s="5" t="n">
        <v>2</v>
      </c>
      <c r="D23" s="2" t="s">
        <v>103</v>
      </c>
      <c r="E23" s="5" t="n">
        <v>8</v>
      </c>
      <c r="F23" s="5" t="n">
        <v>7</v>
      </c>
      <c r="G23" s="5" t="n">
        <v>8</v>
      </c>
      <c r="H23" s="5" t="n">
        <v>3</v>
      </c>
      <c r="I23" s="4" t="n">
        <f aca="false">AVERAGE(E23:H23)</f>
        <v>6.5</v>
      </c>
    </row>
    <row r="24" customFormat="false" ht="15" hidden="false" customHeight="false" outlineLevel="0" collapsed="false">
      <c r="A24" s="2" t="s">
        <v>21</v>
      </c>
      <c r="B24" s="2" t="s">
        <v>26</v>
      </c>
      <c r="C24" s="5" t="n">
        <v>3</v>
      </c>
      <c r="D24" s="2" t="s">
        <v>104</v>
      </c>
      <c r="E24" s="5" t="n">
        <v>8</v>
      </c>
      <c r="F24" s="5" t="n">
        <v>7</v>
      </c>
      <c r="G24" s="5" t="n">
        <v>8</v>
      </c>
      <c r="H24" s="5" t="n">
        <v>3</v>
      </c>
      <c r="I24" s="4" t="n">
        <f aca="false">AVERAGE(E24:H24)</f>
        <v>6.5</v>
      </c>
    </row>
    <row r="25" customFormat="false" ht="15" hidden="false" customHeight="false" outlineLevel="0" collapsed="false">
      <c r="A25" s="2" t="s">
        <v>21</v>
      </c>
      <c r="B25" s="2" t="s">
        <v>26</v>
      </c>
      <c r="C25" s="5" t="n">
        <v>4</v>
      </c>
      <c r="D25" s="2" t="s">
        <v>105</v>
      </c>
      <c r="E25" s="5" t="n">
        <v>8</v>
      </c>
      <c r="F25" s="5" t="n">
        <v>8</v>
      </c>
      <c r="G25" s="5" t="n">
        <v>8</v>
      </c>
      <c r="H25" s="5" t="n">
        <v>3</v>
      </c>
      <c r="I25" s="4" t="n">
        <f aca="false">AVERAGE(E25:H25)</f>
        <v>6.75</v>
      </c>
    </row>
    <row r="26" customFormat="false" ht="23.85" hidden="false" customHeight="false" outlineLevel="0" collapsed="false">
      <c r="A26" s="2" t="s">
        <v>21</v>
      </c>
      <c r="B26" s="2" t="s">
        <v>26</v>
      </c>
      <c r="C26" s="5" t="n">
        <v>5</v>
      </c>
      <c r="D26" s="2" t="s">
        <v>106</v>
      </c>
      <c r="E26" s="5" t="n">
        <v>8</v>
      </c>
      <c r="F26" s="5" t="n">
        <v>6</v>
      </c>
      <c r="G26" s="5" t="n">
        <v>8</v>
      </c>
      <c r="H26" s="5" t="n">
        <v>8</v>
      </c>
      <c r="I26" s="4" t="n">
        <f aca="false">AVERAGE(E26:H26)</f>
        <v>7.5</v>
      </c>
    </row>
    <row r="27" customFormat="false" ht="23.85" hidden="false" customHeight="false" outlineLevel="0" collapsed="false">
      <c r="A27" s="2" t="s">
        <v>30</v>
      </c>
      <c r="B27" s="2" t="s">
        <v>31</v>
      </c>
      <c r="C27" s="5" t="n">
        <v>1</v>
      </c>
      <c r="D27" s="2" t="s">
        <v>107</v>
      </c>
      <c r="E27" s="5" t="n">
        <v>8</v>
      </c>
      <c r="F27" s="5" t="n">
        <v>8</v>
      </c>
      <c r="G27" s="5" t="n">
        <v>7</v>
      </c>
      <c r="H27" s="5" t="n">
        <v>4</v>
      </c>
      <c r="I27" s="4" t="n">
        <f aca="false">AVERAGE(E27:H27)</f>
        <v>6.75</v>
      </c>
    </row>
    <row r="28" customFormat="false" ht="15" hidden="false" customHeight="false" outlineLevel="0" collapsed="false">
      <c r="A28" s="2" t="s">
        <v>30</v>
      </c>
      <c r="B28" s="2" t="s">
        <v>31</v>
      </c>
      <c r="C28" s="5" t="n">
        <v>2</v>
      </c>
      <c r="D28" s="2" t="s">
        <v>108</v>
      </c>
      <c r="E28" s="5" t="n">
        <v>9</v>
      </c>
      <c r="F28" s="5" t="n">
        <v>8</v>
      </c>
      <c r="G28" s="5" t="n">
        <v>7</v>
      </c>
      <c r="H28" s="5" t="n">
        <v>4</v>
      </c>
      <c r="I28" s="4" t="n">
        <f aca="false">AVERAGE(E28:H28)</f>
        <v>7</v>
      </c>
    </row>
    <row r="29" customFormat="false" ht="23.85" hidden="false" customHeight="false" outlineLevel="0" collapsed="false">
      <c r="A29" s="2" t="s">
        <v>30</v>
      </c>
      <c r="B29" s="2" t="s">
        <v>31</v>
      </c>
      <c r="C29" s="5" t="n">
        <v>3</v>
      </c>
      <c r="D29" s="2" t="s">
        <v>109</v>
      </c>
      <c r="E29" s="5" t="n">
        <v>8</v>
      </c>
      <c r="F29" s="5" t="n">
        <v>7</v>
      </c>
      <c r="G29" s="5" t="n">
        <v>8</v>
      </c>
      <c r="H29" s="5" t="n">
        <v>3</v>
      </c>
      <c r="I29" s="4" t="n">
        <f aca="false">AVERAGE(E29:H29)</f>
        <v>6.5</v>
      </c>
    </row>
    <row r="30" customFormat="false" ht="23.85" hidden="false" customHeight="false" outlineLevel="0" collapsed="false">
      <c r="A30" s="2" t="s">
        <v>30</v>
      </c>
      <c r="B30" s="2" t="s">
        <v>31</v>
      </c>
      <c r="C30" s="5" t="n">
        <v>4</v>
      </c>
      <c r="D30" s="2" t="s">
        <v>110</v>
      </c>
      <c r="E30" s="5" t="n">
        <v>9</v>
      </c>
      <c r="F30" s="5" t="n">
        <v>8</v>
      </c>
      <c r="G30" s="5" t="n">
        <v>6</v>
      </c>
      <c r="H30" s="5" t="n">
        <v>10</v>
      </c>
      <c r="I30" s="4" t="n">
        <f aca="false">AVERAGE(E30:H30)</f>
        <v>8.25</v>
      </c>
    </row>
    <row r="31" customFormat="false" ht="15" hidden="false" customHeight="false" outlineLevel="0" collapsed="false">
      <c r="A31" s="2" t="s">
        <v>30</v>
      </c>
      <c r="B31" s="2" t="s">
        <v>31</v>
      </c>
      <c r="C31" s="5" t="n">
        <v>5</v>
      </c>
      <c r="D31" s="2" t="s">
        <v>111</v>
      </c>
      <c r="E31" s="5" t="n">
        <v>8</v>
      </c>
      <c r="F31" s="5" t="n">
        <v>7</v>
      </c>
      <c r="G31" s="5" t="n">
        <v>7</v>
      </c>
      <c r="H31" s="5" t="n">
        <v>3</v>
      </c>
      <c r="I31" s="4" t="n">
        <f aca="false">AVERAGE(E31:H31)</f>
        <v>6.25</v>
      </c>
    </row>
    <row r="32" customFormat="false" ht="23.85" hidden="false" customHeight="false" outlineLevel="0" collapsed="false">
      <c r="A32" s="2" t="s">
        <v>35</v>
      </c>
      <c r="B32" s="2" t="s">
        <v>36</v>
      </c>
      <c r="C32" s="5" t="n">
        <v>1</v>
      </c>
      <c r="D32" s="2" t="s">
        <v>112</v>
      </c>
      <c r="E32" s="5" t="n">
        <v>8</v>
      </c>
      <c r="F32" s="5" t="n">
        <v>8</v>
      </c>
      <c r="G32" s="5" t="n">
        <v>8</v>
      </c>
      <c r="H32" s="5" t="n">
        <v>3</v>
      </c>
      <c r="I32" s="4" t="n">
        <f aca="false">AVERAGE(E32:H32)</f>
        <v>6.75</v>
      </c>
    </row>
    <row r="33" customFormat="false" ht="15" hidden="false" customHeight="false" outlineLevel="0" collapsed="false">
      <c r="A33" s="2" t="s">
        <v>35</v>
      </c>
      <c r="B33" s="2" t="s">
        <v>36</v>
      </c>
      <c r="C33" s="5" t="n">
        <v>2</v>
      </c>
      <c r="D33" s="2" t="s">
        <v>113</v>
      </c>
      <c r="E33" s="5" t="n">
        <v>9</v>
      </c>
      <c r="F33" s="5" t="n">
        <v>9</v>
      </c>
      <c r="G33" s="5" t="n">
        <v>7</v>
      </c>
      <c r="H33" s="5" t="n">
        <v>3</v>
      </c>
      <c r="I33" s="4" t="n">
        <f aca="false">AVERAGE(E33:H33)</f>
        <v>7</v>
      </c>
    </row>
    <row r="34" customFormat="false" ht="15" hidden="false" customHeight="false" outlineLevel="0" collapsed="false">
      <c r="A34" s="2" t="s">
        <v>35</v>
      </c>
      <c r="B34" s="2" t="s">
        <v>36</v>
      </c>
      <c r="C34" s="5" t="n">
        <v>3</v>
      </c>
      <c r="D34" s="2" t="s">
        <v>114</v>
      </c>
      <c r="E34" s="5" t="n">
        <v>8</v>
      </c>
      <c r="F34" s="5" t="n">
        <v>8</v>
      </c>
      <c r="G34" s="5" t="n">
        <v>8</v>
      </c>
      <c r="H34" s="5" t="n">
        <v>3</v>
      </c>
      <c r="I34" s="4" t="n">
        <f aca="false">AVERAGE(E34:H34)</f>
        <v>6.75</v>
      </c>
    </row>
    <row r="35" customFormat="false" ht="15" hidden="false" customHeight="false" outlineLevel="0" collapsed="false">
      <c r="A35" s="2" t="s">
        <v>35</v>
      </c>
      <c r="B35" s="2" t="s">
        <v>36</v>
      </c>
      <c r="C35" s="5" t="n">
        <v>4</v>
      </c>
      <c r="D35" s="2" t="s">
        <v>115</v>
      </c>
      <c r="E35" s="5" t="n">
        <v>8</v>
      </c>
      <c r="F35" s="5" t="n">
        <v>7</v>
      </c>
      <c r="G35" s="5" t="n">
        <v>8</v>
      </c>
      <c r="H35" s="5" t="n">
        <v>3</v>
      </c>
      <c r="I35" s="4" t="n">
        <f aca="false">AVERAGE(E35:H35)</f>
        <v>6.5</v>
      </c>
    </row>
    <row r="36" customFormat="false" ht="15" hidden="false" customHeight="false" outlineLevel="0" collapsed="false">
      <c r="A36" s="2" t="s">
        <v>35</v>
      </c>
      <c r="B36" s="2" t="s">
        <v>36</v>
      </c>
      <c r="C36" s="5" t="n">
        <v>5</v>
      </c>
      <c r="D36" s="2" t="s">
        <v>116</v>
      </c>
      <c r="E36" s="5" t="n">
        <v>8</v>
      </c>
      <c r="F36" s="5" t="n">
        <v>6</v>
      </c>
      <c r="G36" s="5" t="n">
        <v>8</v>
      </c>
      <c r="H36" s="5" t="n">
        <v>8</v>
      </c>
      <c r="I36" s="4" t="n">
        <f aca="false">AVERAGE(E36:H36)</f>
        <v>7.5</v>
      </c>
    </row>
    <row r="37" customFormat="false" ht="23.85" hidden="false" customHeight="false" outlineLevel="0" collapsed="false">
      <c r="A37" s="2" t="s">
        <v>40</v>
      </c>
      <c r="B37" s="2" t="s">
        <v>41</v>
      </c>
      <c r="C37" s="5" t="n">
        <v>1</v>
      </c>
      <c r="D37" s="2" t="s">
        <v>117</v>
      </c>
      <c r="E37" s="5" t="n">
        <v>9</v>
      </c>
      <c r="F37" s="5" t="n">
        <v>8</v>
      </c>
      <c r="G37" s="5" t="n">
        <v>7</v>
      </c>
      <c r="H37" s="5" t="n">
        <v>3</v>
      </c>
      <c r="I37" s="4" t="n">
        <f aca="false">AVERAGE(E37:H37)</f>
        <v>6.75</v>
      </c>
    </row>
    <row r="38" customFormat="false" ht="23.85" hidden="false" customHeight="false" outlineLevel="0" collapsed="false">
      <c r="A38" s="2" t="s">
        <v>40</v>
      </c>
      <c r="B38" s="2" t="s">
        <v>41</v>
      </c>
      <c r="C38" s="5" t="n">
        <v>2</v>
      </c>
      <c r="D38" s="2" t="s">
        <v>118</v>
      </c>
      <c r="E38" s="5" t="n">
        <v>9</v>
      </c>
      <c r="F38" s="5" t="n">
        <v>9</v>
      </c>
      <c r="G38" s="5" t="n">
        <v>7</v>
      </c>
      <c r="H38" s="5" t="n">
        <v>3</v>
      </c>
      <c r="I38" s="4" t="n">
        <f aca="false">AVERAGE(E38:H38)</f>
        <v>7</v>
      </c>
    </row>
    <row r="39" customFormat="false" ht="23.85" hidden="false" customHeight="false" outlineLevel="0" collapsed="false">
      <c r="A39" s="2" t="s">
        <v>40</v>
      </c>
      <c r="B39" s="2" t="s">
        <v>41</v>
      </c>
      <c r="C39" s="5" t="n">
        <v>3</v>
      </c>
      <c r="D39" s="2" t="s">
        <v>119</v>
      </c>
      <c r="E39" s="5" t="n">
        <v>8</v>
      </c>
      <c r="F39" s="5" t="n">
        <v>7</v>
      </c>
      <c r="G39" s="5" t="n">
        <v>7</v>
      </c>
      <c r="H39" s="5" t="n">
        <v>2</v>
      </c>
      <c r="I39" s="4" t="n">
        <f aca="false">AVERAGE(E39:H39)</f>
        <v>6</v>
      </c>
    </row>
    <row r="40" customFormat="false" ht="23.85" hidden="false" customHeight="false" outlineLevel="0" collapsed="false">
      <c r="A40" s="2" t="s">
        <v>40</v>
      </c>
      <c r="B40" s="2" t="s">
        <v>41</v>
      </c>
      <c r="C40" s="5" t="n">
        <v>4</v>
      </c>
      <c r="D40" s="2" t="s">
        <v>120</v>
      </c>
      <c r="E40" s="5" t="n">
        <v>8</v>
      </c>
      <c r="F40" s="5" t="n">
        <v>7</v>
      </c>
      <c r="G40" s="5" t="n">
        <v>8</v>
      </c>
      <c r="H40" s="5" t="n">
        <v>3</v>
      </c>
      <c r="I40" s="4" t="n">
        <f aca="false">AVERAGE(E40:H40)</f>
        <v>6.5</v>
      </c>
    </row>
    <row r="41" customFormat="false" ht="23.85" hidden="false" customHeight="false" outlineLevel="0" collapsed="false">
      <c r="A41" s="2" t="s">
        <v>40</v>
      </c>
      <c r="B41" s="2" t="s">
        <v>41</v>
      </c>
      <c r="C41" s="5" t="n">
        <v>5</v>
      </c>
      <c r="D41" s="2" t="s">
        <v>121</v>
      </c>
      <c r="E41" s="5" t="n">
        <v>8</v>
      </c>
      <c r="F41" s="5" t="n">
        <v>8</v>
      </c>
      <c r="G41" s="5" t="n">
        <v>7</v>
      </c>
      <c r="H41" s="5" t="n">
        <v>9</v>
      </c>
      <c r="I41" s="4" t="n">
        <f aca="false">AVERAGE(E41:H41)</f>
        <v>8</v>
      </c>
    </row>
    <row r="42" customFormat="false" ht="23.85" hidden="false" customHeight="false" outlineLevel="0" collapsed="false">
      <c r="A42" s="2" t="s">
        <v>45</v>
      </c>
      <c r="B42" s="2" t="s">
        <v>46</v>
      </c>
      <c r="C42" s="5" t="n">
        <v>1</v>
      </c>
      <c r="D42" s="2" t="s">
        <v>122</v>
      </c>
      <c r="E42" s="5" t="n">
        <v>8</v>
      </c>
      <c r="F42" s="5" t="n">
        <v>8</v>
      </c>
      <c r="G42" s="5" t="n">
        <v>8</v>
      </c>
      <c r="H42" s="5" t="n">
        <v>3</v>
      </c>
      <c r="I42" s="4" t="n">
        <f aca="false">AVERAGE(E42:H42)</f>
        <v>6.75</v>
      </c>
    </row>
    <row r="43" customFormat="false" ht="15" hidden="false" customHeight="false" outlineLevel="0" collapsed="false">
      <c r="A43" s="2" t="s">
        <v>45</v>
      </c>
      <c r="B43" s="2" t="s">
        <v>46</v>
      </c>
      <c r="C43" s="5" t="n">
        <v>2</v>
      </c>
      <c r="D43" s="2" t="s">
        <v>123</v>
      </c>
      <c r="E43" s="5" t="n">
        <v>9</v>
      </c>
      <c r="F43" s="5" t="n">
        <v>9</v>
      </c>
      <c r="G43" s="5" t="n">
        <v>7</v>
      </c>
      <c r="H43" s="5" t="n">
        <v>6</v>
      </c>
      <c r="I43" s="4" t="n">
        <f aca="false">AVERAGE(E43:H43)</f>
        <v>7.75</v>
      </c>
    </row>
    <row r="44" customFormat="false" ht="23.85" hidden="false" customHeight="false" outlineLevel="0" collapsed="false">
      <c r="A44" s="2" t="s">
        <v>45</v>
      </c>
      <c r="B44" s="2" t="s">
        <v>46</v>
      </c>
      <c r="C44" s="5" t="n">
        <v>3</v>
      </c>
      <c r="D44" s="2" t="s">
        <v>124</v>
      </c>
      <c r="E44" s="5" t="n">
        <v>9</v>
      </c>
      <c r="F44" s="5" t="n">
        <v>9</v>
      </c>
      <c r="G44" s="5" t="n">
        <v>6</v>
      </c>
      <c r="H44" s="5" t="n">
        <v>10</v>
      </c>
      <c r="I44" s="4" t="n">
        <f aca="false">AVERAGE(E44:H44)</f>
        <v>8.5</v>
      </c>
    </row>
    <row r="45" customFormat="false" ht="23.85" hidden="false" customHeight="false" outlineLevel="0" collapsed="false">
      <c r="A45" s="2" t="s">
        <v>45</v>
      </c>
      <c r="B45" s="2" t="s">
        <v>46</v>
      </c>
      <c r="C45" s="5" t="n">
        <v>4</v>
      </c>
      <c r="D45" s="2" t="s">
        <v>125</v>
      </c>
      <c r="E45" s="5" t="n">
        <v>9</v>
      </c>
      <c r="F45" s="5" t="n">
        <v>7</v>
      </c>
      <c r="G45" s="5" t="n">
        <v>8</v>
      </c>
      <c r="H45" s="5" t="n">
        <v>10</v>
      </c>
      <c r="I45" s="4" t="n">
        <f aca="false">AVERAGE(E45:H45)</f>
        <v>8.5</v>
      </c>
    </row>
    <row r="46" customFormat="false" ht="15" hidden="false" customHeight="false" outlineLevel="0" collapsed="false">
      <c r="A46" s="2" t="s">
        <v>45</v>
      </c>
      <c r="B46" s="2" t="s">
        <v>46</v>
      </c>
      <c r="C46" s="5" t="n">
        <v>5</v>
      </c>
      <c r="D46" s="2" t="s">
        <v>126</v>
      </c>
      <c r="E46" s="5" t="n">
        <v>8</v>
      </c>
      <c r="F46" s="5" t="n">
        <v>7</v>
      </c>
      <c r="G46" s="5" t="n">
        <v>8</v>
      </c>
      <c r="H46" s="5" t="n">
        <v>4</v>
      </c>
      <c r="I46" s="4" t="n">
        <f aca="false">AVERAGE(E46:H46)</f>
        <v>6.75</v>
      </c>
    </row>
    <row r="47" customFormat="false" ht="15" hidden="false" customHeight="false" outlineLevel="0" collapsed="false">
      <c r="A47" s="2" t="s">
        <v>50</v>
      </c>
      <c r="B47" s="2" t="s">
        <v>51</v>
      </c>
      <c r="C47" s="5" t="n">
        <v>1</v>
      </c>
      <c r="D47" s="2" t="s">
        <v>127</v>
      </c>
      <c r="E47" s="5" t="n">
        <v>8</v>
      </c>
      <c r="F47" s="5" t="n">
        <v>8</v>
      </c>
      <c r="G47" s="5" t="n">
        <v>8</v>
      </c>
      <c r="H47" s="5" t="n">
        <v>4</v>
      </c>
      <c r="I47" s="4" t="n">
        <f aca="false">AVERAGE(E47:H47)</f>
        <v>7</v>
      </c>
    </row>
    <row r="48" customFormat="false" ht="23.85" hidden="false" customHeight="false" outlineLevel="0" collapsed="false">
      <c r="A48" s="2" t="s">
        <v>50</v>
      </c>
      <c r="B48" s="2" t="s">
        <v>51</v>
      </c>
      <c r="C48" s="5" t="n">
        <v>2</v>
      </c>
      <c r="D48" s="2" t="s">
        <v>128</v>
      </c>
      <c r="E48" s="5" t="n">
        <v>8</v>
      </c>
      <c r="F48" s="5" t="n">
        <v>8</v>
      </c>
      <c r="G48" s="5" t="n">
        <v>8</v>
      </c>
      <c r="H48" s="5" t="n">
        <v>3</v>
      </c>
      <c r="I48" s="4" t="n">
        <f aca="false">AVERAGE(E48:H48)</f>
        <v>6.75</v>
      </c>
    </row>
    <row r="49" customFormat="false" ht="23.85" hidden="false" customHeight="false" outlineLevel="0" collapsed="false">
      <c r="A49" s="2" t="s">
        <v>50</v>
      </c>
      <c r="B49" s="2" t="s">
        <v>51</v>
      </c>
      <c r="C49" s="5" t="n">
        <v>3</v>
      </c>
      <c r="D49" s="2" t="s">
        <v>129</v>
      </c>
      <c r="E49" s="5" t="n">
        <v>9</v>
      </c>
      <c r="F49" s="5" t="n">
        <v>8</v>
      </c>
      <c r="G49" s="5" t="n">
        <v>8</v>
      </c>
      <c r="H49" s="5" t="n">
        <v>10</v>
      </c>
      <c r="I49" s="4" t="n">
        <f aca="false">AVERAGE(E49:H49)</f>
        <v>8.75</v>
      </c>
    </row>
    <row r="50" customFormat="false" ht="15" hidden="false" customHeight="false" outlineLevel="0" collapsed="false">
      <c r="A50" s="2" t="s">
        <v>50</v>
      </c>
      <c r="B50" s="2" t="s">
        <v>51</v>
      </c>
      <c r="C50" s="5" t="n">
        <v>4</v>
      </c>
      <c r="D50" s="2" t="s">
        <v>130</v>
      </c>
      <c r="E50" s="5" t="n">
        <v>7</v>
      </c>
      <c r="F50" s="5" t="n">
        <v>6</v>
      </c>
      <c r="G50" s="5" t="n">
        <v>7</v>
      </c>
      <c r="H50" s="5" t="n">
        <v>3</v>
      </c>
      <c r="I50" s="4" t="n">
        <f aca="false">AVERAGE(E50:H50)</f>
        <v>5.75</v>
      </c>
    </row>
    <row r="51" customFormat="false" ht="15" hidden="false" customHeight="false" outlineLevel="0" collapsed="false">
      <c r="A51" s="2" t="s">
        <v>50</v>
      </c>
      <c r="B51" s="2" t="s">
        <v>51</v>
      </c>
      <c r="C51" s="5" t="n">
        <v>5</v>
      </c>
      <c r="D51" s="2" t="s">
        <v>131</v>
      </c>
      <c r="E51" s="5" t="n">
        <v>8</v>
      </c>
      <c r="F51" s="5" t="n">
        <v>7</v>
      </c>
      <c r="G51" s="5" t="n">
        <v>8</v>
      </c>
      <c r="H51" s="5" t="n">
        <v>3</v>
      </c>
      <c r="I51" s="4" t="n">
        <f aca="false">AVERAGE(E51:H51)</f>
        <v>6.5</v>
      </c>
    </row>
    <row r="52" customFormat="false" ht="23.85" hidden="false" customHeight="false" outlineLevel="0" collapsed="false">
      <c r="A52" s="2" t="s">
        <v>55</v>
      </c>
      <c r="B52" s="2" t="s">
        <v>56</v>
      </c>
      <c r="C52" s="5" t="n">
        <v>1</v>
      </c>
      <c r="D52" s="2" t="s">
        <v>132</v>
      </c>
      <c r="E52" s="5" t="n">
        <v>8</v>
      </c>
      <c r="F52" s="5" t="n">
        <v>8</v>
      </c>
      <c r="G52" s="5" t="n">
        <v>7</v>
      </c>
      <c r="H52" s="5" t="n">
        <v>10</v>
      </c>
      <c r="I52" s="4" t="n">
        <f aca="false">AVERAGE(E52:H52)</f>
        <v>8.25</v>
      </c>
    </row>
    <row r="53" customFormat="false" ht="15" hidden="false" customHeight="false" outlineLevel="0" collapsed="false">
      <c r="A53" s="2" t="s">
        <v>55</v>
      </c>
      <c r="B53" s="2" t="s">
        <v>56</v>
      </c>
      <c r="C53" s="5" t="n">
        <v>2</v>
      </c>
      <c r="D53" s="2" t="s">
        <v>133</v>
      </c>
      <c r="E53" s="5" t="n">
        <v>9</v>
      </c>
      <c r="F53" s="5" t="n">
        <v>8</v>
      </c>
      <c r="G53" s="5" t="n">
        <v>7</v>
      </c>
      <c r="H53" s="5" t="n">
        <v>10</v>
      </c>
      <c r="I53" s="4" t="n">
        <f aca="false">AVERAGE(E53:H53)</f>
        <v>8.5</v>
      </c>
    </row>
    <row r="54" customFormat="false" ht="15" hidden="false" customHeight="false" outlineLevel="0" collapsed="false">
      <c r="A54" s="2" t="s">
        <v>55</v>
      </c>
      <c r="B54" s="2" t="s">
        <v>56</v>
      </c>
      <c r="C54" s="5" t="n">
        <v>3</v>
      </c>
      <c r="D54" s="2" t="s">
        <v>134</v>
      </c>
      <c r="E54" s="5" t="n">
        <v>8</v>
      </c>
      <c r="F54" s="5" t="n">
        <v>8</v>
      </c>
      <c r="G54" s="5" t="n">
        <v>8</v>
      </c>
      <c r="H54" s="5" t="n">
        <v>3</v>
      </c>
      <c r="I54" s="4" t="n">
        <f aca="false">AVERAGE(E54:H54)</f>
        <v>6.75</v>
      </c>
    </row>
    <row r="55" customFormat="false" ht="15" hidden="false" customHeight="false" outlineLevel="0" collapsed="false">
      <c r="A55" s="2" t="s">
        <v>55</v>
      </c>
      <c r="B55" s="2" t="s">
        <v>56</v>
      </c>
      <c r="C55" s="5" t="n">
        <v>4</v>
      </c>
      <c r="D55" s="2" t="s">
        <v>135</v>
      </c>
      <c r="E55" s="5" t="n">
        <v>8</v>
      </c>
      <c r="F55" s="5" t="n">
        <v>7</v>
      </c>
      <c r="G55" s="5" t="n">
        <v>8</v>
      </c>
      <c r="H55" s="5" t="n">
        <v>5</v>
      </c>
      <c r="I55" s="4" t="n">
        <f aca="false">AVERAGE(E55:H55)</f>
        <v>7</v>
      </c>
    </row>
    <row r="56" customFormat="false" ht="15" hidden="false" customHeight="false" outlineLevel="0" collapsed="false">
      <c r="A56" s="2" t="s">
        <v>55</v>
      </c>
      <c r="B56" s="2" t="s">
        <v>56</v>
      </c>
      <c r="C56" s="5" t="n">
        <v>5</v>
      </c>
      <c r="D56" s="2" t="s">
        <v>136</v>
      </c>
      <c r="E56" s="5" t="n">
        <v>7</v>
      </c>
      <c r="F56" s="5" t="n">
        <v>6</v>
      </c>
      <c r="G56" s="5" t="n">
        <v>8</v>
      </c>
      <c r="H56" s="5" t="n">
        <v>3</v>
      </c>
      <c r="I56" s="4" t="n">
        <f aca="false">AVERAGE(E56:H56)</f>
        <v>6</v>
      </c>
    </row>
    <row r="57" customFormat="false" ht="15" hidden="false" customHeight="false" outlineLevel="0" collapsed="false">
      <c r="A57" s="2" t="s">
        <v>60</v>
      </c>
      <c r="B57" s="2" t="s">
        <v>61</v>
      </c>
      <c r="C57" s="5" t="n">
        <v>1</v>
      </c>
      <c r="D57" s="2" t="s">
        <v>137</v>
      </c>
      <c r="E57" s="5" t="n">
        <v>8</v>
      </c>
      <c r="F57" s="5" t="n">
        <v>8</v>
      </c>
      <c r="G57" s="5" t="n">
        <v>8</v>
      </c>
      <c r="H57" s="5" t="n">
        <v>3</v>
      </c>
      <c r="I57" s="4" t="n">
        <f aca="false">AVERAGE(E57:H57)</f>
        <v>6.75</v>
      </c>
    </row>
    <row r="58" customFormat="false" ht="15" hidden="false" customHeight="false" outlineLevel="0" collapsed="false">
      <c r="A58" s="2" t="s">
        <v>60</v>
      </c>
      <c r="B58" s="2" t="s">
        <v>61</v>
      </c>
      <c r="C58" s="5" t="n">
        <v>2</v>
      </c>
      <c r="D58" s="2" t="s">
        <v>138</v>
      </c>
      <c r="E58" s="5" t="n">
        <v>8</v>
      </c>
      <c r="F58" s="5" t="n">
        <v>8</v>
      </c>
      <c r="G58" s="5" t="n">
        <v>8</v>
      </c>
      <c r="H58" s="5" t="n">
        <v>3</v>
      </c>
      <c r="I58" s="4" t="n">
        <f aca="false">AVERAGE(E58:H58)</f>
        <v>6.75</v>
      </c>
    </row>
    <row r="59" customFormat="false" ht="15" hidden="false" customHeight="false" outlineLevel="0" collapsed="false">
      <c r="A59" s="2" t="s">
        <v>60</v>
      </c>
      <c r="B59" s="2" t="s">
        <v>61</v>
      </c>
      <c r="C59" s="5" t="n">
        <v>3</v>
      </c>
      <c r="D59" s="2" t="s">
        <v>139</v>
      </c>
      <c r="E59" s="5" t="n">
        <v>8</v>
      </c>
      <c r="F59" s="5" t="n">
        <v>8</v>
      </c>
      <c r="G59" s="5" t="n">
        <v>7</v>
      </c>
      <c r="H59" s="5" t="n">
        <v>3</v>
      </c>
      <c r="I59" s="4" t="n">
        <f aca="false">AVERAGE(E59:H59)</f>
        <v>6.5</v>
      </c>
    </row>
    <row r="60" customFormat="false" ht="23.85" hidden="false" customHeight="false" outlineLevel="0" collapsed="false">
      <c r="A60" s="2" t="s">
        <v>60</v>
      </c>
      <c r="B60" s="2" t="s">
        <v>61</v>
      </c>
      <c r="C60" s="5" t="n">
        <v>4</v>
      </c>
      <c r="D60" s="2" t="s">
        <v>140</v>
      </c>
      <c r="E60" s="5" t="n">
        <v>8</v>
      </c>
      <c r="F60" s="5" t="n">
        <v>6</v>
      </c>
      <c r="G60" s="5" t="n">
        <v>8</v>
      </c>
      <c r="H60" s="5" t="n">
        <v>8</v>
      </c>
      <c r="I60" s="4" t="n">
        <f aca="false">AVERAGE(E60:H60)</f>
        <v>7.5</v>
      </c>
    </row>
    <row r="61" customFormat="false" ht="15" hidden="false" customHeight="false" outlineLevel="0" collapsed="false">
      <c r="A61" s="2" t="s">
        <v>60</v>
      </c>
      <c r="B61" s="2" t="s">
        <v>61</v>
      </c>
      <c r="C61" s="5" t="n">
        <v>5</v>
      </c>
      <c r="D61" s="2" t="s">
        <v>141</v>
      </c>
      <c r="E61" s="5" t="n">
        <v>7</v>
      </c>
      <c r="F61" s="5" t="n">
        <v>6</v>
      </c>
      <c r="G61" s="5" t="n">
        <v>8</v>
      </c>
      <c r="H61" s="5" t="n">
        <v>2</v>
      </c>
      <c r="I61" s="4" t="n">
        <f aca="false">AVERAGE(E61:H61)</f>
        <v>5.75</v>
      </c>
    </row>
    <row r="62" customFormat="false" ht="15" hidden="false" customHeight="false" outlineLevel="0" collapsed="false">
      <c r="A62" s="2" t="s">
        <v>65</v>
      </c>
      <c r="B62" s="2" t="s">
        <v>66</v>
      </c>
      <c r="C62" s="5" t="n">
        <v>1</v>
      </c>
      <c r="D62" s="2" t="s">
        <v>142</v>
      </c>
      <c r="E62" s="5" t="n">
        <v>9</v>
      </c>
      <c r="F62" s="5" t="n">
        <v>8</v>
      </c>
      <c r="G62" s="5" t="n">
        <v>6</v>
      </c>
      <c r="H62" s="5" t="n">
        <v>3</v>
      </c>
      <c r="I62" s="4" t="n">
        <f aca="false">AVERAGE(E62:H62)</f>
        <v>6.5</v>
      </c>
    </row>
    <row r="63" customFormat="false" ht="15" hidden="false" customHeight="false" outlineLevel="0" collapsed="false">
      <c r="A63" s="2" t="s">
        <v>65</v>
      </c>
      <c r="B63" s="2" t="s">
        <v>66</v>
      </c>
      <c r="C63" s="5" t="n">
        <v>2</v>
      </c>
      <c r="D63" s="2" t="s">
        <v>143</v>
      </c>
      <c r="E63" s="5" t="n">
        <v>9</v>
      </c>
      <c r="F63" s="5" t="n">
        <v>9</v>
      </c>
      <c r="G63" s="5" t="n">
        <v>7</v>
      </c>
      <c r="H63" s="5" t="n">
        <v>3</v>
      </c>
      <c r="I63" s="4" t="n">
        <f aca="false">AVERAGE(E63:H63)</f>
        <v>7</v>
      </c>
    </row>
    <row r="64" customFormat="false" ht="15" hidden="false" customHeight="false" outlineLevel="0" collapsed="false">
      <c r="A64" s="2" t="s">
        <v>65</v>
      </c>
      <c r="B64" s="2" t="s">
        <v>66</v>
      </c>
      <c r="C64" s="5" t="n">
        <v>3</v>
      </c>
      <c r="D64" s="2" t="s">
        <v>144</v>
      </c>
      <c r="E64" s="5" t="n">
        <v>8</v>
      </c>
      <c r="F64" s="5" t="n">
        <v>7</v>
      </c>
      <c r="G64" s="5" t="n">
        <v>8</v>
      </c>
      <c r="H64" s="5" t="n">
        <v>3</v>
      </c>
      <c r="I64" s="4" t="n">
        <f aca="false">AVERAGE(E64:H64)</f>
        <v>6.5</v>
      </c>
    </row>
    <row r="65" customFormat="false" ht="15" hidden="false" customHeight="false" outlineLevel="0" collapsed="false">
      <c r="A65" s="2" t="s">
        <v>65</v>
      </c>
      <c r="B65" s="2" t="s">
        <v>66</v>
      </c>
      <c r="C65" s="5" t="n">
        <v>4</v>
      </c>
      <c r="D65" s="2" t="s">
        <v>145</v>
      </c>
      <c r="E65" s="5" t="n">
        <v>8</v>
      </c>
      <c r="F65" s="5" t="n">
        <v>8</v>
      </c>
      <c r="G65" s="5" t="n">
        <v>7</v>
      </c>
      <c r="H65" s="5" t="n">
        <v>4</v>
      </c>
      <c r="I65" s="4" t="n">
        <f aca="false">AVERAGE(E65:H65)</f>
        <v>6.75</v>
      </c>
    </row>
    <row r="66" customFormat="false" ht="15" hidden="false" customHeight="false" outlineLevel="0" collapsed="false">
      <c r="A66" s="2" t="s">
        <v>65</v>
      </c>
      <c r="B66" s="2" t="s">
        <v>66</v>
      </c>
      <c r="C66" s="5" t="n">
        <v>5</v>
      </c>
      <c r="D66" s="2" t="s">
        <v>146</v>
      </c>
      <c r="E66" s="5" t="n">
        <v>8</v>
      </c>
      <c r="F66" s="5" t="n">
        <v>7</v>
      </c>
      <c r="G66" s="5" t="n">
        <v>7</v>
      </c>
      <c r="H66" s="5" t="n">
        <v>9</v>
      </c>
      <c r="I66" s="4" t="n">
        <f aca="false">AVERAGE(E66:H66)</f>
        <v>7.75</v>
      </c>
    </row>
    <row r="67" customFormat="false" ht="23.85" hidden="false" customHeight="false" outlineLevel="0" collapsed="false">
      <c r="A67" s="2" t="s">
        <v>70</v>
      </c>
      <c r="B67" s="2" t="s">
        <v>71</v>
      </c>
      <c r="C67" s="5" t="n">
        <v>1</v>
      </c>
      <c r="D67" s="2" t="s">
        <v>147</v>
      </c>
      <c r="E67" s="5" t="n">
        <v>8</v>
      </c>
      <c r="F67" s="5" t="n">
        <v>8</v>
      </c>
      <c r="G67" s="5" t="n">
        <v>8</v>
      </c>
      <c r="H67" s="5" t="n">
        <v>3</v>
      </c>
      <c r="I67" s="4" t="n">
        <f aca="false">AVERAGE(E67:H67)</f>
        <v>6.75</v>
      </c>
    </row>
    <row r="68" customFormat="false" ht="23.85" hidden="false" customHeight="false" outlineLevel="0" collapsed="false">
      <c r="A68" s="2" t="s">
        <v>70</v>
      </c>
      <c r="B68" s="2" t="s">
        <v>71</v>
      </c>
      <c r="C68" s="5" t="n">
        <v>2</v>
      </c>
      <c r="D68" s="2" t="s">
        <v>148</v>
      </c>
      <c r="E68" s="5" t="n">
        <v>8</v>
      </c>
      <c r="F68" s="5" t="n">
        <v>7</v>
      </c>
      <c r="G68" s="5" t="n">
        <v>8</v>
      </c>
      <c r="H68" s="5" t="n">
        <v>3</v>
      </c>
      <c r="I68" s="4" t="n">
        <f aca="false">AVERAGE(E68:H68)</f>
        <v>6.5</v>
      </c>
    </row>
    <row r="69" customFormat="false" ht="23.85" hidden="false" customHeight="false" outlineLevel="0" collapsed="false">
      <c r="A69" s="2" t="s">
        <v>70</v>
      </c>
      <c r="B69" s="2" t="s">
        <v>71</v>
      </c>
      <c r="C69" s="5" t="n">
        <v>3</v>
      </c>
      <c r="D69" s="2" t="s">
        <v>149</v>
      </c>
      <c r="E69" s="5" t="n">
        <v>9</v>
      </c>
      <c r="F69" s="5" t="n">
        <v>9</v>
      </c>
      <c r="G69" s="5" t="n">
        <v>7</v>
      </c>
      <c r="H69" s="5" t="n">
        <v>3</v>
      </c>
      <c r="I69" s="4" t="n">
        <f aca="false">AVERAGE(E69:H69)</f>
        <v>7</v>
      </c>
    </row>
    <row r="70" customFormat="false" ht="23.85" hidden="false" customHeight="false" outlineLevel="0" collapsed="false">
      <c r="A70" s="2" t="s">
        <v>70</v>
      </c>
      <c r="B70" s="2" t="s">
        <v>71</v>
      </c>
      <c r="C70" s="5" t="n">
        <v>4</v>
      </c>
      <c r="D70" s="2" t="s">
        <v>150</v>
      </c>
      <c r="E70" s="5" t="n">
        <v>8</v>
      </c>
      <c r="F70" s="5" t="n">
        <v>8</v>
      </c>
      <c r="G70" s="5" t="n">
        <v>8</v>
      </c>
      <c r="H70" s="5" t="n">
        <v>3</v>
      </c>
      <c r="I70" s="4" t="n">
        <f aca="false">AVERAGE(E70:H70)</f>
        <v>6.75</v>
      </c>
    </row>
    <row r="71" customFormat="false" ht="23.85" hidden="false" customHeight="false" outlineLevel="0" collapsed="false">
      <c r="A71" s="2" t="s">
        <v>70</v>
      </c>
      <c r="B71" s="2" t="s">
        <v>71</v>
      </c>
      <c r="C71" s="5" t="n">
        <v>5</v>
      </c>
      <c r="D71" s="2" t="s">
        <v>151</v>
      </c>
      <c r="E71" s="5" t="n">
        <v>8</v>
      </c>
      <c r="F71" s="5" t="n">
        <v>8</v>
      </c>
      <c r="G71" s="5" t="n">
        <v>7</v>
      </c>
      <c r="H71" s="5" t="n">
        <v>9</v>
      </c>
      <c r="I71" s="4" t="n">
        <f aca="false">AVERAGE(E71:H71)</f>
        <v>8</v>
      </c>
    </row>
  </sheetData>
  <autoFilter ref="A1:I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" t="s">
        <v>152</v>
      </c>
    </row>
    <row r="2" customFormat="false" ht="15" hidden="false" customHeight="false" outlineLevel="0" collapsed="false">
      <c r="A2" s="7"/>
    </row>
    <row r="3" customFormat="false" ht="23.85" hidden="false" customHeight="false" outlineLevel="0" collapsed="false">
      <c r="A3" s="7" t="s">
        <v>153</v>
      </c>
    </row>
    <row r="4" customFormat="false" ht="15" hidden="false" customHeight="false" outlineLevel="0" collapsed="false">
      <c r="A4" s="7" t="s">
        <v>154</v>
      </c>
    </row>
    <row r="5" customFormat="false" ht="35.05" hidden="false" customHeight="false" outlineLevel="0" collapsed="false">
      <c r="A5" s="7" t="s">
        <v>155</v>
      </c>
    </row>
    <row r="6" customFormat="false" ht="23.85" hidden="false" customHeight="false" outlineLevel="0" collapsed="false">
      <c r="A6" s="7" t="s">
        <v>156</v>
      </c>
    </row>
    <row r="7" customFormat="false" ht="35.05" hidden="false" customHeight="false" outlineLevel="0" collapsed="false">
      <c r="A7" s="7" t="s">
        <v>157</v>
      </c>
    </row>
    <row r="8" customFormat="false" ht="15" hidden="false" customHeight="false" outlineLevel="0" collapsed="false">
      <c r="A8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2026-10-20T19:07:59Z</dcterms:created>
  <dc:creator>openpyxl</dc:creator>
  <dc:description/>
  <dc:language>en-US</dc:language>
  <cp:lastModifiedBy/>
  <dcterms:modified xsi:type="dcterms:W3CDTF">2026-10-20T19:08:00Z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