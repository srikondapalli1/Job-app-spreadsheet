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Round Summary" sheetId="2" state="visible" r:id="rId4"/>
    <sheet name="Rubric" sheetId="3" state="visible" r:id="rId5"/>
    <sheet name="Validation (Final)" sheetId="4" state="visible" r:id="rId6"/>
    <sheet name="Revision Log" sheetId="5" state="visible" r:id="rId7"/>
    <sheet name="Round State" sheetId="6" state="visible" r:id="rId8"/>
    <sheet name="Fact Pool" sheetId="7" state="visible" r:id="rId9"/>
  </sheets>
  <definedNames>
    <definedName function="false" hidden="true" localSheetId="4" name="_xlnm._FilterDatabase" vbProcedure="false">'Revision Log'!$A$1:$O$146</definedName>
    <definedName function="false" hidden="true" localSheetId="3" name="_xlnm._FilterDatabase" vbProcedure="false">'Validation (Final)'!$A$1:$O$71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<sst xmlns="http://schemas.openxmlformats.org/spreadsheetml/2006/main" count="1016" uniqueCount="413">
  <si>
    <t xml:space="preserve">Company</t>
  </si>
  <si>
    <t xml:space="preserve">Role</t>
  </si>
  <si>
    <t xml:space="preserve">Application Link</t>
  </si>
  <si>
    <t xml:space="preserve">5 JPMC Bullets (final version)</t>
  </si>
  <si>
    <t xml:space="preserve">Final Avg (/10)</t>
  </si>
  <si>
    <t xml:space="preserve">Baseline Avg (/10)</t>
  </si>
  <si>
    <t xml:space="preserve">Eligibility / Fit Note</t>
  </si>
  <si>
    <t xml:space="preserve">Amazon (Twitch)</t>
  </si>
  <si>
    <t xml:space="preserve">Software Engineer I (Seattle)</t>
  </si>
  <si>
    <t xml:space="preserve">https://www.amazon.jobs/en/jobs/3141336/software-engineer-i</t>
  </si>
  <si>
    <t xml:space="preserve">• Own 4 Java/Spring Boot services in JPMC's payment-authorization platform on AWS (38M transactions/day, 99.95% availability); led the zero-downtime Java 17 upgrade.
• Cut p99 latency of the settlement-status API from 620ms to 210ms by adding a Redis cache and rewriting 3 slow Oracle queries.
• Built CI/CD with automated integration tests, moving releases from bi-weekly to on-demand and cutting rollbacks from 12% to 3%.
• On-call for 4 services; Grafana/Splunk alerts and runbooks cut mean-time-to-detect from 25 to 6 minutes and halved repeat pages.
• Lifted unit-test coverage on owned services from 52% to 81% in 3 weeks, using Copilot/Claude Code to draft tests I reviewed by hand.</t>
  </si>
  <si>
    <t xml:space="preserve">Asks ~1+ yr professional experience; good YOE match.</t>
  </si>
  <si>
    <t xml:space="preserve">Amazon</t>
  </si>
  <si>
    <t xml:space="preserve">Software Engineer I, Payments</t>
  </si>
  <si>
    <t xml:space="preserve">https://www.amazon.jobs/en/jobs/10502486/software-engineer-i-payments</t>
  </si>
  <si>
    <t xml:space="preserve">• Shipped 6 features to a $1.2B/day payment platform via 10%-to-100% staged rollouts and feature flags, with zero Sev-1 incidents.
• Fixed a duplicate-posting bug class by designing idempotency keys for settlement retries, eliminating ~120 duplicate transactions/month.
• Migrated 9 nightly batch jobs to Kafka event-driven services, cutting end-to-end settlement processing from 4 hours to 25 minutes.
• Added reconciliation checks and audit logging that caught 14 ledger mismatches before customers saw them.
• Built an LLM script to triage failed-payment tickets (87% accuracy on 300 labeled tickets), saving the team ~6 hrs/week.</t>
  </si>
  <si>
    <t xml:space="preserve">SDE I band; ~0-2 yrs fits. Payments domain overlaps with JPMC.</t>
  </si>
  <si>
    <t xml:space="preserve">Mastercard</t>
  </si>
  <si>
    <t xml:space="preserve">Software Engineer I (O'Fallon, MO)</t>
  </si>
  <si>
    <t xml:space="preserve">https://careers.mastercard.com/us/en/job/R-292618/Software-Engineer-I</t>
  </si>
  <si>
    <t xml:space="preserve">• Maintain 4 Java services in a 38M-events/day transaction pipeline at 99.95% availability, including on-call.
• Containerized 4 services and automated tests in CI, cutting build-and-deploy from 45 to 12 minutes and saving the team ~15 engineer-hours/month.
• Remediated 23 OWASP-class findings (injection, auth gaps) across 4 services before the audit deadline, fixing the 5 critical ones within 48 hours.
• Cut month-end reporting queries from 90s to 8s with materialized views, unblocking close for 40 ops users.
• Wrote an onboarding guide and setup scripts for a 12-person team, getting new hires to a first merged PR in 2 weeks instead of 5.</t>
  </si>
  <si>
    <t xml:space="preserve">Entry-level band; you're at/above level.</t>
  </si>
  <si>
    <t xml:space="preserve">Addepar</t>
  </si>
  <si>
    <t xml:space="preserve">Software Engineer, Full Stack - Alts &amp; Data Management</t>
  </si>
  <si>
    <t xml:space="preserve">https://job-boards.greenhouse.io/addepar1/jobs/8538666002</t>
  </si>
  <si>
    <t xml:space="preserve">• Built full-stack features (React/TypeScript + Java APIs) for a 60-user internal ops dashboard used to monitor settlement exceptions.
• Designed a pipeline normalizing 5 upstream data feeds into one schema, eliminating ~10 hrs/week of manual reconciliation.
• Cut dashboard load time from 8s to 1.5s via query optimization and pagination over 20M-row tables.
• Wrote 140 integration and data-validation tests that stopped 14 bad-data incidents from reaching client-facing reports.
• Prototyped natural-language querying over exception data with an LLM, measured at 87% accuracy on a 300-case eval set.</t>
  </si>
  <si>
    <t xml:space="preserve">Requires 2+ yrs full stack OR 1+ yr each FE/BE; borderline, stress both layers.</t>
  </si>
  <si>
    <t xml:space="preserve">Software Engineer, Fullstack</t>
  </si>
  <si>
    <t xml:space="preserve">https://job-boards.greenhouse.io/addepar1/jobs/8606946002</t>
  </si>
  <si>
    <t xml:space="preserve">• Shipped 6 features end-to-end (React, REST, Oracle) for the exceptions dashboard, lifting weekly active use from 55% to 85%.
• Refactored the settlement-status module behind a clean interface, deleting ~2K duplicated lines and halving feature lead time (2 weeks to 1) with zero regressions across 300 tests.
• Introduced OpenAPI contracts across 3 frontend/backend teams and generated typed clients, cutting integration bugs 40%.
• Owned the settlement-exceptions dashboard from design doc to production, using feature flags and monitoring for a zero-downtime rollout to 60 users.
• Wrote an AI-assisted dev playbook for 8 teammates; PR cycle time fell from 3 days to 1.8 with review standards unchanged.</t>
  </si>
  <si>
    <t xml:space="preserve">Check posting for exact YOE bar before applying.</t>
  </si>
  <si>
    <t xml:space="preserve">Rescale</t>
  </si>
  <si>
    <t xml:space="preserve">Software Engineer, Full Stack - AI &amp; Data</t>
  </si>
  <si>
    <t xml:space="preserve">https://jobs.ashbyhq.com/rescale/fdba3410-d255-4879-9a6e-bed488b4a1fc</t>
  </si>
  <si>
    <t xml:space="preserve">• Built distributed Java services on AWS (ECS, SQS) handling 38M events/day; autoscaling cut compute cost 22%.
• Designed async retry + dead-letter handling that raised job success rate from 96.8% to 99.7%.
• Built Grafana/Splunk alerting that cut mean-time-to-detect from 25 to 6 minutes across 4 distributed services.
• Built an LLM triage assistant that classifies failed jobs and proposes fixes; engineers accepted its suggestion in ~35% of cases during a 4-week pilot.
• Packaged our AWS setup as Terraform modules adopted by 3 teams: environment setup fell from 2 days to 2 hours and config drift disappeared.</t>
  </si>
  <si>
    <t xml:space="preserve">Posting cites 1-3 yrs backend/distributed systems on a major cloud + LLM/agent exposure.</t>
  </si>
  <si>
    <t xml:space="preserve">Affirm</t>
  </si>
  <si>
    <t xml:space="preserve">Software Engineer, Early Career (NYC)</t>
  </si>
  <si>
    <t xml:space="preserve">https://job-boards.greenhouse.io/affirm/jobs/8008649003</t>
  </si>
  <si>
    <t xml:space="preserve">• Kept 4 Java/Kafka services at 99.95% availability through 2 peak-volume spikes by pre-scaling consumers and load-testing at 2x.
• Added validation rules that cut erroneous postings 60% with false rejects under 0.5%.
• Raised service availability from 99.5% to 99.95% via circuit breakers, retries, and load testing at 2x peak.
• Automated routine exception handling (retries, re-queues), freeing ~10 engineer-hours/week and cutting exception-resolution time from 20 to 7 minutes.
• Used LLMs to generate test fixtures and summarize incidents, halving postmortem prep (4 hours to 2) with every output hand-reviewed.</t>
  </si>
  <si>
    <t xml:space="preserve">Older Greenhouse ID; confirm it's still open.</t>
  </si>
  <si>
    <t xml:space="preserve">Palantir</t>
  </si>
  <si>
    <t xml:space="preserve">Forward Deployed Software Engineer, New Grad - Commercial</t>
  </si>
  <si>
    <t xml:space="preserve">https://jobs.lever.co/palantir/e500bcf3-19d8-4d3c-b340-4d76e4a55b40</t>
  </si>
  <si>
    <t xml:space="preserve">• Embedded with ops stakeholders to scope and ship a settlement-exceptions tool adopted by 60 users in 4 weeks.
• Consolidated 5 data sources into one dashboard, replacing a ~10 hr/week manual reporting process.
• Turned a vague ops request into a scoped tool in 1 week by interviewing 6 analysts; shipped an MVP next sprint, now used daily by 60.
• Traced recurring data-mismatch tickets across 3 systems to a timezone bug in one feed; the fix cut related tickets 40%.
• Prototyped an LLM workflow for ticket triage with human-in-loop review, reaching 87% accuracy.</t>
  </si>
  <si>
    <t xml:space="preserve">New-grad track; may require recent-grad status.</t>
  </si>
  <si>
    <t xml:space="preserve">Harvey</t>
  </si>
  <si>
    <t xml:space="preserve">Software Engineer, New Grad (2027)</t>
  </si>
  <si>
    <t xml:space="preserve">https://jobs.ashbyhq.com/harvey/4d8dc9ba-eb86-4d88-af7d-65d2fdaf3fdc</t>
  </si>
  <si>
    <t xml:space="preserve">• Built audit logging and role-based access into 6 features in a regulated bank environment; passed internal audit with zero findings on my services.
• Built a Python service that extracts fields from settlement PDFs with an LLM plus rule-based validation, hitting 90% field accuracy on 300 labeled documents.
• Created an LLM evaluation harness (300 labeled cases, regression checks) that blocked 4 quality regressions pre-release.
• Use Claude Code and Copilot daily; tracked my PR cycle time over a quarter (3 days to 1.8) and wrote review guidelines for AI-generated code.
• Turned 12 compliance policy rules into automated pre-merge checks, replacing a manual review that took 3 hours/week.</t>
  </si>
  <si>
    <t xml:space="preserve">2027 new-grad cohort; likely requires upcoming graduation. Long shot.</t>
  </si>
  <si>
    <t xml:space="preserve">Replit</t>
  </si>
  <si>
    <t xml:space="preserve">Software Engineer - New Grad (2027)</t>
  </si>
  <si>
    <t xml:space="preserve">https://jobs.ashbyhq.com/replit/b5e81eae-06f9-4798-8988-2d06ca936dbc</t>
  </si>
  <si>
    <t xml:space="preserve">• Built an internal ops tool used by 60 engineers/analysts, cutting exception-resolution time from 20 to 7 minutes.
• Shipped the exceptions dashboard's 6 core features on weekly releases, reaching 85% weekly adoption in a month; prototyped UI variants with Claude Code in hours.
• Built AI-assisted workflows (codegen, test generation, PR summaries) adopted by 8 teammates, saving ~5 hrs/week each.
• Built a CLI that replays payment events in test environments; 6 engineers on 2 teams use it, cutting bug-repro from 2 hours to 15 minutes.
• Traced a recurring dashboard timeout to an N+1 query; the fix cut error rate from 2% to 0.3% and ended weekly escalations.</t>
  </si>
  <si>
    <t xml:space="preserve">Cursor (Anysphere)</t>
  </si>
  <si>
    <t xml:space="preserve">Software Engineer, New Grad 2027</t>
  </si>
  <si>
    <t xml:space="preserve">https://jobs.ashbyhq.com/cursor/d0e5b41d-84ab-4887-bd3a-55589b11dd7b</t>
  </si>
  <si>
    <t xml:space="preserve">• Ship daily with AI coding agents (Claude Code, Copilot); my PR throughput rose ~40% over a quarter while defect escapes stayed flat.
• Built a prompt/eval pipeline testing LLM outputs on 300 labeled cases, catching 4 regressions before release.
• Cut settlement-API p99 from 620ms to 210ms through profiling and query/caching changes.
• Built a CLI that replays payment events in test environments, cutting bug-repro from 2 hours to 15 minutes for 6 engineers.
• Added 140 integration tests and latency/error telemetry to every service I shipped, catching 9 staging regressions; AI drafted the tests, I hand-verified each.</t>
  </si>
  <si>
    <t xml:space="preserve">Wants Spring 2027 grads + open/reviewable shipped project. Long shot.</t>
  </si>
  <si>
    <t xml:space="preserve">Notion</t>
  </si>
  <si>
    <t xml:space="preserve">Software Engineer, New Grad (Dec 2026)</t>
  </si>
  <si>
    <t xml:space="preserve">https://jobs.ashbyhq.com/notion/e32799d2-8ef8-4803-8189-c72514afa816</t>
  </si>
  <si>
    <t xml:space="preserve">• Built React/TypeScript features for the 60-user exceptions dashboard, reaching 85% weekly adoption within a month.
• Improved UI load time from 8s to 1.5s via query batching, pagination, and lazy loading.
• Found 3 unused views via dashboard analytics, removed them, and lifted weekly active use from 55% to 85%.
• Cut React component and test scaffolding time ~50% with Copilot/Claude Code templates; shared the prompts with 8 teammates.
• Shipped the exceptions workflow in 5 weeks after 3 usability rounds with 8 ops users; task time dropped from 20 to 7 minutes.</t>
  </si>
  <si>
    <t xml:space="preserve">Requires graduating by Dec 2026 + prior internship. Likely ineligible.</t>
  </si>
  <si>
    <t xml:space="preserve">Whatnot</t>
  </si>
  <si>
    <t xml:space="preserve">Software Engineer, 2027 New Grad</t>
  </si>
  <si>
    <t xml:space="preserve">https://jobs.ashbyhq.com/whatnot/29bad846-de60-4be7-a222-69b97e044930</t>
  </si>
  <si>
    <t xml:space="preserve">• Built Kafka event services at ~440 events/sec (38M/day) with sub-100ms delivery, removing hot partitions via a partition-key redesign.
• Cut posting failure rate from 1.8% to 0.3% via retry logic and better error handling.
• Owned 6 features from design to rollout; 5 hit adoption targets (avg +30% weekly use) and I rolled back the sixth within a day when error metrics spiked.
• Built anomaly checks tuned on 6 months of history that block ~120 duplicate/suspicious postings a month at under 0.5% false positives.
• Built an LLM triage script (87% on 300 labeled tickets) saving ~6 hrs/week; AI coding tools cut my feature cycle time ~30%.</t>
  </si>
  <si>
    <t xml:space="preserve">Summer 2027 degree expected; likely ineligible by date.</t>
  </si>
  <si>
    <t xml:space="preserve">Zip</t>
  </si>
  <si>
    <t xml:space="preserve">Software Engineer, New Grad (2027 Start)</t>
  </si>
  <si>
    <t xml:space="preserve">https://jobs.ashbyhq.com/zip/df6eb1ee-b360-46fe-b23f-658626ec59ea/application</t>
  </si>
  <si>
    <t xml:space="preserve">• Built exception-approval workflow features for 60 ops users, automating 70% of manual steps and cutting resolution time from 20 to 7 minutes.
• Integrated 5 upstream systems via REST/Kafka with schema validation, cutting malformed-message failures from 3% to 0.2%.
• Cut exception-resolution time from 20 to 7 minutes by redesigning the workflow and adding alerts.
• Added role-based access and audit trails to 4 services, passing internal compliance review with no rework.
• Prototyped an LLM agent to extract and classify requests, hitting 87% accuracy vs. manual baseline.</t>
  </si>
  <si>
    <t xml:space="preserve">Asks for Dec 2026-Jun 2027 graduation. Likely ineligible.</t>
  </si>
  <si>
    <t xml:space="preserve">Round</t>
  </si>
  <si>
    <t xml:space="preserve">Bullets revised</t>
  </si>
  <si>
    <t xml:space="preserve">Mean score of all 70 bullets (/10)</t>
  </si>
  <si>
    <t xml:space="preserve">Bullets &gt;= 8.0</t>
  </si>
  <si>
    <t xml:space="preserve">Bullets &gt;= 7.5</t>
  </si>
  <si>
    <t xml:space="preserve">Lowest score</t>
  </si>
  <si>
    <t xml:space="preserve">Round 0 = baseline draft with illustrative numbers. Each later round: self-critique the lowest-scoring bullets, rewrite, rescore. Scores are my own judgment against the rubric, not an objective measure; later gains shrink because the AI-fluency dimension limits bullets where AI isn't relevant (see Rubric tab, suggestion 2).</t>
  </si>
  <si>
    <t xml:space="preserve">Rubric v2 (7 dimensions, weighted). Blue cells are editable inputs; every score in the workbook recalculates from them.</t>
  </si>
  <si>
    <t xml:space="preserve">Dimension</t>
  </si>
  <si>
    <t xml:space="preserve">Weight</t>
  </si>
  <si>
    <t xml:space="preserve">What a 10 looks like</t>
  </si>
  <si>
    <t xml:space="preserve">Why it matters for getting interviews</t>
  </si>
  <si>
    <t xml:space="preserve">Concise &amp; Punchy</t>
  </si>
  <si>
    <t xml:space="preserve">One line, strong verb first, result visible in the first 8 words.</t>
  </si>
  <si>
    <t xml:space="preserve">Recruiters skim a resume in ~7 seconds; long bullets get skipped.</t>
  </si>
  <si>
    <t xml:space="preserve">Overall Impact</t>
  </si>
  <si>
    <t xml:space="preserve">Measurable outcome tied to users, money, reliability or speed.</t>
  </si>
  <si>
    <t xml:space="preserve">Outcomes, not duties, separate shortlisted resumes.</t>
  </si>
  <si>
    <t xml:space="preserve">Realistic for ~1 YOE</t>
  </si>
  <si>
    <t xml:space="preserve">Scope is believable for ~15 months: owned a feature/service, not an org.</t>
  </si>
  <si>
    <t xml:space="preserve">Over-claiming gets exposed in the phone screen and sinks you.</t>
  </si>
  <si>
    <t xml:space="preserve">AI-Native Fluency</t>
  </si>
  <si>
    <t xml:space="preserve">Shows concrete AI-assisted workflow or LLM work with measurement and human review.</t>
  </si>
  <si>
    <t xml:space="preserve">AI-first employers screen for it; matters less at traditional shops.</t>
  </si>
  <si>
    <t xml:space="preserve">JD Alignment</t>
  </si>
  <si>
    <t xml:space="preserve">Mirrors this role's stack, domain and keywords (NEW vs v1).</t>
  </si>
  <si>
    <t xml:space="preserve">ATS and recruiters match on keywords; same bullet scores differently per job.</t>
  </si>
  <si>
    <t xml:space="preserve">Credibility / Defensible</t>
  </si>
  <si>
    <t xml:space="preserve">Every number can be explained in 60 seconds in an interview (NEW).</t>
  </si>
  <si>
    <t xml:space="preserve">Interviewers probe each metric; undefendable numbers are the top rejection cause.</t>
  </si>
  <si>
    <t xml:space="preserve">Interview Hook</t>
  </si>
  <si>
    <t xml:space="preserve">Contains a decision, trade-off or story that invites a follow-up question (NEW).</t>
  </si>
  <si>
    <t xml:space="preserve">Bullets are conversation starters; the interview IS the goal.</t>
  </si>
  <si>
    <t xml:space="preserve">Gate threshold</t>
  </si>
  <si>
    <t xml:space="preserve">If Realistic OR Credibility scores below this, a penalty applies.</t>
  </si>
  <si>
    <t xml:space="preserve">Gate penalty (points)</t>
  </si>
  <si>
    <t xml:space="preserve">Subtracted from the weighted score. Prevents a flashy but undefendable bullet from ranking high.</t>
  </si>
  <si>
    <t xml:space="preserve">Weights total (must be 1.00)</t>
  </si>
  <si>
    <t xml:space="preserve">Suggested rubric improvements (my recommendations)</t>
  </si>
  <si>
    <t xml:space="preserve">1. Score against the specific job description, not in a vacuum. 'JD Alignment' is now a dimension; before applying, rerun it per posting.</t>
  </si>
  <si>
    <t xml:space="preserve">2. Make AI-fluency weight role-dependent: ~20% for Cursor/Replit/Harvey-type AI-first companies, ~5% for Mastercard/Amazon. Right now it caps non-AI bullets near 7.7-8; set weights per company in the Rubric tab to see the effect.</t>
  </si>
  <si>
    <t xml:space="preserve">3. Score Credibility from an interviewer's viewpoint: could you explain the number, the baseline and the measurement method in 60 seconds? If not, cut it.</t>
  </si>
  <si>
    <t xml:space="preserve">4. Add an ATS-keyword check (exact stack terms from the JD: e.g., Kafka, Terraform, React). Not scored here because it needs the full JD text.</t>
  </si>
  <si>
    <t xml:space="preserve">5. Score the full resume, not bullets in isolation: variety (not 5 latency bullets), and no repeated claim across roles.</t>
  </si>
  <si>
    <t xml:space="preserve">6. Replace self-scoring with outside signal: have 2-3 engineers or a recruiter rate the top bullets blind, and track which versions actually get recruiter replies.</t>
  </si>
  <si>
    <t xml:space="preserve">7. Interview conversion is the true metric: after ~15 applications compare callback rates by bullet style and re-weight the rubric to match.</t>
  </si>
  <si>
    <t xml:space="preserve">Bullet #</t>
  </si>
  <si>
    <t xml:space="preserve">Final Bullet (illustrative numbers)</t>
  </si>
  <si>
    <t xml:space="preserve">Credibility</t>
  </si>
  <si>
    <t xml:space="preserve">Final Score (/10)</t>
  </si>
  <si>
    <t xml:space="preserve">Baseline Score (/10)</t>
  </si>
  <si>
    <t xml:space="preserve">Change</t>
  </si>
  <si>
    <t xml:space="preserve">Key</t>
  </si>
  <si>
    <t xml:space="preserve">Own 4 Java/Spring Boot services in JPMC's payment-authorization platform on AWS (38M transactions/day, 99.95% availability); led the zero-downtime Java 17 upgrade.</t>
  </si>
  <si>
    <t xml:space="preserve">Cut p99 latency of the settlement-status API from 620ms to 210ms by adding a Redis cache and rewriting 3 slow Oracle queries.</t>
  </si>
  <si>
    <t xml:space="preserve">Built CI/CD with automated integration tests, moving releases from bi-weekly to on-demand and cutting rollbacks from 12% to 3%.</t>
  </si>
  <si>
    <t xml:space="preserve">On-call for 4 services; Grafana/Splunk alerts and runbooks cut mean-time-to-detect from 25 to 6 minutes and halved repeat pages.</t>
  </si>
  <si>
    <t xml:space="preserve">Lifted unit-test coverage on owned services from 52% to 81% in 3 weeks, using Copilot/Claude Code to draft tests I reviewed by hand.</t>
  </si>
  <si>
    <t xml:space="preserve">Shipped 6 features to a $1.2B/day payment platform via 10%-to-100% staged rollouts and feature flags, with zero Sev-1 incidents.</t>
  </si>
  <si>
    <t xml:space="preserve">Fixed a duplicate-posting bug class by designing idempotency keys for settlement retries, eliminating ~120 duplicate transactions/month.</t>
  </si>
  <si>
    <t xml:space="preserve">Migrated 9 nightly batch jobs to Kafka event-driven services, cutting end-to-end settlement processing from 4 hours to 25 minutes.</t>
  </si>
  <si>
    <t xml:space="preserve">Added reconciliation checks and audit logging that caught 14 ledger mismatches before customers saw them.</t>
  </si>
  <si>
    <t xml:space="preserve">Built an LLM script to triage failed-payment tickets (87% accuracy on 300 labeled tickets), saving the team ~6 hrs/week.</t>
  </si>
  <si>
    <t xml:space="preserve">Maintain 4 Java services in a 38M-events/day transaction pipeline at 99.95% availability, including on-call.</t>
  </si>
  <si>
    <t xml:space="preserve">Containerized 4 services and automated tests in CI, cutting build-and-deploy from 45 to 12 minutes and saving the team ~15 engineer-hours/month.</t>
  </si>
  <si>
    <t xml:space="preserve">Remediated 23 OWASP-class findings (injection, auth gaps) across 4 services before the audit deadline, fixing the 5 critical ones within 48 hours.</t>
  </si>
  <si>
    <t xml:space="preserve">Cut month-end reporting queries from 90s to 8s with materialized views, unblocking close for 40 ops users.</t>
  </si>
  <si>
    <t xml:space="preserve">Wrote an onboarding guide and setup scripts for a 12-person team, getting new hires to a first merged PR in 2 weeks instead of 5.</t>
  </si>
  <si>
    <t xml:space="preserve">Built full-stack features (React/TypeScript + Java APIs) for a 60-user internal ops dashboard used to monitor settlement exceptions.</t>
  </si>
  <si>
    <t xml:space="preserve">Designed a pipeline normalizing 5 upstream data feeds into one schema, eliminating ~10 hrs/week of manual reconciliation.</t>
  </si>
  <si>
    <t xml:space="preserve">Cut dashboard load time from 8s to 1.5s via query optimization and pagination over 20M-row tables.</t>
  </si>
  <si>
    <t xml:space="preserve">Wrote 140 integration and data-validation tests that stopped 14 bad-data incidents from reaching client-facing reports.</t>
  </si>
  <si>
    <t xml:space="preserve">Prototyped natural-language querying over exception data with an LLM, measured at 87% accuracy on a 300-case eval set.</t>
  </si>
  <si>
    <t xml:space="preserve">Shipped 6 features end-to-end (React, REST, Oracle) for the exceptions dashboard, lifting weekly active use from 55% to 85%.</t>
  </si>
  <si>
    <t xml:space="preserve">Refactored the settlement-status module behind a clean interface, deleting ~2K duplicated lines and halving feature lead time (2 weeks to 1) with zero regressions across 300 tests.</t>
  </si>
  <si>
    <t xml:space="preserve">Introduced OpenAPI contracts across 3 frontend/backend teams and generated typed clients, cutting integration bugs 40%.</t>
  </si>
  <si>
    <t xml:space="preserve">Owned the settlement-exceptions dashboard from design doc to production, using feature flags and monitoring for a zero-downtime rollout to 60 users.</t>
  </si>
  <si>
    <t xml:space="preserve">Wrote an AI-assisted dev playbook for 8 teammates; PR cycle time fell from 3 days to 1.8 with review standards unchanged.</t>
  </si>
  <si>
    <t xml:space="preserve">Built distributed Java services on AWS (ECS, SQS) handling 38M events/day; autoscaling cut compute cost 22%.</t>
  </si>
  <si>
    <t xml:space="preserve">Designed async retry + dead-letter handling that raised job success rate from 96.8% to 99.7%.</t>
  </si>
  <si>
    <t xml:space="preserve">Built Grafana/Splunk alerting that cut mean-time-to-detect from 25 to 6 minutes across 4 distributed services.</t>
  </si>
  <si>
    <t xml:space="preserve">Built an LLM triage assistant that classifies failed jobs and proposes fixes; engineers accepted its suggestion in ~35% of cases during a 4-week pilot.</t>
  </si>
  <si>
    <t xml:space="preserve">Packaged our AWS setup as Terraform modules adopted by 3 teams: environment setup fell from 2 days to 2 hours and config drift disappeared.</t>
  </si>
  <si>
    <t xml:space="preserve">Kept 4 Java/Kafka services at 99.95% availability through 2 peak-volume spikes by pre-scaling consumers and load-testing at 2x.</t>
  </si>
  <si>
    <t xml:space="preserve">Added validation rules that cut erroneous postings 60% with false rejects under 0.5%.</t>
  </si>
  <si>
    <t xml:space="preserve">Raised service availability from 99.5% to 99.95% via circuit breakers, retries, and load testing at 2x peak.</t>
  </si>
  <si>
    <t xml:space="preserve">Automated routine exception handling (retries, re-queues), freeing ~10 engineer-hours/week and cutting exception-resolution time from 20 to 7 minutes.</t>
  </si>
  <si>
    <t xml:space="preserve">Used LLMs to generate test fixtures and summarize incidents, halving postmortem prep (4 hours to 2) with every output hand-reviewed.</t>
  </si>
  <si>
    <t xml:space="preserve">Embedded with ops stakeholders to scope and ship a settlement-exceptions tool adopted by 60 users in 4 weeks.</t>
  </si>
  <si>
    <t xml:space="preserve">Consolidated 5 data sources into one dashboard, replacing a ~10 hr/week manual reporting process.</t>
  </si>
  <si>
    <t xml:space="preserve">Turned a vague ops request into a scoped tool in 1 week by interviewing 6 analysts; shipped an MVP next sprint, now used daily by 60.</t>
  </si>
  <si>
    <t xml:space="preserve">Traced recurring data-mismatch tickets across 3 systems to a timezone bug in one feed; the fix cut related tickets 40%.</t>
  </si>
  <si>
    <t xml:space="preserve">Prototyped an LLM workflow for ticket triage with human-in-loop review, reaching 87% accuracy.</t>
  </si>
  <si>
    <t xml:space="preserve">Built audit logging and role-based access into 6 features in a regulated bank environment; passed internal audit with zero findings on my services.</t>
  </si>
  <si>
    <t xml:space="preserve">Built a Python service that extracts fields from settlement PDFs with an LLM plus rule-based validation, hitting 90% field accuracy on 300 labeled documents.</t>
  </si>
  <si>
    <t xml:space="preserve">Created an LLM evaluation harness (300 labeled cases, regression checks) that blocked 4 quality regressions pre-release.</t>
  </si>
  <si>
    <t xml:space="preserve">Use Claude Code and Copilot daily; tracked my PR cycle time over a quarter (3 days to 1.8) and wrote review guidelines for AI-generated code.</t>
  </si>
  <si>
    <t xml:space="preserve">Turned 12 compliance policy rules into automated pre-merge checks, replacing a manual review that took 3 hours/week.</t>
  </si>
  <si>
    <t xml:space="preserve">Built an internal ops tool used by 60 engineers/analysts, cutting exception-resolution time from 20 to 7 minutes.</t>
  </si>
  <si>
    <t xml:space="preserve">Shipped the exceptions dashboard's 6 core features on weekly releases, reaching 85% weekly adoption in a month; prototyped UI variants with Claude Code in hours.</t>
  </si>
  <si>
    <t xml:space="preserve">Built AI-assisted workflows (codegen, test generation, PR summaries) adopted by 8 teammates, saving ~5 hrs/week each.</t>
  </si>
  <si>
    <t xml:space="preserve">Built a CLI that replays payment events in test environments; 6 engineers on 2 teams use it, cutting bug-repro from 2 hours to 15 minutes.</t>
  </si>
  <si>
    <t xml:space="preserve">Traced a recurring dashboard timeout to an N+1 query; the fix cut error rate from 2% to 0.3% and ended weekly escalations.</t>
  </si>
  <si>
    <t xml:space="preserve">Ship daily with AI coding agents (Claude Code, Copilot); my PR throughput rose ~40% over a quarter while defect escapes stayed flat.</t>
  </si>
  <si>
    <t xml:space="preserve">Built a prompt/eval pipeline testing LLM outputs on 300 labeled cases, catching 4 regressions before release.</t>
  </si>
  <si>
    <t xml:space="preserve">Cut settlement-API p99 from 620ms to 210ms through profiling and query/caching changes.</t>
  </si>
  <si>
    <t xml:space="preserve">Built a CLI that replays payment events in test environments, cutting bug-repro from 2 hours to 15 minutes for 6 engineers.</t>
  </si>
  <si>
    <t xml:space="preserve">Added 140 integration tests and latency/error telemetry to every service I shipped, catching 9 staging regressions; AI drafted the tests, I hand-verified each.</t>
  </si>
  <si>
    <t xml:space="preserve">Built React/TypeScript features for the 60-user exceptions dashboard, reaching 85% weekly adoption within a month.</t>
  </si>
  <si>
    <t xml:space="preserve">Improved UI load time from 8s to 1.5s via query batching, pagination, and lazy loading.</t>
  </si>
  <si>
    <t xml:space="preserve">Found 3 unused views via dashboard analytics, removed them, and lifted weekly active use from 55% to 85%.</t>
  </si>
  <si>
    <t xml:space="preserve">Cut React component and test scaffolding time ~50% with Copilot/Claude Code templates; shared the prompts with 8 teammates.</t>
  </si>
  <si>
    <t xml:space="preserve">Shipped the exceptions workflow in 5 weeks after 3 usability rounds with 8 ops users; task time dropped from 20 to 7 minutes.</t>
  </si>
  <si>
    <t xml:space="preserve">Built Kafka event services at ~440 events/sec (38M/day) with sub-100ms delivery, removing hot partitions via a partition-key redesign.</t>
  </si>
  <si>
    <t xml:space="preserve">Cut posting failure rate from 1.8% to 0.3% via retry logic and better error handling.</t>
  </si>
  <si>
    <t xml:space="preserve">Owned 6 features from design to rollout; 5 hit adoption targets (avg +30% weekly use) and I rolled back the sixth within a day when error metrics spiked.</t>
  </si>
  <si>
    <t xml:space="preserve">Built anomaly checks tuned on 6 months of history that block ~120 duplicate/suspicious postings a month at under 0.5% false positives.</t>
  </si>
  <si>
    <t xml:space="preserve">Built an LLM triage script (87% on 300 labeled tickets) saving ~6 hrs/week; AI coding tools cut my feature cycle time ~30%.</t>
  </si>
  <si>
    <t xml:space="preserve">Built exception-approval workflow features for 60 ops users, automating 70% of manual steps and cutting resolution time from 20 to 7 minutes.</t>
  </si>
  <si>
    <t xml:space="preserve">Integrated 5 upstream systems via REST/Kafka with schema validation, cutting malformed-message failures from 3% to 0.2%.</t>
  </si>
  <si>
    <t xml:space="preserve">Cut exception-resolution time from 20 to 7 minutes by redesigning the workflow and adding alerts.</t>
  </si>
  <si>
    <t xml:space="preserve">Added role-based access and audit trails to 4 services, passing internal compliance review with no rework.</t>
  </si>
  <si>
    <t xml:space="preserve">Prototyped an LLM agent to extract and classify requests, hitting 87% accuracy vs. manual baseline.</t>
  </si>
  <si>
    <t xml:space="preserve">Bullet text</t>
  </si>
  <si>
    <t xml:space="preserve">Concise</t>
  </si>
  <si>
    <t xml:space="preserve">Impact</t>
  </si>
  <si>
    <t xml:space="preserve">Realistic</t>
  </si>
  <si>
    <t xml:space="preserve">AI-Native</t>
  </si>
  <si>
    <t xml:space="preserve">JD Align</t>
  </si>
  <si>
    <t xml:space="preserve">Hook</t>
  </si>
  <si>
    <t xml:space="preserve">Score (/10)</t>
  </si>
  <si>
    <t xml:space="preserve">Self-critique driving this revision</t>
  </si>
  <si>
    <t xml:space="preserve">Owned 4 Java/Spring Boot microservices in JPMC's payment-authorization platform on AWS, serving 38M transactions/day at 99.95% availability.</t>
  </si>
  <si>
    <t xml:space="preserve">Baseline draft with illustrative numbers.</t>
  </si>
  <si>
    <t xml:space="preserve">No standout moment.</t>
  </si>
  <si>
    <t xml:space="preserve">Built CI/CD pipeline with automated integration tests, moving releases from bi-weekly to on-demand and dropping rollback rate from 12% to 3%.</t>
  </si>
  <si>
    <t xml:space="preserve">Built a CI/CD pipeline with automated integration tests, moving releases from bi-weekly to on-demand and cutting rollbacks from 12% to 3%.</t>
  </si>
  <si>
    <t xml:space="preserve">Dull verb; rollback stat buried.</t>
  </si>
  <si>
    <t xml:space="preserve">Tighten.</t>
  </si>
  <si>
    <t xml:space="preserve">Served on on-call rotation; built Grafana/Splunk dashboards and runbooks that cut mean-time-to-detect from 25 to 6 minutes.</t>
  </si>
  <si>
    <t xml:space="preserve">On-call for 4 services: built Grafana/Splunk alerts and runbooks that cut mean-time-to-detect from 25 to 6 minutes and halved repeat pages.</t>
  </si>
  <si>
    <t xml:space="preserve">Tool list, not outcome.</t>
  </si>
  <si>
    <t xml:space="preserve">Used GitHub Copilot and Claude Code for test generation, lifting unit-test coverage on owned services from 52% to 81% in 3 weeks.</t>
  </si>
  <si>
    <t xml:space="preserve">Lead with the outcome; human-review caveat adds credibility.</t>
  </si>
  <si>
    <t xml:space="preserve">Shipped 6 features in JPMC's payment-processing stack handling $1.2B/day with zero Sev-1 incidents after launch.</t>
  </si>
  <si>
    <t xml:space="preserve">Shipped 6 features on a payment platform processing $1.2B/day with zero Sev-1 incidents post-launch, using staged rollouts and feature flags.</t>
  </si>
  <si>
    <t xml:space="preserve">Platform-scale number reads as personal claim.</t>
  </si>
  <si>
    <t xml:space="preserve">Scale claim needs a mechanism to be credible.</t>
  </si>
  <si>
    <t xml:space="preserve">Added reconciliation checks and audit logging that caught 14 ledger mismatches before reaching customers.</t>
  </si>
  <si>
    <t xml:space="preserve">Developed and maintained Java services in a transaction pipeline processing 38M events/day.</t>
  </si>
  <si>
    <t xml:space="preserve">Duty, not achievement.</t>
  </si>
  <si>
    <t xml:space="preserve">Containerized 4 services and automated tests in CI, cutting build-and-deploy time from 45 to 12 minutes.</t>
  </si>
  <si>
    <t xml:space="preserve">Time saved is abstract; convert to team impact.</t>
  </si>
  <si>
    <t xml:space="preserve">Closed 23 security-scan findings (OWASP top-10) ahead of audit deadline, with zero re-opened.</t>
  </si>
  <si>
    <t xml:space="preserve">Remediated 23 OWASP-class scan findings (injection, auth gaps) across 4 services before the audit deadline, with zero re-opens.</t>
  </si>
  <si>
    <t xml:space="preserve">Counts findings but not what kind or scope.</t>
  </si>
  <si>
    <t xml:space="preserve">No prioritization story.</t>
  </si>
  <si>
    <t xml:space="preserve">Partnered with QA and product to deliver a settlement-reporting feature 2 sprints ahead of plan for 40 internal users.</t>
  </si>
  <si>
    <t xml:space="preserve">Delivered a settlement-reporting feature for 40 ops users 2 sprints early by cutting scope with product and automating regression with 60 tests.</t>
  </si>
  <si>
    <t xml:space="preserve">Generic 'partnered' language, no specifics.</t>
  </si>
  <si>
    <t xml:space="preserve">Shipped a settlement-reporting feature for 40 ops users 2 sprints early by cutting scope with product; 60 AI-drafted, hand-reviewed regression tests covered edge cases manual QA missed.</t>
  </si>
  <si>
    <t xml:space="preserve">Still generic; no evidence of quality or how scope was cut.</t>
  </si>
  <si>
    <t xml:space="preserve">Weakest bullet: no concrete technical decision. Swapped for a stronger story from the same fact pool.</t>
  </si>
  <si>
    <t xml:space="preserve">Used AI coding tools to accelerate refactors and docs; new teammates ramped in 2 weeks vs. 5 after my onboarding guide.</t>
  </si>
  <si>
    <t xml:space="preserve">Wrote an onboarding guide and setup scripts that got new hires to a first merged PR in 2 weeks instead of 5.</t>
  </si>
  <si>
    <t xml:space="preserve">Two ideas muddled (AI tools + onboarding); weak causal link.</t>
  </si>
  <si>
    <t xml:space="preserve">Team scope missing.</t>
  </si>
  <si>
    <t xml:space="preserve">Wrote 140 integration and data-validation tests that caught 14 bad-data cases before client-facing reports.</t>
  </si>
  <si>
    <t xml:space="preserve">Detects bugs but not business protection.</t>
  </si>
  <si>
    <t xml:space="preserve">Shipped 6 customer-impacting features end-to-end (React, REST, Oracle) in 2-week cycles at JPMC.</t>
  </si>
  <si>
    <t xml:space="preserve">Shipped 6 features end-to-end (React, REST APIs, Oracle) for the settlement-exceptions dashboard, raising weekly active use from 55% to 85%.</t>
  </si>
  <si>
    <t xml:space="preserve">Activity statement; no outcome.</t>
  </si>
  <si>
    <t xml:space="preserve">Refactored the settlement-status module, removing ~30% duplicated logic and cutting new-feature time by a third.</t>
  </si>
  <si>
    <t xml:space="preserve">Refactored the settlement-status module behind a clean interface, deleting ~2K duplicated lines and cutting new-feature lead time from 2 weeks to 1.</t>
  </si>
  <si>
    <t xml:space="preserve">Fuzzy: what changed, how much, why it matters?</t>
  </si>
  <si>
    <t xml:space="preserve">Refactored the settlement-status module behind a clean interface, deleting ~2K duplicated lines and halving feature lead time (2 weeks to 1).</t>
  </si>
  <si>
    <t xml:space="preserve">Impact phrased vaguely ('a third').</t>
  </si>
  <si>
    <t xml:space="preserve">Add proof the refactor was safe.</t>
  </si>
  <si>
    <t xml:space="preserve">Introduced OpenAPI contracts between 3 frontend and backend teams, reducing integration bugs by 40%.</t>
  </si>
  <si>
    <t xml:space="preserve">Introduced OpenAPI contracts across 3 frontend and backend teams, cutting integration bugs 40% and auto-generating typed clients.</t>
  </si>
  <si>
    <t xml:space="preserve">Missing the mechanism.</t>
  </si>
  <si>
    <t xml:space="preserve">Owned the settlement-exceptions dashboard from design doc to production, using feature flags and monitoring for a zero-downtime rollout.</t>
  </si>
  <si>
    <t xml:space="preserve">Anchor to scale.</t>
  </si>
  <si>
    <t xml:space="preserve">Shared an AI-assisted dev playbook with 8 teammates, reducing PR cycle time from 3 days to 1.8 days.</t>
  </si>
  <si>
    <t xml:space="preserve">Add the quality guardrail.</t>
  </si>
  <si>
    <t xml:space="preserve">Built distributed Java services on AWS (ECS, SQS) handling 38M events/day; autoscaling cut compute costs 22%.</t>
  </si>
  <si>
    <t xml:space="preserve">Built Grafana/Splunk observability and alerting that reduced mean-time-to-detect from 25 to 6 minutes.</t>
  </si>
  <si>
    <t xml:space="preserve">Duplicate framing of (0,3); lacks scope.</t>
  </si>
  <si>
    <t xml:space="preserve">Built an LLM agent that triages failed jobs and resolves ~35% of cases without human escalation.</t>
  </si>
  <si>
    <t xml:space="preserve">Autonomous-resolution claim is hard to defend at 1 YOE.</t>
  </si>
  <si>
    <t xml:space="preserve">Wrote Python tooling and Terraform modules adopted by 3 teams to standardize deployments.</t>
  </si>
  <si>
    <t xml:space="preserve">Wrote Terraform modules and Python deploy scripts adopted by 3 teams, cutting new-environment setup from 2 days to 2 hours.</t>
  </si>
  <si>
    <t xml:space="preserve">'Standardize' is vague; no before/after.</t>
  </si>
  <si>
    <t xml:space="preserve">Packaged our AWS setup as reusable Terraform modules adopted by 3 teams, cutting environment setup from 2 days to 2 hours and eliminating config drift.</t>
  </si>
  <si>
    <t xml:space="preserve">'Adopted by 3 teams' lacks the pain removed.</t>
  </si>
  <si>
    <t xml:space="preserve">Developed backend Java services for payment flows handling $1.2B/day across 38M transactions.</t>
  </si>
  <si>
    <t xml:space="preserve">Own 4 backend services (Java, Kafka) on a platform processing 38M transactions/day; held 99.95% availability while on call.</t>
  </si>
  <si>
    <t xml:space="preserve">$1.2B/day is platform scale, not my contribution: overclaim risk.</t>
  </si>
  <si>
    <t xml:space="preserve">Own 4 Java/Kafka services in a 38M-transactions/day platform, holding 99.95% availability through on-call and 2 peak-volume spikes.</t>
  </si>
  <si>
    <t xml:space="preserve">Duty-style; no hard moment.</t>
  </si>
  <si>
    <t xml:space="preserve">Make the hard moment the headline.</t>
  </si>
  <si>
    <t xml:space="preserve">Added validation rules that cut erroneous postings 60% while holding false-rejects below 0.5%.</t>
  </si>
  <si>
    <t xml:space="preserve">Built internal tooling automating exception handling, saving ~10 engineer-hours per week.</t>
  </si>
  <si>
    <t xml:space="preserve">Automated routine exception handling (retries, re-queues) with a rules-based service, freeing ~10 engineer-hours/week.</t>
  </si>
  <si>
    <t xml:space="preserve">'Internal tooling' is vague: what exactly was automated?</t>
  </si>
  <si>
    <t xml:space="preserve">No outcome beyond hours saved.</t>
  </si>
  <si>
    <t xml:space="preserve">Used LLM tools to generate test fixtures and summarize incidents, halving postmortem prep time.</t>
  </si>
  <si>
    <t xml:space="preserve">Halving claim unspecified; no human-review caveat.</t>
  </si>
  <si>
    <t xml:space="preserve">Translated ambiguous requirements from 3 business teams into scoped deliverables, presented results to VP-level stakeholders.</t>
  </si>
  <si>
    <t xml:space="preserve">No outcome; 'VP-level' is an unverifiable stretch for 1 YOE.</t>
  </si>
  <si>
    <t xml:space="preserve">Debugged cross-system production data issues, cutting recurring incident tickets 40%.</t>
  </si>
  <si>
    <t xml:space="preserve">Result without a cause: no story.</t>
  </si>
  <si>
    <t xml:space="preserve">Shipped 6 production features in a regulated banking environment with audit and compliance requirements built into design.</t>
  </si>
  <si>
    <t xml:space="preserve">Shipped 6 production features in a regulated bank environment, building audit logging and access controls into each design.</t>
  </si>
  <si>
    <t xml:space="preserve">Generic; no concrete evidence of regulated-domain rigor.</t>
  </si>
  <si>
    <t xml:space="preserve">Compliance rigor asserted, not shown.</t>
  </si>
  <si>
    <t xml:space="preserve">Built a document-processing pipeline handling 5K files/month with 90% extraction accuracy and full audit traceability.</t>
  </si>
  <si>
    <t xml:space="preserve">Introduced a fact outside my story (5K files/month): not defensible.</t>
  </si>
  <si>
    <t xml:space="preserve">Use AI coding agents daily, shipping PRs ~40% faster; authored team guidelines for reviewing AI-generated code.</t>
  </si>
  <si>
    <t xml:space="preserve">'~40% faster' is unmeasured-sounding.</t>
  </si>
  <si>
    <t xml:space="preserve">Worked with compliance to turn 12 policy rules into automated checks.</t>
  </si>
  <si>
    <t xml:space="preserve">Replace duty with outcome and automation angle.</t>
  </si>
  <si>
    <t xml:space="preserve">Shipped 6 features end-to-end (TypeScript/React + Java) with weekly releases.</t>
  </si>
  <si>
    <t xml:space="preserve">Shipped 6 features end-to-end on weekly releases, from React UI to Java API, each behind a feature flag with adoption tracked.</t>
  </si>
  <si>
    <t xml:space="preserve">Pure activity statement, zero outcome.</t>
  </si>
  <si>
    <t xml:space="preserve">Activity list; no outcome, no AI-native signal for an AI-first company.</t>
  </si>
  <si>
    <t xml:space="preserve">Documented and internally open-sourced a settlement-testing CLI with 6 adopters across 2 teams.</t>
  </si>
  <si>
    <t xml:space="preserve">Built a CLI that replays payment events in test environments; 6 engineers on 2 teams use it, cutting bug-repro time from ~2 hours to 15 minutes.</t>
  </si>
  <si>
    <t xml:space="preserve">Low impact; no measured benefit.</t>
  </si>
  <si>
    <t xml:space="preserve">Before/after buried.</t>
  </si>
  <si>
    <t xml:space="preserve">Fixed 15 production issues across the stack, improving dashboard error rate from 2% to 0.3%.</t>
  </si>
  <si>
    <t xml:space="preserve">List-of-fixes style; no story to ask about.</t>
  </si>
  <si>
    <t xml:space="preserve">Ship daily with AI coding agents (Claude Code, Copilot) as primary workflow; delivered ~40% more PRs per sprint.</t>
  </si>
  <si>
    <t xml:space="preserve">'~40% more PRs' sounds like vanity; no quality counterweight.</t>
  </si>
  <si>
    <t xml:space="preserve">Built a CLI for replaying payment events in test environments, used by 6 engineers.</t>
  </si>
  <si>
    <t xml:space="preserve">Lead with the result.</t>
  </si>
  <si>
    <t xml:space="preserve">Own quality end-to-end: 140 tests, telemetry, and monitored rollouts for every feature shipped.</t>
  </si>
  <si>
    <t xml:space="preserve">Added 140 integration tests and latency/error telemetry to every service I shipped, catching 9 regressions in staging before production.</t>
  </si>
  <si>
    <t xml:space="preserve">Vague claim, no outcome or evidence.</t>
  </si>
  <si>
    <t xml:space="preserve">Testing bullet with no AI-native angle for Cursor.</t>
  </si>
  <si>
    <t xml:space="preserve">Built React/TypeScript dashboard features for 60 internal users with 85% weekly adoption in the first month.</t>
  </si>
  <si>
    <t xml:space="preserve">Wordy.</t>
  </si>
  <si>
    <t xml:space="preserve">Instrumented usage funnels that informed 3 product decisions and raised task completion 18%.</t>
  </si>
  <si>
    <t xml:space="preserve">Added usage analytics to the exceptions dashboard, found 3 unused views, removed them, and lifted weekly active use from 55% to 85%.</t>
  </si>
  <si>
    <t xml:space="preserve">Product-impact claim (+18%) hard to defend for an engineer.</t>
  </si>
  <si>
    <t xml:space="preserve">Lead with the finding.</t>
  </si>
  <si>
    <t xml:space="preserve">Used AI assistants for scaffolding and test generation; shared prompt patterns with 8 teammates.</t>
  </si>
  <si>
    <t xml:space="preserve">Cut component-and-test scaffolding time ~50% with Copilot/Claude Code templates, then shared the prompt patterns with 8 teammates.</t>
  </si>
  <si>
    <t xml:space="preserve">No measurable result for the AI claim.</t>
  </si>
  <si>
    <t xml:space="preserve">Partnered with design and PM to ship the exceptions workflow from spec to launch in 5 weeks.</t>
  </si>
  <si>
    <t xml:space="preserve">Shipped the exceptions workflow in 5 weeks, running 3 usability rounds with 8 ops users alongside design and PM.</t>
  </si>
  <si>
    <t xml:space="preserve">Collaboration claim without evidence.</t>
  </si>
  <si>
    <t xml:space="preserve">No user outcome.</t>
  </si>
  <si>
    <t xml:space="preserve">Built Kafka-based event services handling ~440 events/sec (38M/day) with sub-100ms delivery.</t>
  </si>
  <si>
    <t xml:space="preserve">Throughput stated without the engineering decision.</t>
  </si>
  <si>
    <t xml:space="preserve">Shipped 6 features end-to-end in 2-week sprints, owning design, rollout, and post-launch metrics.</t>
  </si>
  <si>
    <t xml:space="preserve">Owned 6 features from design doc to rollout and tracked post-launch metrics; 5 of 6 hit their adoption targets.</t>
  </si>
  <si>
    <t xml:space="preserve">Boilerplate; same as 100 other resumes.</t>
  </si>
  <si>
    <t xml:space="preserve">Owned 6 features from design doc to rollout; 5 of 6 hit adoption targets, and I rolled back the sixth within a day after metrics showed errors.</t>
  </si>
  <si>
    <t xml:space="preserve">Boilerplate; nothing to ask about.</t>
  </si>
  <si>
    <t xml:space="preserve">Give the rollback story a number.</t>
  </si>
  <si>
    <t xml:space="preserve">Added anomaly checks blocking ~120 suspicious/duplicate postings per month.</t>
  </si>
  <si>
    <t xml:space="preserve">Added anomaly checks that block ~120 duplicate or suspicious postings per month at under 0.5% false positives.</t>
  </si>
  <si>
    <t xml:space="preserve">No accuracy guardrail.</t>
  </si>
  <si>
    <t xml:space="preserve">Show how the threshold was tuned (credibility).</t>
  </si>
  <si>
    <t xml:space="preserve">Used AI coding tools to cut feature cycle time ~30%, and an LLM script for ticket triage saving 6 hrs/week.</t>
  </si>
  <si>
    <t xml:space="preserve">Two claims crammed; AI claim buried.</t>
  </si>
  <si>
    <t xml:space="preserve">Built exception-approval workflow features used by 60 ops users, automating 70% of manual steps.</t>
  </si>
  <si>
    <t xml:space="preserve">Missing the resolution-time payoff.</t>
  </si>
  <si>
    <t xml:space="preserve">Integrated 5 upstream systems via REST/Kafka with schema validation and error handling.</t>
  </si>
  <si>
    <t xml:space="preserve">Integration count without a quality result.</t>
  </si>
  <si>
    <t xml:space="preserve">Added role-based access and audit trails across 4 services to meet internal compliance requirements.</t>
  </si>
  <si>
    <t xml:space="preserve">Add the outcome.</t>
  </si>
  <si>
    <t xml:space="preserve">After R0</t>
  </si>
  <si>
    <t xml:space="preserve">After R1</t>
  </si>
  <si>
    <t xml:space="preserve">After R2</t>
  </si>
  <si>
    <t xml:space="preserve">After R3</t>
  </si>
  <si>
    <t xml:space="preserve">Fact used across all bullets</t>
  </si>
  <si>
    <t xml:space="preserve">Illustrative value (placeholder I chose)</t>
  </si>
  <si>
    <t xml:space="preserve">YOUR REAL VALUE (fill in)</t>
  </si>
  <si>
    <t xml:space="preserve">Used in</t>
  </si>
  <si>
    <t xml:space="preserve">Platform &amp; stack</t>
  </si>
  <si>
    <t xml:space="preserve">Payment authorization/settlement; Java 17, Spring Boot, Kafka, Oracle, AWS (ECS, SQS)</t>
  </si>
  <si>
    <t xml:space="preserve">All</t>
  </si>
  <si>
    <t xml:space="preserve">Daily volume (your platform)</t>
  </si>
  <si>
    <t xml:space="preserve">38M transactions/day</t>
  </si>
  <si>
    <t xml:space="preserve">Amazon, Mastercard, Affirm, Rescale, Whatnot</t>
  </si>
  <si>
    <t xml:space="preserve">Dollar volume (platform-wide)</t>
  </si>
  <si>
    <t xml:space="preserve">$1.2B/day (platform, NOT personal)</t>
  </si>
  <si>
    <t xml:space="preserve">Amazon Payments, Affirm</t>
  </si>
  <si>
    <t xml:space="preserve">Services you own</t>
  </si>
  <si>
    <t xml:space="preserve">4 backend services</t>
  </si>
  <si>
    <t xml:space="preserve">Amazon, Mastercard, Affirm</t>
  </si>
  <si>
    <t xml:space="preserve">Availability</t>
  </si>
  <si>
    <t xml:space="preserve">99.95%</t>
  </si>
  <si>
    <t xml:space="preserve">Settlement-status API p99</t>
  </si>
  <si>
    <t xml:space="preserve">620ms -&gt; 210ms (Redis cache + 3 Oracle queries)</t>
  </si>
  <si>
    <t xml:space="preserve">Amazon Twitch, Cursor</t>
  </si>
  <si>
    <t xml:space="preserve">Release process</t>
  </si>
  <si>
    <t xml:space="preserve">Bi-weekly -&gt; on-demand; rollbacks 12% -&gt; 3%</t>
  </si>
  <si>
    <t xml:space="preserve">Amazon Twitch</t>
  </si>
  <si>
    <t xml:space="preserve">Mean-time-to-detect</t>
  </si>
  <si>
    <t xml:space="preserve">25 -&gt; 6 minutes</t>
  </si>
  <si>
    <t xml:space="preserve">Amazon Twitch, Rescale</t>
  </si>
  <si>
    <t xml:space="preserve">Unit-test coverage</t>
  </si>
  <si>
    <t xml:space="preserve">52% -&gt; 81% in 3 weeks (AI-assisted, hand-reviewed)</t>
  </si>
  <si>
    <t xml:space="preserve">Idempotency fix</t>
  </si>
  <si>
    <t xml:space="preserve">~120 duplicate transactions/month eliminated</t>
  </si>
  <si>
    <t xml:space="preserve">Amazon Payments, Whatnot</t>
  </si>
  <si>
    <t xml:space="preserve">Batch -&gt; Kafka migration</t>
  </si>
  <si>
    <t xml:space="preserve">9 nightly jobs; settlement time 4h -&gt; 25 min</t>
  </si>
  <si>
    <t xml:space="preserve">Amazon Payments</t>
  </si>
  <si>
    <t xml:space="preserve">Reconciliation checks</t>
  </si>
  <si>
    <t xml:space="preserve">14 ledger mismatches caught</t>
  </si>
  <si>
    <t xml:space="preserve">Amazon Payments, Addepar</t>
  </si>
  <si>
    <t xml:space="preserve">LLM ticket-triage prototype</t>
  </si>
  <si>
    <t xml:space="preserve">87% accuracy on 300 labeled tickets; saves ~6 hrs/week</t>
  </si>
  <si>
    <t xml:space="preserve">Amazon Payments, Addepar, Palantir, Harvey, Cursor, Whatnot, Zip</t>
  </si>
  <si>
    <t xml:space="preserve">Exceptions dashboard</t>
  </si>
  <si>
    <t xml:space="preserve">React/TS + Java, 60 users, 55% -&gt; 85% weekly use, load 8s -&gt; 1.5s, resolution 20 -&gt; 7 min</t>
  </si>
  <si>
    <t xml:space="preserve">Addepar, Palantir, Replit, Notion, Zip</t>
  </si>
  <si>
    <t xml:space="preserve">Security remediation</t>
  </si>
  <si>
    <t xml:space="preserve">23 OWASP-class findings, 4 services, 5 critical fixed in 48h</t>
  </si>
  <si>
    <t xml:space="preserve">Container/CI work</t>
  </si>
  <si>
    <t xml:space="preserve">Build+deploy 45 -&gt; 12 min; ~15 eng-hrs/month saved</t>
  </si>
  <si>
    <t xml:space="preserve">Onboarding guide</t>
  </si>
  <si>
    <t xml:space="preserve">12-person team; first PR in 2 weeks vs. 5</t>
  </si>
  <si>
    <t xml:space="preserve">AI dev playbook</t>
  </si>
  <si>
    <t xml:space="preserve">8 teammates; PR cycle 3 days -&gt; 1.8</t>
  </si>
  <si>
    <t xml:space="preserve">Addepar, Harvey, Cursor, Replit, Notion</t>
  </si>
  <si>
    <t xml:space="preserve">Terraform modules</t>
  </si>
  <si>
    <t xml:space="preserve">3 teams; env setup 2 days -&gt; 2 hours</t>
  </si>
  <si>
    <t xml:space="preserve">Compliance automation</t>
  </si>
  <si>
    <t xml:space="preserve">12 policy rules -&gt; pre-merge checks; saves 3 hrs/week</t>
  </si>
  <si>
    <t xml:space="preserve">Other (see bullets)</t>
  </si>
  <si>
    <t xml:space="preserve">OpenAPI contracts, CLI replay tool, anomaly checks, N+1 fix, timezone bug</t>
  </si>
  <si>
    <t xml:space="preserve">Various</t>
  </si>
  <si>
    <t xml:space="preserve">WARNING: every number in this workbook is an ILLUSTRATIVE placeholder I invented so you could see what strong bullets look like. I do not know your real results. Replace each with your true figure before sending anything to an employer; invented metrics on a resume are a fast way to fail a phone screen or a background check. If a fact has no real equivalent, drop or reword that bullet.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</si>
</sst>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\+0.00;\-0.00;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jobs/en/jobs/3141336/software-engineer-i" TargetMode="External"/><Relationship Id="rId2" Type="http://schemas.openxmlformats.org/officeDocument/2006/relationships/hyperlink" Target="https://www.amazon.jobs/en/jobs/10502486/software-engineer-i-payments" TargetMode="External"/><Relationship Id="rId3" Type="http://schemas.openxmlformats.org/officeDocument/2006/relationships/hyperlink" Target="https://careers.mastercard.com/us/en/job/R-292618/Software-Engineer-I" TargetMode="External"/><Relationship Id="rId4" Type="http://schemas.openxmlformats.org/officeDocument/2006/relationships/hyperlink" Target="https://job-boards.greenhouse.io/addepar1/jobs/8538666002" TargetMode="External"/><Relationship Id="rId5" Type="http://schemas.openxmlformats.org/officeDocument/2006/relationships/hyperlink" Target="https://job-boards.greenhouse.io/addepar1/jobs/8606946002" TargetMode="External"/><Relationship Id="rId6" Type="http://schemas.openxmlformats.org/officeDocument/2006/relationships/hyperlink" Target="https://jobs.ashbyhq.com/rescale/fdba3410-d255-4879-9a6e-bed488b4a1fc" TargetMode="External"/><Relationship Id="rId7" Type="http://schemas.openxmlformats.org/officeDocument/2006/relationships/hyperlink" Target="https://job-boards.greenhouse.io/affirm/jobs/8008649003" TargetMode="External"/><Relationship Id="rId8" Type="http://schemas.openxmlformats.org/officeDocument/2006/relationships/hyperlink" Target="https://jobs.lever.co/palantir/e500bcf3-19d8-4d3c-b340-4d76e4a55b40" TargetMode="External"/><Relationship Id="rId9" Type="http://schemas.openxmlformats.org/officeDocument/2006/relationships/hyperlink" Target="https://jobs.ashbyhq.com/harvey/4d8dc9ba-eb86-4d88-af7d-65d2fdaf3fdc" TargetMode="External"/><Relationship Id="rId10" Type="http://schemas.openxmlformats.org/officeDocument/2006/relationships/hyperlink" Target="https://jobs.ashbyhq.com/replit/b5e81eae-06f9-4798-8988-2d06ca936dbc" TargetMode="External"/><Relationship Id="rId11" Type="http://schemas.openxmlformats.org/officeDocument/2006/relationships/hyperlink" Target="https://jobs.ashbyhq.com/cursor/d0e5b41d-84ab-4887-bd3a-55589b11dd7b" TargetMode="External"/><Relationship Id="rId12" Type="http://schemas.openxmlformats.org/officeDocument/2006/relationships/hyperlink" Target="https://jobs.ashbyhq.com/notion/e32799d2-8ef8-4803-8189-c72514afa816" TargetMode="External"/><Relationship Id="rId13" Type="http://schemas.openxmlformats.org/officeDocument/2006/relationships/hyperlink" Target="https://jobs.ashbyhq.com/whatnot/29bad846-de60-4be7-a222-69b97e044930" TargetMode="External"/><Relationship Id="rId14" Type="http://schemas.openxmlformats.org/officeDocument/2006/relationships/hyperlink" Target="https://jobs.ashbyhq.com/zip/df6eb1ee-b360-46fe-b23f-658626ec59ea/application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105"/>
    <col collapsed="false" customWidth="true" hidden="false" outlineLevel="0" max="6" min="5" style="0" width="11"/>
    <col collapsed="false" customWidth="true" hidden="false" outlineLevel="0" max="7" min="7" style="0" width="4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89.75" hidden="false" customHeight="true" outlineLevel="0" collapsed="false">
      <c r="A2" s="2" t="s">
        <v>7</v>
      </c>
      <c r="B2" s="2" t="s">
        <v>8</v>
      </c>
      <c r="C2" s="3" t="s">
        <v>9</v>
      </c>
      <c r="D2" s="2" t="s">
        <v>10</v>
      </c>
      <c r="E2" s="4" t="n">
        <f aca="false">AVERAGEIFS('Validation (Final)'!$L$2:$L$71,'Validation (Final)'!$A$2:$A$71,A2,'Validation (Final)'!$B$2:$B$71,B2)</f>
        <v>7.6</v>
      </c>
      <c r="F2" s="4" t="n">
        <f aca="false">AVERAGEIFS('Validation (Final)'!$M$2:$M$71,'Validation (Final)'!$A$2:$A$71,A2,'Validation (Final)'!$B$2:$B$71,B2)</f>
        <v>7.37</v>
      </c>
      <c r="G2" s="2" t="s">
        <v>11</v>
      </c>
    </row>
    <row r="3" customFormat="false" ht="189.75" hidden="false" customHeight="true" outlineLevel="0" collapsed="false">
      <c r="A3" s="2" t="s">
        <v>12</v>
      </c>
      <c r="B3" s="2" t="s">
        <v>13</v>
      </c>
      <c r="C3" s="3" t="s">
        <v>14</v>
      </c>
      <c r="D3" s="2" t="s">
        <v>15</v>
      </c>
      <c r="E3" s="4" t="n">
        <f aca="false">AVERAGEIFS('Validation (Final)'!$L$2:$L$71,'Validation (Final)'!$A$2:$A$71,A3,'Validation (Final)'!$B$2:$B$71,B3)</f>
        <v>7.77</v>
      </c>
      <c r="F3" s="4" t="n">
        <f aca="false">AVERAGEIFS('Validation (Final)'!$M$2:$M$71,'Validation (Final)'!$A$2:$A$71,A3,'Validation (Final)'!$B$2:$B$71,B3)</f>
        <v>7.43</v>
      </c>
      <c r="G3" s="2" t="s">
        <v>16</v>
      </c>
    </row>
    <row r="4" customFormat="false" ht="189.75" hidden="false" customHeight="true" outlineLevel="0" collapsed="false">
      <c r="A4" s="2" t="s">
        <v>17</v>
      </c>
      <c r="B4" s="2" t="s">
        <v>18</v>
      </c>
      <c r="C4" s="3" t="s">
        <v>19</v>
      </c>
      <c r="D4" s="2" t="s">
        <v>20</v>
      </c>
      <c r="E4" s="4" t="n">
        <f aca="false">AVERAGEIFS('Validation (Final)'!$L$2:$L$71,'Validation (Final)'!$A$2:$A$71,A4,'Validation (Final)'!$B$2:$B$71,B4)</f>
        <v>7.37</v>
      </c>
      <c r="F4" s="4" t="n">
        <f aca="false">AVERAGEIFS('Validation (Final)'!$M$2:$M$71,'Validation (Final)'!$A$2:$A$71,A4,'Validation (Final)'!$B$2:$B$71,B4)</f>
        <v>6.53</v>
      </c>
      <c r="G4" s="2" t="s">
        <v>21</v>
      </c>
    </row>
    <row r="5" customFormat="false" ht="189.75" hidden="false" customHeight="true" outlineLevel="0" collapsed="false">
      <c r="A5" s="2" t="s">
        <v>22</v>
      </c>
      <c r="B5" s="2" t="s">
        <v>23</v>
      </c>
      <c r="C5" s="3" t="s">
        <v>24</v>
      </c>
      <c r="D5" s="2" t="s">
        <v>25</v>
      </c>
      <c r="E5" s="4" t="n">
        <f aca="false">AVERAGEIFS('Validation (Final)'!$L$2:$L$71,'Validation (Final)'!$A$2:$A$71,A5,'Validation (Final)'!$B$2:$B$71,B5)</f>
        <v>7.74</v>
      </c>
      <c r="F5" s="4" t="n">
        <f aca="false">AVERAGEIFS('Validation (Final)'!$M$2:$M$71,'Validation (Final)'!$A$2:$A$71,A5,'Validation (Final)'!$B$2:$B$71,B5)</f>
        <v>7.7</v>
      </c>
      <c r="G5" s="2" t="s">
        <v>26</v>
      </c>
    </row>
    <row r="6" customFormat="false" ht="189.75" hidden="false" customHeight="true" outlineLevel="0" collapsed="false">
      <c r="A6" s="2" t="s">
        <v>22</v>
      </c>
      <c r="B6" s="2" t="s">
        <v>27</v>
      </c>
      <c r="C6" s="3" t="s">
        <v>28</v>
      </c>
      <c r="D6" s="2" t="s">
        <v>29</v>
      </c>
      <c r="E6" s="4" t="n">
        <f aca="false">AVERAGEIFS('Validation (Final)'!$L$2:$L$71,'Validation (Final)'!$A$2:$A$71,A6,'Validation (Final)'!$B$2:$B$71,B6)</f>
        <v>7.44</v>
      </c>
      <c r="F6" s="4" t="n">
        <f aca="false">AVERAGEIFS('Validation (Final)'!$M$2:$M$71,'Validation (Final)'!$A$2:$A$71,A6,'Validation (Final)'!$B$2:$B$71,B6)</f>
        <v>6.8</v>
      </c>
      <c r="G6" s="2" t="s">
        <v>30</v>
      </c>
    </row>
    <row r="7" customFormat="false" ht="189.75" hidden="false" customHeight="true" outlineLevel="0" collapsed="false">
      <c r="A7" s="2" t="s">
        <v>31</v>
      </c>
      <c r="B7" s="2" t="s">
        <v>32</v>
      </c>
      <c r="C7" s="3" t="s">
        <v>33</v>
      </c>
      <c r="D7" s="2" t="s">
        <v>34</v>
      </c>
      <c r="E7" s="4" t="n">
        <f aca="false">AVERAGEIFS('Validation (Final)'!$L$2:$L$71,'Validation (Final)'!$A$2:$A$71,A7,'Validation (Final)'!$B$2:$B$71,B7)</f>
        <v>7.69</v>
      </c>
      <c r="F7" s="4" t="n">
        <f aca="false">AVERAGEIFS('Validation (Final)'!$M$2:$M$71,'Validation (Final)'!$A$2:$A$71,A7,'Validation (Final)'!$B$2:$B$71,B7)</f>
        <v>7.15</v>
      </c>
      <c r="G7" s="2" t="s">
        <v>35</v>
      </c>
    </row>
    <row r="8" customFormat="false" ht="189.75" hidden="false" customHeight="true" outlineLevel="0" collapsed="false">
      <c r="A8" s="2" t="s">
        <v>36</v>
      </c>
      <c r="B8" s="2" t="s">
        <v>37</v>
      </c>
      <c r="C8" s="3" t="s">
        <v>38</v>
      </c>
      <c r="D8" s="2" t="s">
        <v>39</v>
      </c>
      <c r="E8" s="4" t="n">
        <f aca="false">AVERAGEIFS('Validation (Final)'!$L$2:$L$71,'Validation (Final)'!$A$2:$A$71,A8,'Validation (Final)'!$B$2:$B$71,B8)</f>
        <v>7.59</v>
      </c>
      <c r="F8" s="4" t="n">
        <f aca="false">AVERAGEIFS('Validation (Final)'!$M$2:$M$71,'Validation (Final)'!$A$2:$A$71,A8,'Validation (Final)'!$B$2:$B$71,B8)</f>
        <v>6.85</v>
      </c>
      <c r="G8" s="2" t="s">
        <v>40</v>
      </c>
    </row>
    <row r="9" customFormat="false" ht="189.75" hidden="false" customHeight="true" outlineLevel="0" collapsed="false">
      <c r="A9" s="2" t="s">
        <v>41</v>
      </c>
      <c r="B9" s="2" t="s">
        <v>42</v>
      </c>
      <c r="C9" s="3" t="s">
        <v>43</v>
      </c>
      <c r="D9" s="2" t="s">
        <v>44</v>
      </c>
      <c r="E9" s="4" t="n">
        <f aca="false">AVERAGEIFS('Validation (Final)'!$L$2:$L$71,'Validation (Final)'!$A$2:$A$71,A9,'Validation (Final)'!$B$2:$B$71,B9)</f>
        <v>7.83</v>
      </c>
      <c r="F9" s="4" t="n">
        <f aca="false">AVERAGEIFS('Validation (Final)'!$M$2:$M$71,'Validation (Final)'!$A$2:$A$71,A9,'Validation (Final)'!$B$2:$B$71,B9)</f>
        <v>7.24</v>
      </c>
      <c r="G9" s="2" t="s">
        <v>45</v>
      </c>
    </row>
    <row r="10" customFormat="false" ht="189.75" hidden="false" customHeight="true" outlineLevel="0" collapsed="false">
      <c r="A10" s="2" t="s">
        <v>46</v>
      </c>
      <c r="B10" s="2" t="s">
        <v>47</v>
      </c>
      <c r="C10" s="3" t="s">
        <v>48</v>
      </c>
      <c r="D10" s="2" t="s">
        <v>49</v>
      </c>
      <c r="E10" s="4" t="n">
        <f aca="false">AVERAGEIFS('Validation (Final)'!$L$2:$L$71,'Validation (Final)'!$A$2:$A$71,A10,'Validation (Final)'!$B$2:$B$71,B10)</f>
        <v>8.07</v>
      </c>
      <c r="F10" s="4" t="n">
        <f aca="false">AVERAGEIFS('Validation (Final)'!$M$2:$M$71,'Validation (Final)'!$A$2:$A$71,A10,'Validation (Final)'!$B$2:$B$71,B10)</f>
        <v>7.18</v>
      </c>
      <c r="G10" s="2" t="s">
        <v>50</v>
      </c>
    </row>
    <row r="11" customFormat="false" ht="189.75" hidden="false" customHeight="true" outlineLevel="0" collapsed="false">
      <c r="A11" s="2" t="s">
        <v>51</v>
      </c>
      <c r="B11" s="2" t="s">
        <v>52</v>
      </c>
      <c r="C11" s="3" t="s">
        <v>53</v>
      </c>
      <c r="D11" s="2" t="s">
        <v>54</v>
      </c>
      <c r="E11" s="4" t="n">
        <f aca="false">AVERAGEIFS('Validation (Final)'!$L$2:$L$71,'Validation (Final)'!$A$2:$A$71,A11,'Validation (Final)'!$B$2:$B$71,B11)</f>
        <v>7.74</v>
      </c>
      <c r="F11" s="4" t="n">
        <f aca="false">AVERAGEIFS('Validation (Final)'!$M$2:$M$71,'Validation (Final)'!$A$2:$A$71,A11,'Validation (Final)'!$B$2:$B$71,B11)</f>
        <v>7.09</v>
      </c>
      <c r="G11" s="2" t="s">
        <v>50</v>
      </c>
    </row>
    <row r="12" customFormat="false" ht="189.75" hidden="false" customHeight="true" outlineLevel="0" collapsed="false">
      <c r="A12" s="2" t="s">
        <v>55</v>
      </c>
      <c r="B12" s="2" t="s">
        <v>56</v>
      </c>
      <c r="C12" s="3" t="s">
        <v>57</v>
      </c>
      <c r="D12" s="2" t="s">
        <v>58</v>
      </c>
      <c r="E12" s="4" t="n">
        <f aca="false">AVERAGEIFS('Validation (Final)'!$L$2:$L$71,'Validation (Final)'!$A$2:$A$71,A12,'Validation (Final)'!$B$2:$B$71,B12)</f>
        <v>8.02</v>
      </c>
      <c r="F12" s="4" t="n">
        <f aca="false">AVERAGEIFS('Validation (Final)'!$M$2:$M$71,'Validation (Final)'!$A$2:$A$71,A12,'Validation (Final)'!$B$2:$B$71,B12)</f>
        <v>7.19</v>
      </c>
      <c r="G12" s="2" t="s">
        <v>59</v>
      </c>
    </row>
    <row r="13" customFormat="false" ht="189.75" hidden="false" customHeight="true" outlineLevel="0" collapsed="false">
      <c r="A13" s="2" t="s">
        <v>60</v>
      </c>
      <c r="B13" s="2" t="s">
        <v>61</v>
      </c>
      <c r="C13" s="3" t="s">
        <v>62</v>
      </c>
      <c r="D13" s="2" t="s">
        <v>63</v>
      </c>
      <c r="E13" s="4" t="n">
        <f aca="false">AVERAGEIFS('Validation (Final)'!$L$2:$L$71,'Validation (Final)'!$A$2:$A$71,A13,'Validation (Final)'!$B$2:$B$71,B13)</f>
        <v>7.61</v>
      </c>
      <c r="F13" s="4" t="n">
        <f aca="false">AVERAGEIFS('Validation (Final)'!$M$2:$M$71,'Validation (Final)'!$A$2:$A$71,A13,'Validation (Final)'!$B$2:$B$71,B13)</f>
        <v>6.9</v>
      </c>
      <c r="G13" s="2" t="s">
        <v>64</v>
      </c>
    </row>
    <row r="14" customFormat="false" ht="189.75" hidden="false" customHeight="true" outlineLevel="0" collapsed="false">
      <c r="A14" s="2" t="s">
        <v>65</v>
      </c>
      <c r="B14" s="2" t="s">
        <v>66</v>
      </c>
      <c r="C14" s="3" t="s">
        <v>67</v>
      </c>
      <c r="D14" s="2" t="s">
        <v>68</v>
      </c>
      <c r="E14" s="4" t="n">
        <f aca="false">AVERAGEIFS('Validation (Final)'!$L$2:$L$71,'Validation (Final)'!$A$2:$A$71,A14,'Validation (Final)'!$B$2:$B$71,B14)</f>
        <v>7.65</v>
      </c>
      <c r="F14" s="4" t="n">
        <f aca="false">AVERAGEIFS('Validation (Final)'!$M$2:$M$71,'Validation (Final)'!$A$2:$A$71,A14,'Validation (Final)'!$B$2:$B$71,B14)</f>
        <v>7.15</v>
      </c>
      <c r="G14" s="2" t="s">
        <v>69</v>
      </c>
    </row>
    <row r="15" customFormat="false" ht="189.75" hidden="false" customHeight="true" outlineLevel="0" collapsed="false">
      <c r="A15" s="2" t="s">
        <v>70</v>
      </c>
      <c r="B15" s="2" t="s">
        <v>71</v>
      </c>
      <c r="C15" s="3" t="s">
        <v>72</v>
      </c>
      <c r="D15" s="2" t="s">
        <v>73</v>
      </c>
      <c r="E15" s="4" t="n">
        <f aca="false">AVERAGEIFS('Validation (Final)'!$L$2:$L$71,'Validation (Final)'!$A$2:$A$71,A15,'Validation (Final)'!$B$2:$B$71,B15)</f>
        <v>7.66</v>
      </c>
      <c r="F15" s="4" t="n">
        <f aca="false">AVERAGEIFS('Validation (Final)'!$M$2:$M$71,'Validation (Final)'!$A$2:$A$71,A15,'Validation (Final)'!$B$2:$B$71,B15)</f>
        <v>7.47</v>
      </c>
      <c r="G15" s="2" t="s">
        <v>74</v>
      </c>
    </row>
  </sheetData>
  <hyperlinks>
    <hyperlink ref="C2" r:id="rId1" display="https://www.amazon.jobs/en/jobs/3141336/software-engineer-i"/>
    <hyperlink ref="C3" r:id="rId2" display="https://www.amazon.jobs/en/jobs/10502486/software-engineer-i-payments"/>
    <hyperlink ref="C4" r:id="rId3" display="https://careers.mastercard.com/us/en/job/R-292618/Software-Engineer-I"/>
    <hyperlink ref="C5" r:id="rId4" display="https://job-boards.greenhouse.io/addepar1/jobs/8538666002"/>
    <hyperlink ref="C6" r:id="rId5" display="https://job-boards.greenhouse.io/addepar1/jobs/8606946002"/>
    <hyperlink ref="C7" r:id="rId6" display="https://jobs.ashbyhq.com/rescale/fdba3410-d255-4879-9a6e-bed488b4a1fc"/>
    <hyperlink ref="C8" r:id="rId7" display="https://job-boards.greenhouse.io/affirm/jobs/8008649003"/>
    <hyperlink ref="C9" r:id="rId8" display="https://jobs.lever.co/palantir/e500bcf3-19d8-4d3c-b340-4d76e4a55b40"/>
    <hyperlink ref="C10" r:id="rId9" display="https://jobs.ashbyhq.com/harvey/4d8dc9ba-eb86-4d88-af7d-65d2fdaf3fdc"/>
    <hyperlink ref="C11" r:id="rId10" display="https://jobs.ashbyhq.com/replit/b5e81eae-06f9-4798-8988-2d06ca936dbc"/>
    <hyperlink ref="C12" r:id="rId11" display="https://jobs.ashbyhq.com/cursor/d0e5b41d-84ab-4887-bd3a-55589b11dd7b"/>
    <hyperlink ref="C13" r:id="rId12" display="https://jobs.ashbyhq.com/notion/e32799d2-8ef8-4803-8189-c72514afa816"/>
    <hyperlink ref="C14" r:id="rId13" display="https://jobs.ashbyhq.com/whatnot/29bad846-de60-4be7-a222-69b97e044930"/>
    <hyperlink ref="C15" r:id="rId14" display="https://jobs.ashbyhq.com/zip/df6eb1ee-b360-46fe-b23f-658626ec59ea/applica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42" hidden="false" customHeight="true" outlineLevel="0" collapsed="false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customFormat="false" ht="15" hidden="false" customHeight="false" outlineLevel="0" collapsed="false">
      <c r="A2" s="5" t="n">
        <v>0</v>
      </c>
      <c r="B2" s="5" t="n">
        <v>0</v>
      </c>
      <c r="C2" s="6" t="n">
        <f aca="false">AVERAGE('Round State'!B2:B71)</f>
        <v>7.14642857142857</v>
      </c>
      <c r="D2" s="5" t="n">
        <f aca="false">COUNTIF('Round State'!B2:B71,"&gt;=8")</f>
        <v>10</v>
      </c>
      <c r="E2" s="5" t="n">
        <f aca="false">COUNTIF('Round State'!B2:B71,"&gt;=7.5")</f>
        <v>25</v>
      </c>
      <c r="F2" s="6" t="n">
        <f aca="false">MIN('Round State'!B2:B71)</f>
        <v>5.1</v>
      </c>
    </row>
    <row r="3" customFormat="false" ht="15" hidden="false" customHeight="false" outlineLevel="0" collapsed="false">
      <c r="A3" s="5" t="n">
        <v>1</v>
      </c>
      <c r="B3" s="5" t="n">
        <v>21</v>
      </c>
      <c r="C3" s="6" t="n">
        <f aca="false">AVERAGE('Round State'!C2:C71)</f>
        <v>7.44285714285714</v>
      </c>
      <c r="D3" s="5" t="n">
        <f aca="false">COUNTIF('Round State'!C2:C71,"&gt;=8")</f>
        <v>13</v>
      </c>
      <c r="E3" s="5" t="n">
        <f aca="false">COUNTIF('Round State'!C2:C71,"&gt;=7.5")</f>
        <v>31</v>
      </c>
      <c r="F3" s="6" t="n">
        <f aca="false">MIN('Round State'!C2:C71)</f>
        <v>6.6</v>
      </c>
    </row>
    <row r="4" customFormat="false" ht="15" hidden="false" customHeight="false" outlineLevel="0" collapsed="false">
      <c r="A4" s="5" t="n">
        <v>2</v>
      </c>
      <c r="B4" s="5" t="n">
        <v>32</v>
      </c>
      <c r="C4" s="6" t="n">
        <f aca="false">AVERAGE('Round State'!D2:D71)</f>
        <v>7.62928571428571</v>
      </c>
      <c r="D4" s="5" t="n">
        <f aca="false">COUNTIF('Round State'!D2:D71,"&gt;=8")</f>
        <v>14</v>
      </c>
      <c r="E4" s="5" t="n">
        <f aca="false">COUNTIF('Round State'!D2:D71,"&gt;=7.5")</f>
        <v>44</v>
      </c>
      <c r="F4" s="6" t="n">
        <f aca="false">MIN('Round State'!D2:D71)</f>
        <v>6.8</v>
      </c>
    </row>
    <row r="5" customFormat="false" ht="15" hidden="false" customHeight="false" outlineLevel="0" collapsed="false">
      <c r="A5" s="5" t="n">
        <v>3</v>
      </c>
      <c r="B5" s="5" t="n">
        <v>22</v>
      </c>
      <c r="C5" s="6" t="n">
        <f aca="false">AVERAGE('Round State'!E2:E71)</f>
        <v>7.69857142857143</v>
      </c>
      <c r="D5" s="5" t="n">
        <f aca="false">COUNTIF('Round State'!E2:E71,"&gt;=8")</f>
        <v>15</v>
      </c>
      <c r="E5" s="5" t="n">
        <f aca="false">COUNTIF('Round State'!E2:E71,"&gt;=7.5")</f>
        <v>55</v>
      </c>
      <c r="F5" s="6" t="n">
        <f aca="false">MIN('Round State'!E2:E71)</f>
        <v>7.15</v>
      </c>
    </row>
    <row r="7" customFormat="false" ht="57.75" hidden="false" customHeight="true" outlineLevel="0" collapsed="false">
      <c r="A7" s="7" t="s">
        <v>81</v>
      </c>
      <c r="B7" s="7"/>
      <c r="C7" s="7"/>
      <c r="D7" s="7"/>
      <c r="E7" s="7"/>
      <c r="F7" s="7"/>
    </row>
  </sheetData>
  <mergeCells count="1">
    <mergeCell ref="A7:F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8" t="s">
        <v>82</v>
      </c>
    </row>
    <row r="3" customFormat="false" ht="15" hidden="false" customHeight="false" outlineLevel="0" collapsed="false">
      <c r="A3" s="9" t="s">
        <v>83</v>
      </c>
      <c r="B3" s="9" t="s">
        <v>84</v>
      </c>
      <c r="C3" s="9" t="s">
        <v>85</v>
      </c>
      <c r="D3" s="9" t="s">
        <v>86</v>
      </c>
    </row>
    <row r="4" customFormat="false" ht="15" hidden="false" customHeight="false" outlineLevel="0" collapsed="false">
      <c r="A4" s="10" t="s">
        <v>87</v>
      </c>
      <c r="B4" s="11" t="n">
        <v>0.1</v>
      </c>
      <c r="C4" s="10" t="s">
        <v>88</v>
      </c>
      <c r="D4" s="10" t="s">
        <v>89</v>
      </c>
    </row>
    <row r="5" customFormat="false" ht="15" hidden="false" customHeight="false" outlineLevel="0" collapsed="false">
      <c r="A5" s="10" t="s">
        <v>90</v>
      </c>
      <c r="B5" s="11" t="n">
        <v>0.2</v>
      </c>
      <c r="C5" s="10" t="s">
        <v>91</v>
      </c>
      <c r="D5" s="10" t="s">
        <v>92</v>
      </c>
    </row>
    <row r="6" customFormat="false" ht="15" hidden="false" customHeight="false" outlineLevel="0" collapsed="false">
      <c r="A6" s="10" t="s">
        <v>93</v>
      </c>
      <c r="B6" s="11" t="n">
        <v>0.2</v>
      </c>
      <c r="C6" s="10" t="s">
        <v>94</v>
      </c>
      <c r="D6" s="10" t="s">
        <v>95</v>
      </c>
    </row>
    <row r="7" customFormat="false" ht="23.85" hidden="false" customHeight="false" outlineLevel="0" collapsed="false">
      <c r="A7" s="10" t="s">
        <v>96</v>
      </c>
      <c r="B7" s="11" t="n">
        <v>0.1</v>
      </c>
      <c r="C7" s="10" t="s">
        <v>97</v>
      </c>
      <c r="D7" s="10" t="s">
        <v>98</v>
      </c>
    </row>
    <row r="8" customFormat="false" ht="23.85" hidden="false" customHeight="false" outlineLevel="0" collapsed="false">
      <c r="A8" s="10" t="s">
        <v>99</v>
      </c>
      <c r="B8" s="11" t="n">
        <v>0.15</v>
      </c>
      <c r="C8" s="10" t="s">
        <v>100</v>
      </c>
      <c r="D8" s="10" t="s">
        <v>101</v>
      </c>
    </row>
    <row r="9" customFormat="false" ht="23.85" hidden="false" customHeight="false" outlineLevel="0" collapsed="false">
      <c r="A9" s="10" t="s">
        <v>102</v>
      </c>
      <c r="B9" s="11" t="n">
        <v>0.15</v>
      </c>
      <c r="C9" s="10" t="s">
        <v>103</v>
      </c>
      <c r="D9" s="10" t="s">
        <v>104</v>
      </c>
    </row>
    <row r="10" customFormat="false" ht="15" hidden="false" customHeight="false" outlineLevel="0" collapsed="false">
      <c r="A10" s="10" t="s">
        <v>105</v>
      </c>
      <c r="B10" s="11" t="n">
        <v>0.1</v>
      </c>
      <c r="C10" s="10" t="s">
        <v>106</v>
      </c>
      <c r="D10" s="10" t="s">
        <v>107</v>
      </c>
    </row>
    <row r="11" customFormat="false" ht="15" hidden="false" customHeight="false" outlineLevel="0" collapsed="false">
      <c r="A11" s="10"/>
      <c r="B11" s="10"/>
      <c r="C11" s="10"/>
      <c r="D11" s="10"/>
    </row>
    <row r="12" customFormat="false" ht="15" hidden="false" customHeight="false" outlineLevel="0" collapsed="false">
      <c r="A12" s="10" t="s">
        <v>108</v>
      </c>
      <c r="B12" s="12" t="n">
        <v>7</v>
      </c>
      <c r="C12" s="10" t="s">
        <v>109</v>
      </c>
      <c r="D12" s="10"/>
    </row>
    <row r="13" customFormat="false" ht="23.85" hidden="false" customHeight="false" outlineLevel="0" collapsed="false">
      <c r="A13" s="10" t="s">
        <v>110</v>
      </c>
      <c r="B13" s="12" t="n">
        <v>1</v>
      </c>
      <c r="C13" s="10" t="s">
        <v>111</v>
      </c>
      <c r="D13" s="10"/>
    </row>
    <row r="14" customFormat="false" ht="15" hidden="false" customHeight="false" outlineLevel="0" collapsed="false">
      <c r="A14" s="10" t="s">
        <v>112</v>
      </c>
      <c r="B14" s="13" t="n">
        <f aca="false">SUM(B4:B10)</f>
        <v>1</v>
      </c>
      <c r="C14" s="10"/>
      <c r="D14" s="10"/>
    </row>
    <row r="16" customFormat="false" ht="15" hidden="false" customHeight="false" outlineLevel="0" collapsed="false">
      <c r="A16" s="8" t="s">
        <v>113</v>
      </c>
    </row>
    <row r="17" customFormat="false" ht="42" hidden="false" customHeight="true" outlineLevel="0" collapsed="false">
      <c r="A17" s="7" t="s">
        <v>114</v>
      </c>
      <c r="B17" s="7"/>
      <c r="C17" s="7"/>
      <c r="D17" s="7"/>
    </row>
    <row r="18" customFormat="false" ht="42" hidden="false" customHeight="true" outlineLevel="0" collapsed="false">
      <c r="A18" s="7" t="s">
        <v>115</v>
      </c>
      <c r="B18" s="7"/>
      <c r="C18" s="7"/>
      <c r="D18" s="7"/>
    </row>
    <row r="19" customFormat="false" ht="42" hidden="false" customHeight="true" outlineLevel="0" collapsed="false">
      <c r="A19" s="7" t="s">
        <v>116</v>
      </c>
      <c r="B19" s="7"/>
      <c r="C19" s="7"/>
      <c r="D19" s="7"/>
    </row>
    <row r="20" customFormat="false" ht="42" hidden="false" customHeight="true" outlineLevel="0" collapsed="false">
      <c r="A20" s="7" t="s">
        <v>117</v>
      </c>
      <c r="B20" s="7"/>
      <c r="C20" s="7"/>
      <c r="D20" s="7"/>
    </row>
    <row r="21" customFormat="false" ht="42" hidden="false" customHeight="true" outlineLevel="0" collapsed="false">
      <c r="A21" s="7" t="s">
        <v>118</v>
      </c>
      <c r="B21" s="7"/>
      <c r="C21" s="7"/>
      <c r="D21" s="7"/>
    </row>
    <row r="22" customFormat="false" ht="42" hidden="false" customHeight="true" outlineLevel="0" collapsed="false">
      <c r="A22" s="7" t="s">
        <v>119</v>
      </c>
      <c r="B22" s="7"/>
      <c r="C22" s="7"/>
      <c r="D22" s="7"/>
    </row>
    <row r="23" customFormat="false" ht="42" hidden="false" customHeight="true" outlineLevel="0" collapsed="false">
      <c r="A23" s="7" t="s">
        <v>120</v>
      </c>
      <c r="B23" s="7"/>
      <c r="C23" s="7"/>
      <c r="D23" s="7"/>
    </row>
  </sheetData>
  <mergeCells count="7">
    <mergeCell ref="A17:D17"/>
    <mergeCell ref="A18:D18"/>
    <mergeCell ref="A19:D19"/>
    <mergeCell ref="A20:D20"/>
    <mergeCell ref="A21:D21"/>
    <mergeCell ref="A22:D22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85"/>
    <col collapsed="false" customWidth="true" hidden="false" outlineLevel="0" max="9" min="5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3" min="12" style="0" width="11"/>
    <col collapsed="false" customWidth="true" hidden="false" outlineLevel="0" max="14" min="14" style="0" width="9"/>
    <col collapsed="false" customWidth="true" hidden="false" outlineLevel="0" max="15" min="15" style="0" width="6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121</v>
      </c>
      <c r="D1" s="1" t="s">
        <v>122</v>
      </c>
      <c r="E1" s="1" t="s">
        <v>87</v>
      </c>
      <c r="F1" s="1" t="s">
        <v>90</v>
      </c>
      <c r="G1" s="1" t="s">
        <v>93</v>
      </c>
      <c r="H1" s="1" t="s">
        <v>96</v>
      </c>
      <c r="I1" s="1" t="s">
        <v>99</v>
      </c>
      <c r="J1" s="1" t="s">
        <v>123</v>
      </c>
      <c r="K1" s="1" t="s">
        <v>105</v>
      </c>
      <c r="L1" s="1" t="s">
        <v>124</v>
      </c>
      <c r="M1" s="1" t="s">
        <v>125</v>
      </c>
      <c r="N1" s="1" t="s">
        <v>126</v>
      </c>
      <c r="O1" s="1" t="s">
        <v>127</v>
      </c>
    </row>
    <row r="2" customFormat="false" ht="23.85" hidden="false" customHeight="false" outlineLevel="0" collapsed="false">
      <c r="A2" s="2" t="s">
        <v>7</v>
      </c>
      <c r="B2" s="2" t="s">
        <v>8</v>
      </c>
      <c r="C2" s="14" t="n">
        <v>1</v>
      </c>
      <c r="D2" s="2" t="s">
        <v>128</v>
      </c>
      <c r="E2" s="15" t="n">
        <v>7</v>
      </c>
      <c r="F2" s="15" t="n">
        <v>8</v>
      </c>
      <c r="G2" s="15" t="n">
        <v>8</v>
      </c>
      <c r="H2" s="15" t="n">
        <v>4</v>
      </c>
      <c r="I2" s="15" t="n">
        <v>8</v>
      </c>
      <c r="J2" s="15" t="n">
        <v>8</v>
      </c>
      <c r="K2" s="15" t="n">
        <v>8</v>
      </c>
      <c r="L2" s="4" t="n">
        <f aca="false">ROUND(E2*Rubric!$B$4+F2*Rubric!$B$5+G2*Rubric!$B$6+H2*Rubric!$B$7+I2*Rubric!$B$8+J2*Rubric!$B$9+K2*Rubric!$B$10-IF(OR(G2&lt;Rubric!$B$12,J2&lt;Rubric!$B$12),Rubric!$B$13,0),2)</f>
        <v>7.5</v>
      </c>
      <c r="M2" s="4" t="n">
        <f aca="false">SUMIFS('Revision Log'!$M:$M,'Revision Log'!$N:$N,O2,'Revision Log'!$C:$C,0)</f>
        <v>7.2</v>
      </c>
      <c r="N2" s="16" t="n">
        <f aca="false">L2-M2</f>
        <v>0.3</v>
      </c>
      <c r="O2" s="14" t="n">
        <v>0</v>
      </c>
    </row>
    <row r="3" customFormat="false" ht="23.85" hidden="false" customHeight="false" outlineLevel="0" collapsed="false">
      <c r="A3" s="2" t="s">
        <v>7</v>
      </c>
      <c r="B3" s="2" t="s">
        <v>8</v>
      </c>
      <c r="C3" s="14" t="n">
        <v>2</v>
      </c>
      <c r="D3" s="2" t="s">
        <v>129</v>
      </c>
      <c r="E3" s="15" t="n">
        <v>9</v>
      </c>
      <c r="F3" s="15" t="n">
        <v>9</v>
      </c>
      <c r="G3" s="15" t="n">
        <v>8</v>
      </c>
      <c r="H3" s="15" t="n">
        <v>4</v>
      </c>
      <c r="I3" s="15" t="n">
        <v>8</v>
      </c>
      <c r="J3" s="15" t="n">
        <v>9</v>
      </c>
      <c r="K3" s="15" t="n">
        <v>8</v>
      </c>
      <c r="L3" s="4" t="n">
        <f aca="false">ROUND(E3*Rubric!$B$4+F3*Rubric!$B$5+G3*Rubric!$B$6+H3*Rubric!$B$7+I3*Rubric!$B$8+J3*Rubric!$B$9+K3*Rubric!$B$10-IF(OR(G3&lt;Rubric!$B$12,J3&lt;Rubric!$B$12),Rubric!$B$13,0),2)</f>
        <v>8.05</v>
      </c>
      <c r="M3" s="4" t="n">
        <f aca="false">SUMIFS('Revision Log'!$M:$M,'Revision Log'!$N:$N,O3,'Revision Log'!$C:$C,0)</f>
        <v>8.05</v>
      </c>
      <c r="N3" s="16" t="n">
        <f aca="false">L3-M3</f>
        <v>0</v>
      </c>
      <c r="O3" s="14" t="n">
        <v>1</v>
      </c>
    </row>
    <row r="4" customFormat="false" ht="23.85" hidden="false" customHeight="false" outlineLevel="0" collapsed="false">
      <c r="A4" s="2" t="s">
        <v>7</v>
      </c>
      <c r="B4" s="2" t="s">
        <v>8</v>
      </c>
      <c r="C4" s="14" t="n">
        <v>3</v>
      </c>
      <c r="D4" s="2" t="s">
        <v>130</v>
      </c>
      <c r="E4" s="15" t="n">
        <v>9</v>
      </c>
      <c r="F4" s="15" t="n">
        <v>8</v>
      </c>
      <c r="G4" s="15" t="n">
        <v>8</v>
      </c>
      <c r="H4" s="15" t="n">
        <v>4</v>
      </c>
      <c r="I4" s="15" t="n">
        <v>7</v>
      </c>
      <c r="J4" s="15" t="n">
        <v>8</v>
      </c>
      <c r="K4" s="15" t="n">
        <v>7</v>
      </c>
      <c r="L4" s="4" t="n">
        <f aca="false">ROUND(E4*Rubric!$B$4+F4*Rubric!$B$5+G4*Rubric!$B$6+H4*Rubric!$B$7+I4*Rubric!$B$8+J4*Rubric!$B$9+K4*Rubric!$B$10-IF(OR(G4&lt;Rubric!$B$12,J4&lt;Rubric!$B$12),Rubric!$B$13,0),2)</f>
        <v>7.45</v>
      </c>
      <c r="M4" s="4" t="n">
        <f aca="false">SUMIFS('Revision Log'!$M:$M,'Revision Log'!$N:$N,O4,'Revision Log'!$C:$C,0)</f>
        <v>7.25</v>
      </c>
      <c r="N4" s="16" t="n">
        <f aca="false">L4-M4</f>
        <v>0.2</v>
      </c>
      <c r="O4" s="14" t="n">
        <v>2</v>
      </c>
    </row>
    <row r="5" customFormat="false" ht="23.85" hidden="false" customHeight="false" outlineLevel="0" collapsed="false">
      <c r="A5" s="2" t="s">
        <v>7</v>
      </c>
      <c r="B5" s="2" t="s">
        <v>8</v>
      </c>
      <c r="C5" s="14" t="n">
        <v>4</v>
      </c>
      <c r="D5" s="2" t="s">
        <v>131</v>
      </c>
      <c r="E5" s="15" t="n">
        <v>9</v>
      </c>
      <c r="F5" s="15" t="n">
        <v>8</v>
      </c>
      <c r="G5" s="15" t="n">
        <v>8</v>
      </c>
      <c r="H5" s="15" t="n">
        <v>3</v>
      </c>
      <c r="I5" s="15" t="n">
        <v>7</v>
      </c>
      <c r="J5" s="15" t="n">
        <v>8</v>
      </c>
      <c r="K5" s="15" t="n">
        <v>7</v>
      </c>
      <c r="L5" s="4" t="n">
        <f aca="false">ROUND(E5*Rubric!$B$4+F5*Rubric!$B$5+G5*Rubric!$B$6+H5*Rubric!$B$7+I5*Rubric!$B$8+J5*Rubric!$B$9+K5*Rubric!$B$10-IF(OR(G5&lt;Rubric!$B$12,J5&lt;Rubric!$B$12),Rubric!$B$13,0),2)</f>
        <v>7.35</v>
      </c>
      <c r="M5" s="4" t="n">
        <f aca="false">SUMIFS('Revision Log'!$M:$M,'Revision Log'!$N:$N,O5,'Revision Log'!$C:$C,0)</f>
        <v>6.95</v>
      </c>
      <c r="N5" s="16" t="n">
        <f aca="false">L5-M5</f>
        <v>0.399999999999999</v>
      </c>
      <c r="O5" s="14" t="n">
        <v>3</v>
      </c>
    </row>
    <row r="6" customFormat="false" ht="23.85" hidden="false" customHeight="false" outlineLevel="0" collapsed="false">
      <c r="A6" s="2" t="s">
        <v>7</v>
      </c>
      <c r="B6" s="2" t="s">
        <v>8</v>
      </c>
      <c r="C6" s="14" t="n">
        <v>5</v>
      </c>
      <c r="D6" s="2" t="s">
        <v>132</v>
      </c>
      <c r="E6" s="15" t="n">
        <v>9</v>
      </c>
      <c r="F6" s="15" t="n">
        <v>7</v>
      </c>
      <c r="G6" s="15" t="n">
        <v>8</v>
      </c>
      <c r="H6" s="15" t="n">
        <v>8</v>
      </c>
      <c r="I6" s="15" t="n">
        <v>7</v>
      </c>
      <c r="J6" s="15" t="n">
        <v>8</v>
      </c>
      <c r="K6" s="15" t="n">
        <v>7</v>
      </c>
      <c r="L6" s="4" t="n">
        <f aca="false">ROUND(E6*Rubric!$B$4+F6*Rubric!$B$5+G6*Rubric!$B$6+H6*Rubric!$B$7+I6*Rubric!$B$8+J6*Rubric!$B$9+K6*Rubric!$B$10-IF(OR(G6&lt;Rubric!$B$12,J6&lt;Rubric!$B$12),Rubric!$B$13,0),2)</f>
        <v>7.65</v>
      </c>
      <c r="M6" s="4" t="n">
        <f aca="false">SUMIFS('Revision Log'!$M:$M,'Revision Log'!$N:$N,O6,'Revision Log'!$C:$C,0)</f>
        <v>7.4</v>
      </c>
      <c r="N6" s="16" t="n">
        <f aca="false">L6-M6</f>
        <v>0.25</v>
      </c>
      <c r="O6" s="14" t="n">
        <v>4</v>
      </c>
    </row>
    <row r="7" customFormat="false" ht="23.85" hidden="false" customHeight="false" outlineLevel="0" collapsed="false">
      <c r="A7" s="2" t="s">
        <v>12</v>
      </c>
      <c r="B7" s="2" t="s">
        <v>13</v>
      </c>
      <c r="C7" s="14" t="n">
        <v>1</v>
      </c>
      <c r="D7" s="2" t="s">
        <v>133</v>
      </c>
      <c r="E7" s="15" t="n">
        <v>9</v>
      </c>
      <c r="F7" s="15" t="n">
        <v>7</v>
      </c>
      <c r="G7" s="15" t="n">
        <v>7</v>
      </c>
      <c r="H7" s="15" t="n">
        <v>3</v>
      </c>
      <c r="I7" s="15" t="n">
        <v>9</v>
      </c>
      <c r="J7" s="15" t="n">
        <v>8</v>
      </c>
      <c r="K7" s="15" t="n">
        <v>8</v>
      </c>
      <c r="L7" s="4" t="n">
        <f aca="false">ROUND(E7*Rubric!$B$4+F7*Rubric!$B$5+G7*Rubric!$B$6+H7*Rubric!$B$7+I7*Rubric!$B$8+J7*Rubric!$B$9+K7*Rubric!$B$10-IF(OR(G7&lt;Rubric!$B$12,J7&lt;Rubric!$B$12),Rubric!$B$13,0),2)</f>
        <v>7.35</v>
      </c>
      <c r="M7" s="4" t="n">
        <f aca="false">SUMIFS('Revision Log'!$M:$M,'Revision Log'!$N:$N,O7,'Revision Log'!$C:$C,0)</f>
        <v>5.75</v>
      </c>
      <c r="N7" s="16" t="n">
        <f aca="false">L7-M7</f>
        <v>1.6</v>
      </c>
      <c r="O7" s="14" t="n">
        <v>10</v>
      </c>
    </row>
    <row r="8" customFormat="false" ht="23.85" hidden="false" customHeight="false" outlineLevel="0" collapsed="false">
      <c r="A8" s="2" t="s">
        <v>12</v>
      </c>
      <c r="B8" s="2" t="s">
        <v>13</v>
      </c>
      <c r="C8" s="14" t="n">
        <v>2</v>
      </c>
      <c r="D8" s="2" t="s">
        <v>134</v>
      </c>
      <c r="E8" s="15" t="n">
        <v>9</v>
      </c>
      <c r="F8" s="15" t="n">
        <v>9</v>
      </c>
      <c r="G8" s="15" t="n">
        <v>8</v>
      </c>
      <c r="H8" s="15" t="n">
        <v>3</v>
      </c>
      <c r="I8" s="15" t="n">
        <v>9</v>
      </c>
      <c r="J8" s="15" t="n">
        <v>9</v>
      </c>
      <c r="K8" s="15" t="n">
        <v>9</v>
      </c>
      <c r="L8" s="4" t="n">
        <f aca="false">ROUND(E8*Rubric!$B$4+F8*Rubric!$B$5+G8*Rubric!$B$6+H8*Rubric!$B$7+I8*Rubric!$B$8+J8*Rubric!$B$9+K8*Rubric!$B$10-IF(OR(G8&lt;Rubric!$B$12,J8&lt;Rubric!$B$12),Rubric!$B$13,0),2)</f>
        <v>8.2</v>
      </c>
      <c r="M8" s="4" t="n">
        <f aca="false">SUMIFS('Revision Log'!$M:$M,'Revision Log'!$N:$N,O8,'Revision Log'!$C:$C,0)</f>
        <v>8.2</v>
      </c>
      <c r="N8" s="16" t="n">
        <f aca="false">L8-M8</f>
        <v>0</v>
      </c>
      <c r="O8" s="14" t="n">
        <v>11</v>
      </c>
    </row>
    <row r="9" customFormat="false" ht="23.85" hidden="false" customHeight="false" outlineLevel="0" collapsed="false">
      <c r="A9" s="2" t="s">
        <v>12</v>
      </c>
      <c r="B9" s="2" t="s">
        <v>13</v>
      </c>
      <c r="C9" s="14" t="n">
        <v>3</v>
      </c>
      <c r="D9" s="2" t="s">
        <v>135</v>
      </c>
      <c r="E9" s="15" t="n">
        <v>9</v>
      </c>
      <c r="F9" s="15" t="n">
        <v>9</v>
      </c>
      <c r="G9" s="15" t="n">
        <v>7</v>
      </c>
      <c r="H9" s="15" t="n">
        <v>3</v>
      </c>
      <c r="I9" s="15" t="n">
        <v>8</v>
      </c>
      <c r="J9" s="15" t="n">
        <v>9</v>
      </c>
      <c r="K9" s="15" t="n">
        <v>9</v>
      </c>
      <c r="L9" s="4" t="n">
        <f aca="false">ROUND(E9*Rubric!$B$4+F9*Rubric!$B$5+G9*Rubric!$B$6+H9*Rubric!$B$7+I9*Rubric!$B$8+J9*Rubric!$B$9+K9*Rubric!$B$10-IF(OR(G9&lt;Rubric!$B$12,J9&lt;Rubric!$B$12),Rubric!$B$13,0),2)</f>
        <v>7.85</v>
      </c>
      <c r="M9" s="4" t="n">
        <f aca="false">SUMIFS('Revision Log'!$M:$M,'Revision Log'!$N:$N,O9,'Revision Log'!$C:$C,0)</f>
        <v>7.85</v>
      </c>
      <c r="N9" s="16" t="n">
        <f aca="false">L9-M9</f>
        <v>0</v>
      </c>
      <c r="O9" s="14" t="n">
        <v>12</v>
      </c>
    </row>
    <row r="10" customFormat="false" ht="23.85" hidden="false" customHeight="false" outlineLevel="0" collapsed="false">
      <c r="A10" s="2" t="s">
        <v>12</v>
      </c>
      <c r="B10" s="2" t="s">
        <v>13</v>
      </c>
      <c r="C10" s="14" t="n">
        <v>4</v>
      </c>
      <c r="D10" s="2" t="s">
        <v>136</v>
      </c>
      <c r="E10" s="15" t="n">
        <v>9</v>
      </c>
      <c r="F10" s="15" t="n">
        <v>8</v>
      </c>
      <c r="G10" s="15" t="n">
        <v>8</v>
      </c>
      <c r="H10" s="15" t="n">
        <v>3</v>
      </c>
      <c r="I10" s="15" t="n">
        <v>8</v>
      </c>
      <c r="J10" s="15" t="n">
        <v>8</v>
      </c>
      <c r="K10" s="15" t="n">
        <v>8</v>
      </c>
      <c r="L10" s="4" t="n">
        <f aca="false">ROUND(E10*Rubric!$B$4+F10*Rubric!$B$5+G10*Rubric!$B$6+H10*Rubric!$B$7+I10*Rubric!$B$8+J10*Rubric!$B$9+K10*Rubric!$B$10-IF(OR(G10&lt;Rubric!$B$12,J10&lt;Rubric!$B$12),Rubric!$B$13,0),2)</f>
        <v>7.6</v>
      </c>
      <c r="M10" s="4" t="n">
        <f aca="false">SUMIFS('Revision Log'!$M:$M,'Revision Log'!$N:$N,O10,'Revision Log'!$C:$C,0)</f>
        <v>7.5</v>
      </c>
      <c r="N10" s="16" t="n">
        <f aca="false">L10-M10</f>
        <v>0.0999999999999996</v>
      </c>
      <c r="O10" s="14" t="n">
        <v>13</v>
      </c>
    </row>
    <row r="11" customFormat="false" ht="23.85" hidden="false" customHeight="false" outlineLevel="0" collapsed="false">
      <c r="A11" s="2" t="s">
        <v>12</v>
      </c>
      <c r="B11" s="2" t="s">
        <v>13</v>
      </c>
      <c r="C11" s="14" t="n">
        <v>5</v>
      </c>
      <c r="D11" s="2" t="s">
        <v>137</v>
      </c>
      <c r="E11" s="15" t="n">
        <v>8</v>
      </c>
      <c r="F11" s="15" t="n">
        <v>8</v>
      </c>
      <c r="G11" s="15" t="n">
        <v>7</v>
      </c>
      <c r="H11" s="15" t="n">
        <v>9</v>
      </c>
      <c r="I11" s="15" t="n">
        <v>7</v>
      </c>
      <c r="J11" s="15" t="n">
        <v>8</v>
      </c>
      <c r="K11" s="15" t="n">
        <v>9</v>
      </c>
      <c r="L11" s="4" t="n">
        <f aca="false">ROUND(E11*Rubric!$B$4+F11*Rubric!$B$5+G11*Rubric!$B$6+H11*Rubric!$B$7+I11*Rubric!$B$8+J11*Rubric!$B$9+K11*Rubric!$B$10-IF(OR(G11&lt;Rubric!$B$12,J11&lt;Rubric!$B$12),Rubric!$B$13,0),2)</f>
        <v>7.85</v>
      </c>
      <c r="M11" s="4" t="n">
        <f aca="false">SUMIFS('Revision Log'!$M:$M,'Revision Log'!$N:$N,O11,'Revision Log'!$C:$C,0)</f>
        <v>7.85</v>
      </c>
      <c r="N11" s="16" t="n">
        <f aca="false">L11-M11</f>
        <v>0</v>
      </c>
      <c r="O11" s="14" t="n">
        <v>14</v>
      </c>
    </row>
    <row r="12" customFormat="false" ht="23.85" hidden="false" customHeight="false" outlineLevel="0" collapsed="false">
      <c r="A12" s="2" t="s">
        <v>17</v>
      </c>
      <c r="B12" s="2" t="s">
        <v>18</v>
      </c>
      <c r="C12" s="14" t="n">
        <v>1</v>
      </c>
      <c r="D12" s="2" t="s">
        <v>138</v>
      </c>
      <c r="E12" s="15" t="n">
        <v>8</v>
      </c>
      <c r="F12" s="15" t="n">
        <v>7</v>
      </c>
      <c r="G12" s="15" t="n">
        <v>9</v>
      </c>
      <c r="H12" s="15" t="n">
        <v>2</v>
      </c>
      <c r="I12" s="15" t="n">
        <v>9</v>
      </c>
      <c r="J12" s="15" t="n">
        <v>8</v>
      </c>
      <c r="K12" s="15" t="n">
        <v>6</v>
      </c>
      <c r="L12" s="4" t="n">
        <f aca="false">ROUND(E12*Rubric!$B$4+F12*Rubric!$B$5+G12*Rubric!$B$6+H12*Rubric!$B$7+I12*Rubric!$B$8+J12*Rubric!$B$9+K12*Rubric!$B$10-IF(OR(G12&lt;Rubric!$B$12,J12&lt;Rubric!$B$12),Rubric!$B$13,0),2)</f>
        <v>7.35</v>
      </c>
      <c r="M12" s="4" t="n">
        <f aca="false">SUMIFS('Revision Log'!$M:$M,'Revision Log'!$N:$N,O12,'Revision Log'!$C:$C,0)</f>
        <v>7.05</v>
      </c>
      <c r="N12" s="16" t="n">
        <f aca="false">L12-M12</f>
        <v>0.3</v>
      </c>
      <c r="O12" s="14" t="n">
        <v>20</v>
      </c>
    </row>
    <row r="13" customFormat="false" ht="23.85" hidden="false" customHeight="false" outlineLevel="0" collapsed="false">
      <c r="A13" s="2" t="s">
        <v>17</v>
      </c>
      <c r="B13" s="2" t="s">
        <v>18</v>
      </c>
      <c r="C13" s="14" t="n">
        <v>2</v>
      </c>
      <c r="D13" s="2" t="s">
        <v>139</v>
      </c>
      <c r="E13" s="15" t="n">
        <v>8</v>
      </c>
      <c r="F13" s="15" t="n">
        <v>8</v>
      </c>
      <c r="G13" s="15" t="n">
        <v>8</v>
      </c>
      <c r="H13" s="15" t="n">
        <v>3</v>
      </c>
      <c r="I13" s="15" t="n">
        <v>8</v>
      </c>
      <c r="J13" s="15" t="n">
        <v>8</v>
      </c>
      <c r="K13" s="15" t="n">
        <v>7</v>
      </c>
      <c r="L13" s="4" t="n">
        <f aca="false">ROUND(E13*Rubric!$B$4+F13*Rubric!$B$5+G13*Rubric!$B$6+H13*Rubric!$B$7+I13*Rubric!$B$8+J13*Rubric!$B$9+K13*Rubric!$B$10-IF(OR(G13&lt;Rubric!$B$12,J13&lt;Rubric!$B$12),Rubric!$B$13,0),2)</f>
        <v>7.4</v>
      </c>
      <c r="M13" s="4" t="n">
        <f aca="false">SUMIFS('Revision Log'!$M:$M,'Revision Log'!$N:$N,O13,'Revision Log'!$C:$C,0)</f>
        <v>6.95</v>
      </c>
      <c r="N13" s="16" t="n">
        <f aca="false">L13-M13</f>
        <v>0.45</v>
      </c>
      <c r="O13" s="14" t="n">
        <v>21</v>
      </c>
    </row>
    <row r="14" customFormat="false" ht="23.85" hidden="false" customHeight="false" outlineLevel="0" collapsed="false">
      <c r="A14" s="2" t="s">
        <v>17</v>
      </c>
      <c r="B14" s="2" t="s">
        <v>18</v>
      </c>
      <c r="C14" s="14" t="n">
        <v>3</v>
      </c>
      <c r="D14" s="2" t="s">
        <v>140</v>
      </c>
      <c r="E14" s="15" t="n">
        <v>8</v>
      </c>
      <c r="F14" s="15" t="n">
        <v>8</v>
      </c>
      <c r="G14" s="15" t="n">
        <v>8</v>
      </c>
      <c r="H14" s="15" t="n">
        <v>2</v>
      </c>
      <c r="I14" s="15" t="n">
        <v>8</v>
      </c>
      <c r="J14" s="15" t="n">
        <v>8</v>
      </c>
      <c r="K14" s="15" t="n">
        <v>8</v>
      </c>
      <c r="L14" s="4" t="n">
        <f aca="false">ROUND(E14*Rubric!$B$4+F14*Rubric!$B$5+G14*Rubric!$B$6+H14*Rubric!$B$7+I14*Rubric!$B$8+J14*Rubric!$B$9+K14*Rubric!$B$10-IF(OR(G14&lt;Rubric!$B$12,J14&lt;Rubric!$B$12),Rubric!$B$13,0),2)</f>
        <v>7.4</v>
      </c>
      <c r="M14" s="4" t="n">
        <f aca="false">SUMIFS('Revision Log'!$M:$M,'Revision Log'!$N:$N,O14,'Revision Log'!$C:$C,0)</f>
        <v>6.85</v>
      </c>
      <c r="N14" s="16" t="n">
        <f aca="false">L14-M14</f>
        <v>0.550000000000001</v>
      </c>
      <c r="O14" s="14" t="n">
        <v>22</v>
      </c>
    </row>
    <row r="15" customFormat="false" ht="23.85" hidden="false" customHeight="false" outlineLevel="0" collapsed="false">
      <c r="A15" s="2" t="s">
        <v>17</v>
      </c>
      <c r="B15" s="2" t="s">
        <v>18</v>
      </c>
      <c r="C15" s="14" t="n">
        <v>4</v>
      </c>
      <c r="D15" s="2" t="s">
        <v>141</v>
      </c>
      <c r="E15" s="15" t="n">
        <v>9</v>
      </c>
      <c r="F15" s="15" t="n">
        <v>8</v>
      </c>
      <c r="G15" s="15" t="n">
        <v>8</v>
      </c>
      <c r="H15" s="15" t="n">
        <v>2</v>
      </c>
      <c r="I15" s="15" t="n">
        <v>7</v>
      </c>
      <c r="J15" s="15" t="n">
        <v>8</v>
      </c>
      <c r="K15" s="15" t="n">
        <v>8</v>
      </c>
      <c r="L15" s="4" t="n">
        <f aca="false">ROUND(E15*Rubric!$B$4+F15*Rubric!$B$5+G15*Rubric!$B$6+H15*Rubric!$B$7+I15*Rubric!$B$8+J15*Rubric!$B$9+K15*Rubric!$B$10-IF(OR(G15&lt;Rubric!$B$12,J15&lt;Rubric!$B$12),Rubric!$B$13,0),2)</f>
        <v>7.35</v>
      </c>
      <c r="M15" s="4" t="n">
        <f aca="false">SUMIFS('Revision Log'!$M:$M,'Revision Log'!$N:$N,O15,'Revision Log'!$C:$C,0)</f>
        <v>6.1</v>
      </c>
      <c r="N15" s="16" t="n">
        <f aca="false">L15-M15</f>
        <v>1.25</v>
      </c>
      <c r="O15" s="14" t="n">
        <v>23</v>
      </c>
    </row>
    <row r="16" customFormat="false" ht="23.85" hidden="false" customHeight="false" outlineLevel="0" collapsed="false">
      <c r="A16" s="2" t="s">
        <v>17</v>
      </c>
      <c r="B16" s="2" t="s">
        <v>18</v>
      </c>
      <c r="C16" s="14" t="n">
        <v>5</v>
      </c>
      <c r="D16" s="2" t="s">
        <v>142</v>
      </c>
      <c r="E16" s="15" t="n">
        <v>9</v>
      </c>
      <c r="F16" s="15" t="n">
        <v>7</v>
      </c>
      <c r="G16" s="15" t="n">
        <v>8</v>
      </c>
      <c r="H16" s="15" t="n">
        <v>4</v>
      </c>
      <c r="I16" s="15" t="n">
        <v>7</v>
      </c>
      <c r="J16" s="15" t="n">
        <v>8</v>
      </c>
      <c r="K16" s="15" t="n">
        <v>8</v>
      </c>
      <c r="L16" s="4" t="n">
        <f aca="false">ROUND(E16*Rubric!$B$4+F16*Rubric!$B$5+G16*Rubric!$B$6+H16*Rubric!$B$7+I16*Rubric!$B$8+J16*Rubric!$B$9+K16*Rubric!$B$10-IF(OR(G16&lt;Rubric!$B$12,J16&lt;Rubric!$B$12),Rubric!$B$13,0),2)</f>
        <v>7.35</v>
      </c>
      <c r="M16" s="4" t="n">
        <f aca="false">SUMIFS('Revision Log'!$M:$M,'Revision Log'!$N:$N,O16,'Revision Log'!$C:$C,0)</f>
        <v>5.7</v>
      </c>
      <c r="N16" s="16" t="n">
        <f aca="false">L16-M16</f>
        <v>1.65</v>
      </c>
      <c r="O16" s="14" t="n">
        <v>24</v>
      </c>
    </row>
    <row r="17" customFormat="false" ht="23.85" hidden="false" customHeight="false" outlineLevel="0" collapsed="false">
      <c r="A17" s="2" t="s">
        <v>22</v>
      </c>
      <c r="B17" s="2" t="s">
        <v>23</v>
      </c>
      <c r="C17" s="14" t="n">
        <v>1</v>
      </c>
      <c r="D17" s="2" t="s">
        <v>143</v>
      </c>
      <c r="E17" s="15" t="n">
        <v>8</v>
      </c>
      <c r="F17" s="15" t="n">
        <v>8</v>
      </c>
      <c r="G17" s="15" t="n">
        <v>8</v>
      </c>
      <c r="H17" s="15" t="n">
        <v>3</v>
      </c>
      <c r="I17" s="15" t="n">
        <v>9</v>
      </c>
      <c r="J17" s="15" t="n">
        <v>8</v>
      </c>
      <c r="K17" s="15" t="n">
        <v>7</v>
      </c>
      <c r="L17" s="4" t="n">
        <f aca="false">ROUND(E17*Rubric!$B$4+F17*Rubric!$B$5+G17*Rubric!$B$6+H17*Rubric!$B$7+I17*Rubric!$B$8+J17*Rubric!$B$9+K17*Rubric!$B$10-IF(OR(G17&lt;Rubric!$B$12,J17&lt;Rubric!$B$12),Rubric!$B$13,0),2)</f>
        <v>7.55</v>
      </c>
      <c r="M17" s="4" t="n">
        <f aca="false">SUMIFS('Revision Log'!$M:$M,'Revision Log'!$N:$N,O17,'Revision Log'!$C:$C,0)</f>
        <v>7.55</v>
      </c>
      <c r="N17" s="16" t="n">
        <f aca="false">L17-M17</f>
        <v>0</v>
      </c>
      <c r="O17" s="14" t="n">
        <v>30</v>
      </c>
    </row>
    <row r="18" customFormat="false" ht="23.85" hidden="false" customHeight="false" outlineLevel="0" collapsed="false">
      <c r="A18" s="2" t="s">
        <v>22</v>
      </c>
      <c r="B18" s="2" t="s">
        <v>23</v>
      </c>
      <c r="C18" s="14" t="n">
        <v>2</v>
      </c>
      <c r="D18" s="2" t="s">
        <v>144</v>
      </c>
      <c r="E18" s="15" t="n">
        <v>8</v>
      </c>
      <c r="F18" s="15" t="n">
        <v>9</v>
      </c>
      <c r="G18" s="15" t="n">
        <v>7</v>
      </c>
      <c r="H18" s="15" t="n">
        <v>3</v>
      </c>
      <c r="I18" s="15" t="n">
        <v>9</v>
      </c>
      <c r="J18" s="15" t="n">
        <v>8</v>
      </c>
      <c r="K18" s="15" t="n">
        <v>8</v>
      </c>
      <c r="L18" s="4" t="n">
        <f aca="false">ROUND(E18*Rubric!$B$4+F18*Rubric!$B$5+G18*Rubric!$B$6+H18*Rubric!$B$7+I18*Rubric!$B$8+J18*Rubric!$B$9+K18*Rubric!$B$10-IF(OR(G18&lt;Rubric!$B$12,J18&lt;Rubric!$B$12),Rubric!$B$13,0),2)</f>
        <v>7.65</v>
      </c>
      <c r="M18" s="4" t="n">
        <f aca="false">SUMIFS('Revision Log'!$M:$M,'Revision Log'!$N:$N,O18,'Revision Log'!$C:$C,0)</f>
        <v>7.65</v>
      </c>
      <c r="N18" s="16" t="n">
        <f aca="false">L18-M18</f>
        <v>0</v>
      </c>
      <c r="O18" s="14" t="n">
        <v>31</v>
      </c>
    </row>
    <row r="19" customFormat="false" ht="23.85" hidden="false" customHeight="false" outlineLevel="0" collapsed="false">
      <c r="A19" s="2" t="s">
        <v>22</v>
      </c>
      <c r="B19" s="2" t="s">
        <v>23</v>
      </c>
      <c r="C19" s="14" t="n">
        <v>3</v>
      </c>
      <c r="D19" s="2" t="s">
        <v>145</v>
      </c>
      <c r="E19" s="15" t="n">
        <v>9</v>
      </c>
      <c r="F19" s="15" t="n">
        <v>9</v>
      </c>
      <c r="G19" s="15" t="n">
        <v>8</v>
      </c>
      <c r="H19" s="15" t="n">
        <v>3</v>
      </c>
      <c r="I19" s="15" t="n">
        <v>9</v>
      </c>
      <c r="J19" s="15" t="n">
        <v>9</v>
      </c>
      <c r="K19" s="15" t="n">
        <v>8</v>
      </c>
      <c r="L19" s="4" t="n">
        <f aca="false">ROUND(E19*Rubric!$B$4+F19*Rubric!$B$5+G19*Rubric!$B$6+H19*Rubric!$B$7+I19*Rubric!$B$8+J19*Rubric!$B$9+K19*Rubric!$B$10-IF(OR(G19&lt;Rubric!$B$12,J19&lt;Rubric!$B$12),Rubric!$B$13,0),2)</f>
        <v>8.1</v>
      </c>
      <c r="M19" s="4" t="n">
        <f aca="false">SUMIFS('Revision Log'!$M:$M,'Revision Log'!$N:$N,O19,'Revision Log'!$C:$C,0)</f>
        <v>8.1</v>
      </c>
      <c r="N19" s="16" t="n">
        <f aca="false">L19-M19</f>
        <v>0</v>
      </c>
      <c r="O19" s="14" t="n">
        <v>32</v>
      </c>
    </row>
    <row r="20" customFormat="false" ht="23.85" hidden="false" customHeight="false" outlineLevel="0" collapsed="false">
      <c r="A20" s="2" t="s">
        <v>22</v>
      </c>
      <c r="B20" s="2" t="s">
        <v>23</v>
      </c>
      <c r="C20" s="14" t="n">
        <v>4</v>
      </c>
      <c r="D20" s="2" t="s">
        <v>146</v>
      </c>
      <c r="E20" s="15" t="n">
        <v>8</v>
      </c>
      <c r="F20" s="15" t="n">
        <v>8</v>
      </c>
      <c r="G20" s="15" t="n">
        <v>8</v>
      </c>
      <c r="H20" s="15" t="n">
        <v>3</v>
      </c>
      <c r="I20" s="15" t="n">
        <v>8</v>
      </c>
      <c r="J20" s="15" t="n">
        <v>8</v>
      </c>
      <c r="K20" s="15" t="n">
        <v>7</v>
      </c>
      <c r="L20" s="4" t="n">
        <f aca="false">ROUND(E20*Rubric!$B$4+F20*Rubric!$B$5+G20*Rubric!$B$6+H20*Rubric!$B$7+I20*Rubric!$B$8+J20*Rubric!$B$9+K20*Rubric!$B$10-IF(OR(G20&lt;Rubric!$B$12,J20&lt;Rubric!$B$12),Rubric!$B$13,0),2)</f>
        <v>7.4</v>
      </c>
      <c r="M20" s="4" t="n">
        <f aca="false">SUMIFS('Revision Log'!$M:$M,'Revision Log'!$N:$N,O20,'Revision Log'!$C:$C,0)</f>
        <v>7.2</v>
      </c>
      <c r="N20" s="16" t="n">
        <f aca="false">L20-M20</f>
        <v>0.2</v>
      </c>
      <c r="O20" s="14" t="n">
        <v>33</v>
      </c>
    </row>
    <row r="21" customFormat="false" ht="23.85" hidden="false" customHeight="false" outlineLevel="0" collapsed="false">
      <c r="A21" s="2" t="s">
        <v>22</v>
      </c>
      <c r="B21" s="2" t="s">
        <v>23</v>
      </c>
      <c r="C21" s="14" t="n">
        <v>5</v>
      </c>
      <c r="D21" s="2" t="s">
        <v>147</v>
      </c>
      <c r="E21" s="15" t="n">
        <v>8</v>
      </c>
      <c r="F21" s="15" t="n">
        <v>8</v>
      </c>
      <c r="G21" s="15" t="n">
        <v>7</v>
      </c>
      <c r="H21" s="15" t="n">
        <v>9</v>
      </c>
      <c r="I21" s="15" t="n">
        <v>8</v>
      </c>
      <c r="J21" s="15" t="n">
        <v>8</v>
      </c>
      <c r="K21" s="15" t="n">
        <v>9</v>
      </c>
      <c r="L21" s="4" t="n">
        <f aca="false">ROUND(E21*Rubric!$B$4+F21*Rubric!$B$5+G21*Rubric!$B$6+H21*Rubric!$B$7+I21*Rubric!$B$8+J21*Rubric!$B$9+K21*Rubric!$B$10-IF(OR(G21&lt;Rubric!$B$12,J21&lt;Rubric!$B$12),Rubric!$B$13,0),2)</f>
        <v>8</v>
      </c>
      <c r="M21" s="4" t="n">
        <f aca="false">SUMIFS('Revision Log'!$M:$M,'Revision Log'!$N:$N,O21,'Revision Log'!$C:$C,0)</f>
        <v>8</v>
      </c>
      <c r="N21" s="16" t="n">
        <f aca="false">L21-M21</f>
        <v>0</v>
      </c>
      <c r="O21" s="14" t="n">
        <v>34</v>
      </c>
    </row>
    <row r="22" customFormat="false" ht="23.85" hidden="false" customHeight="false" outlineLevel="0" collapsed="false">
      <c r="A22" s="2" t="s">
        <v>22</v>
      </c>
      <c r="B22" s="2" t="s">
        <v>27</v>
      </c>
      <c r="C22" s="14" t="n">
        <v>1</v>
      </c>
      <c r="D22" s="2" t="s">
        <v>148</v>
      </c>
      <c r="E22" s="15" t="n">
        <v>9</v>
      </c>
      <c r="F22" s="15" t="n">
        <v>8</v>
      </c>
      <c r="G22" s="15" t="n">
        <v>8</v>
      </c>
      <c r="H22" s="15" t="n">
        <v>3</v>
      </c>
      <c r="I22" s="15" t="n">
        <v>8</v>
      </c>
      <c r="J22" s="15" t="n">
        <v>8</v>
      </c>
      <c r="K22" s="15" t="n">
        <v>7</v>
      </c>
      <c r="L22" s="4" t="n">
        <f aca="false">ROUND(E22*Rubric!$B$4+F22*Rubric!$B$5+G22*Rubric!$B$6+H22*Rubric!$B$7+I22*Rubric!$B$8+J22*Rubric!$B$9+K22*Rubric!$B$10-IF(OR(G22&lt;Rubric!$B$12,J22&lt;Rubric!$B$12),Rubric!$B$13,0),2)</f>
        <v>7.5</v>
      </c>
      <c r="M22" s="4" t="n">
        <f aca="false">SUMIFS('Revision Log'!$M:$M,'Revision Log'!$N:$N,O22,'Revision Log'!$C:$C,0)</f>
        <v>6.95</v>
      </c>
      <c r="N22" s="16" t="n">
        <f aca="false">L22-M22</f>
        <v>0.55</v>
      </c>
      <c r="O22" s="14" t="n">
        <v>40</v>
      </c>
    </row>
    <row r="23" customFormat="false" ht="23.85" hidden="false" customHeight="false" outlineLevel="0" collapsed="false">
      <c r="A23" s="2" t="s">
        <v>22</v>
      </c>
      <c r="B23" s="2" t="s">
        <v>27</v>
      </c>
      <c r="C23" s="14" t="n">
        <v>2</v>
      </c>
      <c r="D23" s="2" t="s">
        <v>149</v>
      </c>
      <c r="E23" s="15" t="n">
        <v>8</v>
      </c>
      <c r="F23" s="15" t="n">
        <v>8</v>
      </c>
      <c r="G23" s="15" t="n">
        <v>8</v>
      </c>
      <c r="H23" s="15" t="n">
        <v>3</v>
      </c>
      <c r="I23" s="15" t="n">
        <v>7</v>
      </c>
      <c r="J23" s="15" t="n">
        <v>8</v>
      </c>
      <c r="K23" s="15" t="n">
        <v>8</v>
      </c>
      <c r="L23" s="4" t="n">
        <f aca="false">ROUND(E23*Rubric!$B$4+F23*Rubric!$B$5+G23*Rubric!$B$6+H23*Rubric!$B$7+I23*Rubric!$B$8+J23*Rubric!$B$9+K23*Rubric!$B$10-IF(OR(G23&lt;Rubric!$B$12,J23&lt;Rubric!$B$12),Rubric!$B$13,0),2)</f>
        <v>7.35</v>
      </c>
      <c r="M23" s="4" t="n">
        <f aca="false">SUMIFS('Revision Log'!$M:$M,'Revision Log'!$N:$N,O23,'Revision Log'!$C:$C,0)</f>
        <v>5.35</v>
      </c>
      <c r="N23" s="16" t="n">
        <f aca="false">L23-M23</f>
        <v>2</v>
      </c>
      <c r="O23" s="14" t="n">
        <v>41</v>
      </c>
    </row>
    <row r="24" customFormat="false" ht="23.85" hidden="false" customHeight="false" outlineLevel="0" collapsed="false">
      <c r="A24" s="2" t="s">
        <v>22</v>
      </c>
      <c r="B24" s="2" t="s">
        <v>27</v>
      </c>
      <c r="C24" s="14" t="n">
        <v>3</v>
      </c>
      <c r="D24" s="2" t="s">
        <v>150</v>
      </c>
      <c r="E24" s="15" t="n">
        <v>9</v>
      </c>
      <c r="F24" s="15" t="n">
        <v>8</v>
      </c>
      <c r="G24" s="15" t="n">
        <v>7</v>
      </c>
      <c r="H24" s="15" t="n">
        <v>4</v>
      </c>
      <c r="I24" s="15" t="n">
        <v>8</v>
      </c>
      <c r="J24" s="15" t="n">
        <v>7</v>
      </c>
      <c r="K24" s="15" t="n">
        <v>7</v>
      </c>
      <c r="L24" s="4" t="n">
        <f aca="false">ROUND(E24*Rubric!$B$4+F24*Rubric!$B$5+G24*Rubric!$B$6+H24*Rubric!$B$7+I24*Rubric!$B$8+J24*Rubric!$B$9+K24*Rubric!$B$10-IF(OR(G24&lt;Rubric!$B$12,J24&lt;Rubric!$B$12),Rubric!$B$13,0),2)</f>
        <v>7.25</v>
      </c>
      <c r="M24" s="4" t="n">
        <f aca="false">SUMIFS('Revision Log'!$M:$M,'Revision Log'!$N:$N,O24,'Revision Log'!$C:$C,0)</f>
        <v>7.05</v>
      </c>
      <c r="N24" s="16" t="n">
        <f aca="false">L24-M24</f>
        <v>0.2</v>
      </c>
      <c r="O24" s="14" t="n">
        <v>42</v>
      </c>
    </row>
    <row r="25" customFormat="false" ht="23.85" hidden="false" customHeight="false" outlineLevel="0" collapsed="false">
      <c r="A25" s="2" t="s">
        <v>22</v>
      </c>
      <c r="B25" s="2" t="s">
        <v>27</v>
      </c>
      <c r="C25" s="14" t="n">
        <v>4</v>
      </c>
      <c r="D25" s="2" t="s">
        <v>151</v>
      </c>
      <c r="E25" s="15" t="n">
        <v>8</v>
      </c>
      <c r="F25" s="15" t="n">
        <v>8</v>
      </c>
      <c r="G25" s="15" t="n">
        <v>8</v>
      </c>
      <c r="H25" s="15" t="n">
        <v>3</v>
      </c>
      <c r="I25" s="15" t="n">
        <v>8</v>
      </c>
      <c r="J25" s="15" t="n">
        <v>8</v>
      </c>
      <c r="K25" s="15" t="n">
        <v>7</v>
      </c>
      <c r="L25" s="4" t="n">
        <f aca="false">ROUND(E25*Rubric!$B$4+F25*Rubric!$B$5+G25*Rubric!$B$6+H25*Rubric!$B$7+I25*Rubric!$B$8+J25*Rubric!$B$9+K25*Rubric!$B$10-IF(OR(G25&lt;Rubric!$B$12,J25&lt;Rubric!$B$12),Rubric!$B$13,0),2)</f>
        <v>7.4</v>
      </c>
      <c r="M25" s="4" t="n">
        <f aca="false">SUMIFS('Revision Log'!$M:$M,'Revision Log'!$N:$N,O25,'Revision Log'!$C:$C,0)</f>
        <v>7.3</v>
      </c>
      <c r="N25" s="16" t="n">
        <f aca="false">L25-M25</f>
        <v>0.100000000000001</v>
      </c>
      <c r="O25" s="14" t="n">
        <v>43</v>
      </c>
    </row>
    <row r="26" customFormat="false" ht="23.85" hidden="false" customHeight="false" outlineLevel="0" collapsed="false">
      <c r="A26" s="2" t="s">
        <v>22</v>
      </c>
      <c r="B26" s="2" t="s">
        <v>27</v>
      </c>
      <c r="C26" s="14" t="n">
        <v>5</v>
      </c>
      <c r="D26" s="2" t="s">
        <v>152</v>
      </c>
      <c r="E26" s="15" t="n">
        <v>8</v>
      </c>
      <c r="F26" s="15" t="n">
        <v>8</v>
      </c>
      <c r="G26" s="15" t="n">
        <v>8</v>
      </c>
      <c r="H26" s="15" t="n">
        <v>8</v>
      </c>
      <c r="I26" s="15" t="n">
        <v>7</v>
      </c>
      <c r="J26" s="15" t="n">
        <v>7</v>
      </c>
      <c r="K26" s="15" t="n">
        <v>8</v>
      </c>
      <c r="L26" s="4" t="n">
        <f aca="false">ROUND(E26*Rubric!$B$4+F26*Rubric!$B$5+G26*Rubric!$B$6+H26*Rubric!$B$7+I26*Rubric!$B$8+J26*Rubric!$B$9+K26*Rubric!$B$10-IF(OR(G26&lt;Rubric!$B$12,J26&lt;Rubric!$B$12),Rubric!$B$13,0),2)</f>
        <v>7.7</v>
      </c>
      <c r="M26" s="4" t="n">
        <f aca="false">SUMIFS('Revision Log'!$M:$M,'Revision Log'!$N:$N,O26,'Revision Log'!$C:$C,0)</f>
        <v>7.35</v>
      </c>
      <c r="N26" s="16" t="n">
        <f aca="false">L26-M26</f>
        <v>0.350000000000001</v>
      </c>
      <c r="O26" s="14" t="n">
        <v>44</v>
      </c>
    </row>
    <row r="27" customFormat="false" ht="23.85" hidden="false" customHeight="false" outlineLevel="0" collapsed="false">
      <c r="A27" s="2" t="s">
        <v>31</v>
      </c>
      <c r="B27" s="2" t="s">
        <v>32</v>
      </c>
      <c r="C27" s="14" t="n">
        <v>1</v>
      </c>
      <c r="D27" s="2" t="s">
        <v>153</v>
      </c>
      <c r="E27" s="15" t="n">
        <v>9</v>
      </c>
      <c r="F27" s="15" t="n">
        <v>8</v>
      </c>
      <c r="G27" s="15" t="n">
        <v>8</v>
      </c>
      <c r="H27" s="15" t="n">
        <v>4</v>
      </c>
      <c r="I27" s="15" t="n">
        <v>8</v>
      </c>
      <c r="J27" s="15" t="n">
        <v>8</v>
      </c>
      <c r="K27" s="15" t="n">
        <v>7</v>
      </c>
      <c r="L27" s="4" t="n">
        <f aca="false">ROUND(E27*Rubric!$B$4+F27*Rubric!$B$5+G27*Rubric!$B$6+H27*Rubric!$B$7+I27*Rubric!$B$8+J27*Rubric!$B$9+K27*Rubric!$B$10-IF(OR(G27&lt;Rubric!$B$12,J27&lt;Rubric!$B$12),Rubric!$B$13,0),2)</f>
        <v>7.6</v>
      </c>
      <c r="M27" s="4" t="n">
        <f aca="false">SUMIFS('Revision Log'!$M:$M,'Revision Log'!$N:$N,O27,'Revision Log'!$C:$C,0)</f>
        <v>7.5</v>
      </c>
      <c r="N27" s="16" t="n">
        <f aca="false">L27-M27</f>
        <v>0.0999999999999996</v>
      </c>
      <c r="O27" s="14" t="n">
        <v>50</v>
      </c>
    </row>
    <row r="28" customFormat="false" ht="23.85" hidden="false" customHeight="false" outlineLevel="0" collapsed="false">
      <c r="A28" s="2" t="s">
        <v>31</v>
      </c>
      <c r="B28" s="2" t="s">
        <v>32</v>
      </c>
      <c r="C28" s="14" t="n">
        <v>2</v>
      </c>
      <c r="D28" s="2" t="s">
        <v>154</v>
      </c>
      <c r="E28" s="15" t="n">
        <v>9</v>
      </c>
      <c r="F28" s="15" t="n">
        <v>9</v>
      </c>
      <c r="G28" s="15" t="n">
        <v>7</v>
      </c>
      <c r="H28" s="15" t="n">
        <v>3</v>
      </c>
      <c r="I28" s="15" t="n">
        <v>9</v>
      </c>
      <c r="J28" s="15" t="n">
        <v>8</v>
      </c>
      <c r="K28" s="15" t="n">
        <v>8</v>
      </c>
      <c r="L28" s="4" t="n">
        <f aca="false">ROUND(E28*Rubric!$B$4+F28*Rubric!$B$5+G28*Rubric!$B$6+H28*Rubric!$B$7+I28*Rubric!$B$8+J28*Rubric!$B$9+K28*Rubric!$B$10-IF(OR(G28&lt;Rubric!$B$12,J28&lt;Rubric!$B$12),Rubric!$B$13,0),2)</f>
        <v>7.75</v>
      </c>
      <c r="M28" s="4" t="n">
        <f aca="false">SUMIFS('Revision Log'!$M:$M,'Revision Log'!$N:$N,O28,'Revision Log'!$C:$C,0)</f>
        <v>7.75</v>
      </c>
      <c r="N28" s="16" t="n">
        <f aca="false">L28-M28</f>
        <v>0</v>
      </c>
      <c r="O28" s="14" t="n">
        <v>51</v>
      </c>
    </row>
    <row r="29" customFormat="false" ht="23.85" hidden="false" customHeight="false" outlineLevel="0" collapsed="false">
      <c r="A29" s="2" t="s">
        <v>31</v>
      </c>
      <c r="B29" s="2" t="s">
        <v>32</v>
      </c>
      <c r="C29" s="14" t="n">
        <v>3</v>
      </c>
      <c r="D29" s="2" t="s">
        <v>155</v>
      </c>
      <c r="E29" s="15" t="n">
        <v>9</v>
      </c>
      <c r="F29" s="15" t="n">
        <v>8</v>
      </c>
      <c r="G29" s="15" t="n">
        <v>8</v>
      </c>
      <c r="H29" s="15" t="n">
        <v>3</v>
      </c>
      <c r="I29" s="15" t="n">
        <v>8</v>
      </c>
      <c r="J29" s="15" t="n">
        <v>8</v>
      </c>
      <c r="K29" s="15" t="n">
        <v>7</v>
      </c>
      <c r="L29" s="4" t="n">
        <f aca="false">ROUND(E29*Rubric!$B$4+F29*Rubric!$B$5+G29*Rubric!$B$6+H29*Rubric!$B$7+I29*Rubric!$B$8+J29*Rubric!$B$9+K29*Rubric!$B$10-IF(OR(G29&lt;Rubric!$B$12,J29&lt;Rubric!$B$12),Rubric!$B$13,0),2)</f>
        <v>7.5</v>
      </c>
      <c r="M29" s="4" t="n">
        <f aca="false">SUMIFS('Revision Log'!$M:$M,'Revision Log'!$N:$N,O29,'Revision Log'!$C:$C,0)</f>
        <v>7.15</v>
      </c>
      <c r="N29" s="16" t="n">
        <f aca="false">L29-M29</f>
        <v>0.35</v>
      </c>
      <c r="O29" s="14" t="n">
        <v>52</v>
      </c>
    </row>
    <row r="30" customFormat="false" ht="23.85" hidden="false" customHeight="false" outlineLevel="0" collapsed="false">
      <c r="A30" s="2" t="s">
        <v>31</v>
      </c>
      <c r="B30" s="2" t="s">
        <v>32</v>
      </c>
      <c r="C30" s="14" t="n">
        <v>4</v>
      </c>
      <c r="D30" s="2" t="s">
        <v>156</v>
      </c>
      <c r="E30" s="15" t="n">
        <v>8</v>
      </c>
      <c r="F30" s="15" t="n">
        <v>8</v>
      </c>
      <c r="G30" s="15" t="n">
        <v>7</v>
      </c>
      <c r="H30" s="15" t="n">
        <v>10</v>
      </c>
      <c r="I30" s="15" t="n">
        <v>9</v>
      </c>
      <c r="J30" s="15" t="n">
        <v>7</v>
      </c>
      <c r="K30" s="15" t="n">
        <v>9</v>
      </c>
      <c r="L30" s="4" t="n">
        <f aca="false">ROUND(E30*Rubric!$B$4+F30*Rubric!$B$5+G30*Rubric!$B$6+H30*Rubric!$B$7+I30*Rubric!$B$8+J30*Rubric!$B$9+K30*Rubric!$B$10-IF(OR(G30&lt;Rubric!$B$12,J30&lt;Rubric!$B$12),Rubric!$B$13,0),2)</f>
        <v>8.1</v>
      </c>
      <c r="M30" s="4" t="n">
        <f aca="false">SUMIFS('Revision Log'!$M:$M,'Revision Log'!$N:$N,O30,'Revision Log'!$C:$C,0)</f>
        <v>6.75</v>
      </c>
      <c r="N30" s="16" t="n">
        <f aca="false">L30-M30</f>
        <v>1.35</v>
      </c>
      <c r="O30" s="14" t="n">
        <v>53</v>
      </c>
    </row>
    <row r="31" customFormat="false" ht="23.85" hidden="false" customHeight="false" outlineLevel="0" collapsed="false">
      <c r="A31" s="2" t="s">
        <v>31</v>
      </c>
      <c r="B31" s="2" t="s">
        <v>32</v>
      </c>
      <c r="C31" s="14" t="n">
        <v>5</v>
      </c>
      <c r="D31" s="2" t="s">
        <v>157</v>
      </c>
      <c r="E31" s="15" t="n">
        <v>9</v>
      </c>
      <c r="F31" s="15" t="n">
        <v>8</v>
      </c>
      <c r="G31" s="15" t="n">
        <v>8</v>
      </c>
      <c r="H31" s="15" t="n">
        <v>3</v>
      </c>
      <c r="I31" s="15" t="n">
        <v>8</v>
      </c>
      <c r="J31" s="15" t="n">
        <v>8</v>
      </c>
      <c r="K31" s="15" t="n">
        <v>7</v>
      </c>
      <c r="L31" s="4" t="n">
        <f aca="false">ROUND(E31*Rubric!$B$4+F31*Rubric!$B$5+G31*Rubric!$B$6+H31*Rubric!$B$7+I31*Rubric!$B$8+J31*Rubric!$B$9+K31*Rubric!$B$10-IF(OR(G31&lt;Rubric!$B$12,J31&lt;Rubric!$B$12),Rubric!$B$13,0),2)</f>
        <v>7.5</v>
      </c>
      <c r="M31" s="4" t="n">
        <f aca="false">SUMIFS('Revision Log'!$M:$M,'Revision Log'!$N:$N,O31,'Revision Log'!$C:$C,0)</f>
        <v>6.6</v>
      </c>
      <c r="N31" s="16" t="n">
        <f aca="false">L31-M31</f>
        <v>0.9</v>
      </c>
      <c r="O31" s="14" t="n">
        <v>54</v>
      </c>
    </row>
    <row r="32" customFormat="false" ht="23.85" hidden="false" customHeight="false" outlineLevel="0" collapsed="false">
      <c r="A32" s="2" t="s">
        <v>36</v>
      </c>
      <c r="B32" s="2" t="s">
        <v>37</v>
      </c>
      <c r="C32" s="14" t="n">
        <v>1</v>
      </c>
      <c r="D32" s="2" t="s">
        <v>158</v>
      </c>
      <c r="E32" s="15" t="n">
        <v>9</v>
      </c>
      <c r="F32" s="15" t="n">
        <v>8</v>
      </c>
      <c r="G32" s="15" t="n">
        <v>8</v>
      </c>
      <c r="H32" s="15" t="n">
        <v>3</v>
      </c>
      <c r="I32" s="15" t="n">
        <v>8</v>
      </c>
      <c r="J32" s="15" t="n">
        <v>8</v>
      </c>
      <c r="K32" s="15" t="n">
        <v>8</v>
      </c>
      <c r="L32" s="4" t="n">
        <f aca="false">ROUND(E32*Rubric!$B$4+F32*Rubric!$B$5+G32*Rubric!$B$6+H32*Rubric!$B$7+I32*Rubric!$B$8+J32*Rubric!$B$9+K32*Rubric!$B$10-IF(OR(G32&lt;Rubric!$B$12,J32&lt;Rubric!$B$12),Rubric!$B$13,0),2)</f>
        <v>7.6</v>
      </c>
      <c r="M32" s="4" t="n">
        <f aca="false">SUMIFS('Revision Log'!$M:$M,'Revision Log'!$N:$N,O32,'Revision Log'!$C:$C,0)</f>
        <v>5.3</v>
      </c>
      <c r="N32" s="16" t="n">
        <f aca="false">L32-M32</f>
        <v>2.3</v>
      </c>
      <c r="O32" s="14" t="n">
        <v>60</v>
      </c>
    </row>
    <row r="33" customFormat="false" ht="23.85" hidden="false" customHeight="false" outlineLevel="0" collapsed="false">
      <c r="A33" s="2" t="s">
        <v>36</v>
      </c>
      <c r="B33" s="2" t="s">
        <v>37</v>
      </c>
      <c r="C33" s="14" t="n">
        <v>2</v>
      </c>
      <c r="D33" s="2" t="s">
        <v>159</v>
      </c>
      <c r="E33" s="15" t="n">
        <v>9</v>
      </c>
      <c r="F33" s="15" t="n">
        <v>9</v>
      </c>
      <c r="G33" s="15" t="n">
        <v>7</v>
      </c>
      <c r="H33" s="15" t="n">
        <v>3</v>
      </c>
      <c r="I33" s="15" t="n">
        <v>9</v>
      </c>
      <c r="J33" s="15" t="n">
        <v>7</v>
      </c>
      <c r="K33" s="15" t="n">
        <v>8</v>
      </c>
      <c r="L33" s="4" t="n">
        <f aca="false">ROUND(E33*Rubric!$B$4+F33*Rubric!$B$5+G33*Rubric!$B$6+H33*Rubric!$B$7+I33*Rubric!$B$8+J33*Rubric!$B$9+K33*Rubric!$B$10-IF(OR(G33&lt;Rubric!$B$12,J33&lt;Rubric!$B$12),Rubric!$B$13,0),2)</f>
        <v>7.6</v>
      </c>
      <c r="M33" s="4" t="n">
        <f aca="false">SUMIFS('Revision Log'!$M:$M,'Revision Log'!$N:$N,O33,'Revision Log'!$C:$C,0)</f>
        <v>7.5</v>
      </c>
      <c r="N33" s="16" t="n">
        <f aca="false">L33-M33</f>
        <v>0.0999999999999996</v>
      </c>
      <c r="O33" s="14" t="n">
        <v>61</v>
      </c>
    </row>
    <row r="34" customFormat="false" ht="23.85" hidden="false" customHeight="false" outlineLevel="0" collapsed="false">
      <c r="A34" s="2" t="s">
        <v>36</v>
      </c>
      <c r="B34" s="2" t="s">
        <v>37</v>
      </c>
      <c r="C34" s="14" t="n">
        <v>3</v>
      </c>
      <c r="D34" s="2" t="s">
        <v>160</v>
      </c>
      <c r="E34" s="15" t="n">
        <v>9</v>
      </c>
      <c r="F34" s="15" t="n">
        <v>8</v>
      </c>
      <c r="G34" s="15" t="n">
        <v>8</v>
      </c>
      <c r="H34" s="15" t="n">
        <v>3</v>
      </c>
      <c r="I34" s="15" t="n">
        <v>8</v>
      </c>
      <c r="J34" s="15" t="n">
        <v>8</v>
      </c>
      <c r="K34" s="15" t="n">
        <v>8</v>
      </c>
      <c r="L34" s="4" t="n">
        <f aca="false">ROUND(E34*Rubric!$B$4+F34*Rubric!$B$5+G34*Rubric!$B$6+H34*Rubric!$B$7+I34*Rubric!$B$8+J34*Rubric!$B$9+K34*Rubric!$B$10-IF(OR(G34&lt;Rubric!$B$12,J34&lt;Rubric!$B$12),Rubric!$B$13,0),2)</f>
        <v>7.6</v>
      </c>
      <c r="M34" s="4" t="n">
        <f aca="false">SUMIFS('Revision Log'!$M:$M,'Revision Log'!$N:$N,O34,'Revision Log'!$C:$C,0)</f>
        <v>7.6</v>
      </c>
      <c r="N34" s="16" t="n">
        <f aca="false">L34-M34</f>
        <v>0</v>
      </c>
      <c r="O34" s="14" t="n">
        <v>62</v>
      </c>
    </row>
    <row r="35" customFormat="false" ht="23.85" hidden="false" customHeight="false" outlineLevel="0" collapsed="false">
      <c r="A35" s="2" t="s">
        <v>36</v>
      </c>
      <c r="B35" s="2" t="s">
        <v>37</v>
      </c>
      <c r="C35" s="14" t="n">
        <v>4</v>
      </c>
      <c r="D35" s="2" t="s">
        <v>161</v>
      </c>
      <c r="E35" s="15" t="n">
        <v>9</v>
      </c>
      <c r="F35" s="15" t="n">
        <v>8</v>
      </c>
      <c r="G35" s="15" t="n">
        <v>8</v>
      </c>
      <c r="H35" s="15" t="n">
        <v>3</v>
      </c>
      <c r="I35" s="15" t="n">
        <v>8</v>
      </c>
      <c r="J35" s="15" t="n">
        <v>8</v>
      </c>
      <c r="K35" s="15" t="n">
        <v>7</v>
      </c>
      <c r="L35" s="4" t="n">
        <f aca="false">ROUND(E35*Rubric!$B$4+F35*Rubric!$B$5+G35*Rubric!$B$6+H35*Rubric!$B$7+I35*Rubric!$B$8+J35*Rubric!$B$9+K35*Rubric!$B$10-IF(OR(G35&lt;Rubric!$B$12,J35&lt;Rubric!$B$12),Rubric!$B$13,0),2)</f>
        <v>7.5</v>
      </c>
      <c r="M35" s="4" t="n">
        <f aca="false">SUMIFS('Revision Log'!$M:$M,'Revision Log'!$N:$N,O35,'Revision Log'!$C:$C,0)</f>
        <v>6.8</v>
      </c>
      <c r="N35" s="16" t="n">
        <f aca="false">L35-M35</f>
        <v>0.7</v>
      </c>
      <c r="O35" s="14" t="n">
        <v>63</v>
      </c>
    </row>
    <row r="36" customFormat="false" ht="23.85" hidden="false" customHeight="false" outlineLevel="0" collapsed="false">
      <c r="A36" s="2" t="s">
        <v>36</v>
      </c>
      <c r="B36" s="2" t="s">
        <v>37</v>
      </c>
      <c r="C36" s="14" t="n">
        <v>5</v>
      </c>
      <c r="D36" s="2" t="s">
        <v>162</v>
      </c>
      <c r="E36" s="15" t="n">
        <v>8</v>
      </c>
      <c r="F36" s="15" t="n">
        <v>7</v>
      </c>
      <c r="G36" s="15" t="n">
        <v>8</v>
      </c>
      <c r="H36" s="15" t="n">
        <v>8</v>
      </c>
      <c r="I36" s="15" t="n">
        <v>7</v>
      </c>
      <c r="J36" s="15" t="n">
        <v>8</v>
      </c>
      <c r="K36" s="15" t="n">
        <v>8</v>
      </c>
      <c r="L36" s="4" t="n">
        <f aca="false">ROUND(E36*Rubric!$B$4+F36*Rubric!$B$5+G36*Rubric!$B$6+H36*Rubric!$B$7+I36*Rubric!$B$8+J36*Rubric!$B$9+K36*Rubric!$B$10-IF(OR(G36&lt;Rubric!$B$12,J36&lt;Rubric!$B$12),Rubric!$B$13,0),2)</f>
        <v>7.65</v>
      </c>
      <c r="M36" s="4" t="n">
        <f aca="false">SUMIFS('Revision Log'!$M:$M,'Revision Log'!$N:$N,O36,'Revision Log'!$C:$C,0)</f>
        <v>7.05</v>
      </c>
      <c r="N36" s="16" t="n">
        <f aca="false">L36-M36</f>
        <v>0.600000000000001</v>
      </c>
      <c r="O36" s="14" t="n">
        <v>64</v>
      </c>
    </row>
    <row r="37" customFormat="false" ht="23.85" hidden="false" customHeight="false" outlineLevel="0" collapsed="false">
      <c r="A37" s="2" t="s">
        <v>41</v>
      </c>
      <c r="B37" s="2" t="s">
        <v>42</v>
      </c>
      <c r="C37" s="14" t="n">
        <v>1</v>
      </c>
      <c r="D37" s="2" t="s">
        <v>163</v>
      </c>
      <c r="E37" s="15" t="n">
        <v>9</v>
      </c>
      <c r="F37" s="15" t="n">
        <v>9</v>
      </c>
      <c r="G37" s="15" t="n">
        <v>8</v>
      </c>
      <c r="H37" s="15" t="n">
        <v>3</v>
      </c>
      <c r="I37" s="15" t="n">
        <v>9</v>
      </c>
      <c r="J37" s="15" t="n">
        <v>8</v>
      </c>
      <c r="K37" s="15" t="n">
        <v>9</v>
      </c>
      <c r="L37" s="4" t="n">
        <f aca="false">ROUND(E37*Rubric!$B$4+F37*Rubric!$B$5+G37*Rubric!$B$6+H37*Rubric!$B$7+I37*Rubric!$B$8+J37*Rubric!$B$9+K37*Rubric!$B$10-IF(OR(G37&lt;Rubric!$B$12,J37&lt;Rubric!$B$12),Rubric!$B$13,0),2)</f>
        <v>8.05</v>
      </c>
      <c r="M37" s="4" t="n">
        <f aca="false">SUMIFS('Revision Log'!$M:$M,'Revision Log'!$N:$N,O37,'Revision Log'!$C:$C,0)</f>
        <v>8.05</v>
      </c>
      <c r="N37" s="16" t="n">
        <f aca="false">L37-M37</f>
        <v>0</v>
      </c>
      <c r="O37" s="14" t="n">
        <v>70</v>
      </c>
    </row>
    <row r="38" customFormat="false" ht="23.85" hidden="false" customHeight="false" outlineLevel="0" collapsed="false">
      <c r="A38" s="2" t="s">
        <v>41</v>
      </c>
      <c r="B38" s="2" t="s">
        <v>42</v>
      </c>
      <c r="C38" s="14" t="n">
        <v>2</v>
      </c>
      <c r="D38" s="2" t="s">
        <v>164</v>
      </c>
      <c r="E38" s="15" t="n">
        <v>8</v>
      </c>
      <c r="F38" s="15" t="n">
        <v>9</v>
      </c>
      <c r="G38" s="15" t="n">
        <v>8</v>
      </c>
      <c r="H38" s="15" t="n">
        <v>3</v>
      </c>
      <c r="I38" s="15" t="n">
        <v>9</v>
      </c>
      <c r="J38" s="15" t="n">
        <v>8</v>
      </c>
      <c r="K38" s="15" t="n">
        <v>8</v>
      </c>
      <c r="L38" s="4" t="n">
        <f aca="false">ROUND(E38*Rubric!$B$4+F38*Rubric!$B$5+G38*Rubric!$B$6+H38*Rubric!$B$7+I38*Rubric!$B$8+J38*Rubric!$B$9+K38*Rubric!$B$10-IF(OR(G38&lt;Rubric!$B$12,J38&lt;Rubric!$B$12),Rubric!$B$13,0),2)</f>
        <v>7.85</v>
      </c>
      <c r="M38" s="4" t="n">
        <f aca="false">SUMIFS('Revision Log'!$M:$M,'Revision Log'!$N:$N,O38,'Revision Log'!$C:$C,0)</f>
        <v>7.85</v>
      </c>
      <c r="N38" s="16" t="n">
        <f aca="false">L38-M38</f>
        <v>0</v>
      </c>
      <c r="O38" s="14" t="n">
        <v>71</v>
      </c>
    </row>
    <row r="39" customFormat="false" ht="23.85" hidden="false" customHeight="false" outlineLevel="0" collapsed="false">
      <c r="A39" s="2" t="s">
        <v>41</v>
      </c>
      <c r="B39" s="2" t="s">
        <v>42</v>
      </c>
      <c r="C39" s="14" t="n">
        <v>3</v>
      </c>
      <c r="D39" s="2" t="s">
        <v>165</v>
      </c>
      <c r="E39" s="15" t="n">
        <v>8</v>
      </c>
      <c r="F39" s="15" t="n">
        <v>8</v>
      </c>
      <c r="G39" s="15" t="n">
        <v>8</v>
      </c>
      <c r="H39" s="15" t="n">
        <v>3</v>
      </c>
      <c r="I39" s="15" t="n">
        <v>8</v>
      </c>
      <c r="J39" s="15" t="n">
        <v>8</v>
      </c>
      <c r="K39" s="15" t="n">
        <v>8</v>
      </c>
      <c r="L39" s="4" t="n">
        <f aca="false">ROUND(E39*Rubric!$B$4+F39*Rubric!$B$5+G39*Rubric!$B$6+H39*Rubric!$B$7+I39*Rubric!$B$8+J39*Rubric!$B$9+K39*Rubric!$B$10-IF(OR(G39&lt;Rubric!$B$12,J39&lt;Rubric!$B$12),Rubric!$B$13,0),2)</f>
        <v>7.5</v>
      </c>
      <c r="M39" s="4" t="n">
        <f aca="false">SUMIFS('Revision Log'!$M:$M,'Revision Log'!$N:$N,O39,'Revision Log'!$C:$C,0)</f>
        <v>5.2</v>
      </c>
      <c r="N39" s="16" t="n">
        <f aca="false">L39-M39</f>
        <v>2.3</v>
      </c>
      <c r="O39" s="14" t="n">
        <v>72</v>
      </c>
    </row>
    <row r="40" customFormat="false" ht="23.85" hidden="false" customHeight="false" outlineLevel="0" collapsed="false">
      <c r="A40" s="2" t="s">
        <v>41</v>
      </c>
      <c r="B40" s="2" t="s">
        <v>42</v>
      </c>
      <c r="C40" s="14" t="n">
        <v>4</v>
      </c>
      <c r="D40" s="2" t="s">
        <v>166</v>
      </c>
      <c r="E40" s="15" t="n">
        <v>9</v>
      </c>
      <c r="F40" s="15" t="n">
        <v>8</v>
      </c>
      <c r="G40" s="15" t="n">
        <v>8</v>
      </c>
      <c r="H40" s="15" t="n">
        <v>3</v>
      </c>
      <c r="I40" s="15" t="n">
        <v>7</v>
      </c>
      <c r="J40" s="15" t="n">
        <v>8</v>
      </c>
      <c r="K40" s="15" t="n">
        <v>9</v>
      </c>
      <c r="L40" s="4" t="n">
        <f aca="false">ROUND(E40*Rubric!$B$4+F40*Rubric!$B$5+G40*Rubric!$B$6+H40*Rubric!$B$7+I40*Rubric!$B$8+J40*Rubric!$B$9+K40*Rubric!$B$10-IF(OR(G40&lt;Rubric!$B$12,J40&lt;Rubric!$B$12),Rubric!$B$13,0),2)</f>
        <v>7.55</v>
      </c>
      <c r="M40" s="4" t="n">
        <f aca="false">SUMIFS('Revision Log'!$M:$M,'Revision Log'!$N:$N,O40,'Revision Log'!$C:$C,0)</f>
        <v>6.9</v>
      </c>
      <c r="N40" s="16" t="n">
        <f aca="false">L40-M40</f>
        <v>0.65</v>
      </c>
      <c r="O40" s="14" t="n">
        <v>73</v>
      </c>
    </row>
    <row r="41" customFormat="false" ht="23.85" hidden="false" customHeight="false" outlineLevel="0" collapsed="false">
      <c r="A41" s="2" t="s">
        <v>41</v>
      </c>
      <c r="B41" s="2" t="s">
        <v>42</v>
      </c>
      <c r="C41" s="14" t="n">
        <v>5</v>
      </c>
      <c r="D41" s="2" t="s">
        <v>167</v>
      </c>
      <c r="E41" s="15" t="n">
        <v>8</v>
      </c>
      <c r="F41" s="15" t="n">
        <v>8</v>
      </c>
      <c r="G41" s="15" t="n">
        <v>8</v>
      </c>
      <c r="H41" s="15" t="n">
        <v>9</v>
      </c>
      <c r="I41" s="15" t="n">
        <v>8</v>
      </c>
      <c r="J41" s="15" t="n">
        <v>8</v>
      </c>
      <c r="K41" s="15" t="n">
        <v>9</v>
      </c>
      <c r="L41" s="4" t="n">
        <f aca="false">ROUND(E41*Rubric!$B$4+F41*Rubric!$B$5+G41*Rubric!$B$6+H41*Rubric!$B$7+I41*Rubric!$B$8+J41*Rubric!$B$9+K41*Rubric!$B$10-IF(OR(G41&lt;Rubric!$B$12,J41&lt;Rubric!$B$12),Rubric!$B$13,0),2)</f>
        <v>8.2</v>
      </c>
      <c r="M41" s="4" t="n">
        <f aca="false">SUMIFS('Revision Log'!$M:$M,'Revision Log'!$N:$N,O41,'Revision Log'!$C:$C,0)</f>
        <v>8.2</v>
      </c>
      <c r="N41" s="16" t="n">
        <f aca="false">L41-M41</f>
        <v>0</v>
      </c>
      <c r="O41" s="14" t="n">
        <v>74</v>
      </c>
    </row>
    <row r="42" customFormat="false" ht="23.85" hidden="false" customHeight="false" outlineLevel="0" collapsed="false">
      <c r="A42" s="2" t="s">
        <v>46</v>
      </c>
      <c r="B42" s="2" t="s">
        <v>47</v>
      </c>
      <c r="C42" s="14" t="n">
        <v>1</v>
      </c>
      <c r="D42" s="2" t="s">
        <v>168</v>
      </c>
      <c r="E42" s="15" t="n">
        <v>8</v>
      </c>
      <c r="F42" s="15" t="n">
        <v>8</v>
      </c>
      <c r="G42" s="15" t="n">
        <v>7</v>
      </c>
      <c r="H42" s="15" t="n">
        <v>3</v>
      </c>
      <c r="I42" s="15" t="n">
        <v>8</v>
      </c>
      <c r="J42" s="15" t="n">
        <v>7</v>
      </c>
      <c r="K42" s="15" t="n">
        <v>8</v>
      </c>
      <c r="L42" s="4" t="n">
        <f aca="false">ROUND(E42*Rubric!$B$4+F42*Rubric!$B$5+G42*Rubric!$B$6+H42*Rubric!$B$7+I42*Rubric!$B$8+J42*Rubric!$B$9+K42*Rubric!$B$10-IF(OR(G42&lt;Rubric!$B$12,J42&lt;Rubric!$B$12),Rubric!$B$13,0),2)</f>
        <v>7.15</v>
      </c>
      <c r="M42" s="4" t="n">
        <f aca="false">SUMIFS('Revision Log'!$M:$M,'Revision Log'!$N:$N,O42,'Revision Log'!$C:$C,0)</f>
        <v>6.85</v>
      </c>
      <c r="N42" s="16" t="n">
        <f aca="false">L42-M42</f>
        <v>0.300000000000001</v>
      </c>
      <c r="O42" s="14" t="n">
        <v>80</v>
      </c>
    </row>
    <row r="43" customFormat="false" ht="23.85" hidden="false" customHeight="false" outlineLevel="0" collapsed="false">
      <c r="A43" s="2" t="s">
        <v>46</v>
      </c>
      <c r="B43" s="2" t="s">
        <v>47</v>
      </c>
      <c r="C43" s="14" t="n">
        <v>2</v>
      </c>
      <c r="D43" s="2" t="s">
        <v>169</v>
      </c>
      <c r="E43" s="15" t="n">
        <v>8</v>
      </c>
      <c r="F43" s="15" t="n">
        <v>8</v>
      </c>
      <c r="G43" s="15" t="n">
        <v>7</v>
      </c>
      <c r="H43" s="15" t="n">
        <v>9</v>
      </c>
      <c r="I43" s="15" t="n">
        <v>9</v>
      </c>
      <c r="J43" s="15" t="n">
        <v>7</v>
      </c>
      <c r="K43" s="15" t="n">
        <v>9</v>
      </c>
      <c r="L43" s="4" t="n">
        <f aca="false">ROUND(E43*Rubric!$B$4+F43*Rubric!$B$5+G43*Rubric!$B$6+H43*Rubric!$B$7+I43*Rubric!$B$8+J43*Rubric!$B$9+K43*Rubric!$B$10-IF(OR(G43&lt;Rubric!$B$12,J43&lt;Rubric!$B$12),Rubric!$B$13,0),2)</f>
        <v>8</v>
      </c>
      <c r="M43" s="4" t="n">
        <f aca="false">SUMIFS('Revision Log'!$M:$M,'Revision Log'!$N:$N,O43,'Revision Log'!$C:$C,0)</f>
        <v>6.1</v>
      </c>
      <c r="N43" s="16" t="n">
        <f aca="false">L43-M43</f>
        <v>1.9</v>
      </c>
      <c r="O43" s="14" t="n">
        <v>81</v>
      </c>
    </row>
    <row r="44" customFormat="false" ht="23.85" hidden="false" customHeight="false" outlineLevel="0" collapsed="false">
      <c r="A44" s="2" t="s">
        <v>46</v>
      </c>
      <c r="B44" s="2" t="s">
        <v>47</v>
      </c>
      <c r="C44" s="14" t="n">
        <v>3</v>
      </c>
      <c r="D44" s="2" t="s">
        <v>170</v>
      </c>
      <c r="E44" s="15" t="n">
        <v>9</v>
      </c>
      <c r="F44" s="15" t="n">
        <v>9</v>
      </c>
      <c r="G44" s="15" t="n">
        <v>7</v>
      </c>
      <c r="H44" s="15" t="n">
        <v>10</v>
      </c>
      <c r="I44" s="15" t="n">
        <v>10</v>
      </c>
      <c r="J44" s="15" t="n">
        <v>8</v>
      </c>
      <c r="K44" s="15" t="n">
        <v>10</v>
      </c>
      <c r="L44" s="4" t="n">
        <f aca="false">ROUND(E44*Rubric!$B$4+F44*Rubric!$B$5+G44*Rubric!$B$6+H44*Rubric!$B$7+I44*Rubric!$B$8+J44*Rubric!$B$9+K44*Rubric!$B$10-IF(OR(G44&lt;Rubric!$B$12,J44&lt;Rubric!$B$12),Rubric!$B$13,0),2)</f>
        <v>8.8</v>
      </c>
      <c r="M44" s="4" t="n">
        <f aca="false">SUMIFS('Revision Log'!$M:$M,'Revision Log'!$N:$N,O44,'Revision Log'!$C:$C,0)</f>
        <v>8.8</v>
      </c>
      <c r="N44" s="16" t="n">
        <f aca="false">L44-M44</f>
        <v>0</v>
      </c>
      <c r="O44" s="14" t="n">
        <v>82</v>
      </c>
    </row>
    <row r="45" customFormat="false" ht="23.85" hidden="false" customHeight="false" outlineLevel="0" collapsed="false">
      <c r="A45" s="2" t="s">
        <v>46</v>
      </c>
      <c r="B45" s="2" t="s">
        <v>47</v>
      </c>
      <c r="C45" s="14" t="n">
        <v>4</v>
      </c>
      <c r="D45" s="2" t="s">
        <v>171</v>
      </c>
      <c r="E45" s="15" t="n">
        <v>7</v>
      </c>
      <c r="F45" s="15" t="n">
        <v>8</v>
      </c>
      <c r="G45" s="15" t="n">
        <v>8</v>
      </c>
      <c r="H45" s="15" t="n">
        <v>10</v>
      </c>
      <c r="I45" s="15" t="n">
        <v>9</v>
      </c>
      <c r="J45" s="15" t="n">
        <v>8</v>
      </c>
      <c r="K45" s="15" t="n">
        <v>9</v>
      </c>
      <c r="L45" s="4" t="n">
        <f aca="false">ROUND(E45*Rubric!$B$4+F45*Rubric!$B$5+G45*Rubric!$B$6+H45*Rubric!$B$7+I45*Rubric!$B$8+J45*Rubric!$B$9+K45*Rubric!$B$10-IF(OR(G45&lt;Rubric!$B$12,J45&lt;Rubric!$B$12),Rubric!$B$13,0),2)</f>
        <v>8.35</v>
      </c>
      <c r="M45" s="4" t="n">
        <f aca="false">SUMIFS('Revision Log'!$M:$M,'Revision Log'!$N:$N,O45,'Revision Log'!$C:$C,0)</f>
        <v>6.85</v>
      </c>
      <c r="N45" s="16" t="n">
        <f aca="false">L45-M45</f>
        <v>1.5</v>
      </c>
      <c r="O45" s="14" t="n">
        <v>83</v>
      </c>
    </row>
    <row r="46" customFormat="false" ht="23.85" hidden="false" customHeight="false" outlineLevel="0" collapsed="false">
      <c r="A46" s="2" t="s">
        <v>46</v>
      </c>
      <c r="B46" s="2" t="s">
        <v>47</v>
      </c>
      <c r="C46" s="14" t="n">
        <v>5</v>
      </c>
      <c r="D46" s="2" t="s">
        <v>172</v>
      </c>
      <c r="E46" s="15" t="n">
        <v>8</v>
      </c>
      <c r="F46" s="15" t="n">
        <v>9</v>
      </c>
      <c r="G46" s="15" t="n">
        <v>8</v>
      </c>
      <c r="H46" s="15" t="n">
        <v>5</v>
      </c>
      <c r="I46" s="15" t="n">
        <v>9</v>
      </c>
      <c r="J46" s="15" t="n">
        <v>8</v>
      </c>
      <c r="K46" s="15" t="n">
        <v>8</v>
      </c>
      <c r="L46" s="4" t="n">
        <f aca="false">ROUND(E46*Rubric!$B$4+F46*Rubric!$B$5+G46*Rubric!$B$6+H46*Rubric!$B$7+I46*Rubric!$B$8+J46*Rubric!$B$9+K46*Rubric!$B$10-IF(OR(G46&lt;Rubric!$B$12,J46&lt;Rubric!$B$12),Rubric!$B$13,0),2)</f>
        <v>8.05</v>
      </c>
      <c r="M46" s="4" t="n">
        <f aca="false">SUMIFS('Revision Log'!$M:$M,'Revision Log'!$N:$N,O46,'Revision Log'!$C:$C,0)</f>
        <v>7.3</v>
      </c>
      <c r="N46" s="16" t="n">
        <f aca="false">L46-M46</f>
        <v>0.750000000000001</v>
      </c>
      <c r="O46" s="14" t="n">
        <v>84</v>
      </c>
    </row>
    <row r="47" customFormat="false" ht="23.85" hidden="false" customHeight="false" outlineLevel="0" collapsed="false">
      <c r="A47" s="2" t="s">
        <v>51</v>
      </c>
      <c r="B47" s="2" t="s">
        <v>52</v>
      </c>
      <c r="C47" s="14" t="n">
        <v>1</v>
      </c>
      <c r="D47" s="2" t="s">
        <v>173</v>
      </c>
      <c r="E47" s="15" t="n">
        <v>9</v>
      </c>
      <c r="F47" s="15" t="n">
        <v>9</v>
      </c>
      <c r="G47" s="15" t="n">
        <v>7</v>
      </c>
      <c r="H47" s="15" t="n">
        <v>4</v>
      </c>
      <c r="I47" s="15" t="n">
        <v>8</v>
      </c>
      <c r="J47" s="15" t="n">
        <v>7</v>
      </c>
      <c r="K47" s="15" t="n">
        <v>8</v>
      </c>
      <c r="L47" s="4" t="n">
        <f aca="false">ROUND(E47*Rubric!$B$4+F47*Rubric!$B$5+G47*Rubric!$B$6+H47*Rubric!$B$7+I47*Rubric!$B$8+J47*Rubric!$B$9+K47*Rubric!$B$10-IF(OR(G47&lt;Rubric!$B$12,J47&lt;Rubric!$B$12),Rubric!$B$13,0),2)</f>
        <v>7.55</v>
      </c>
      <c r="M47" s="4" t="n">
        <f aca="false">SUMIFS('Revision Log'!$M:$M,'Revision Log'!$N:$N,O47,'Revision Log'!$C:$C,0)</f>
        <v>7.55</v>
      </c>
      <c r="N47" s="16" t="n">
        <f aca="false">L47-M47</f>
        <v>0</v>
      </c>
      <c r="O47" s="14" t="n">
        <v>90</v>
      </c>
    </row>
    <row r="48" customFormat="false" ht="23.85" hidden="false" customHeight="false" outlineLevel="0" collapsed="false">
      <c r="A48" s="2" t="s">
        <v>51</v>
      </c>
      <c r="B48" s="2" t="s">
        <v>52</v>
      </c>
      <c r="C48" s="14" t="n">
        <v>2</v>
      </c>
      <c r="D48" s="2" t="s">
        <v>174</v>
      </c>
      <c r="E48" s="15" t="n">
        <v>7</v>
      </c>
      <c r="F48" s="15" t="n">
        <v>8</v>
      </c>
      <c r="G48" s="15" t="n">
        <v>8</v>
      </c>
      <c r="H48" s="15" t="n">
        <v>7</v>
      </c>
      <c r="I48" s="15" t="n">
        <v>8</v>
      </c>
      <c r="J48" s="15" t="n">
        <v>8</v>
      </c>
      <c r="K48" s="15" t="n">
        <v>8</v>
      </c>
      <c r="L48" s="4" t="n">
        <f aca="false">ROUND(E48*Rubric!$B$4+F48*Rubric!$B$5+G48*Rubric!$B$6+H48*Rubric!$B$7+I48*Rubric!$B$8+J48*Rubric!$B$9+K48*Rubric!$B$10-IF(OR(G48&lt;Rubric!$B$12,J48&lt;Rubric!$B$12),Rubric!$B$13,0),2)</f>
        <v>7.8</v>
      </c>
      <c r="M48" s="4" t="n">
        <f aca="false">SUMIFS('Revision Log'!$M:$M,'Revision Log'!$N:$N,O48,'Revision Log'!$C:$C,0)</f>
        <v>6.7</v>
      </c>
      <c r="N48" s="16" t="n">
        <f aca="false">L48-M48</f>
        <v>1.1</v>
      </c>
      <c r="O48" s="14" t="n">
        <v>91</v>
      </c>
    </row>
    <row r="49" customFormat="false" ht="23.85" hidden="false" customHeight="false" outlineLevel="0" collapsed="false">
      <c r="A49" s="2" t="s">
        <v>51</v>
      </c>
      <c r="B49" s="2" t="s">
        <v>52</v>
      </c>
      <c r="C49" s="14" t="n">
        <v>3</v>
      </c>
      <c r="D49" s="2" t="s">
        <v>175</v>
      </c>
      <c r="E49" s="15" t="n">
        <v>8</v>
      </c>
      <c r="F49" s="15" t="n">
        <v>8</v>
      </c>
      <c r="G49" s="15" t="n">
        <v>7</v>
      </c>
      <c r="H49" s="15" t="n">
        <v>10</v>
      </c>
      <c r="I49" s="15" t="n">
        <v>10</v>
      </c>
      <c r="J49" s="15" t="n">
        <v>7</v>
      </c>
      <c r="K49" s="15" t="n">
        <v>9</v>
      </c>
      <c r="L49" s="4" t="n">
        <f aca="false">ROUND(E49*Rubric!$B$4+F49*Rubric!$B$5+G49*Rubric!$B$6+H49*Rubric!$B$7+I49*Rubric!$B$8+J49*Rubric!$B$9+K49*Rubric!$B$10-IF(OR(G49&lt;Rubric!$B$12,J49&lt;Rubric!$B$12),Rubric!$B$13,0),2)</f>
        <v>8.25</v>
      </c>
      <c r="M49" s="4" t="n">
        <f aca="false">SUMIFS('Revision Log'!$M:$M,'Revision Log'!$N:$N,O49,'Revision Log'!$C:$C,0)</f>
        <v>8.25</v>
      </c>
      <c r="N49" s="16" t="n">
        <f aca="false">L49-M49</f>
        <v>0</v>
      </c>
      <c r="O49" s="14" t="n">
        <v>92</v>
      </c>
    </row>
    <row r="50" customFormat="false" ht="23.85" hidden="false" customHeight="false" outlineLevel="0" collapsed="false">
      <c r="A50" s="2" t="s">
        <v>51</v>
      </c>
      <c r="B50" s="2" t="s">
        <v>52</v>
      </c>
      <c r="C50" s="14" t="n">
        <v>4</v>
      </c>
      <c r="D50" s="2" t="s">
        <v>176</v>
      </c>
      <c r="E50" s="15" t="n">
        <v>9</v>
      </c>
      <c r="F50" s="15" t="n">
        <v>8</v>
      </c>
      <c r="G50" s="15" t="n">
        <v>8</v>
      </c>
      <c r="H50" s="15" t="n">
        <v>4</v>
      </c>
      <c r="I50" s="15" t="n">
        <v>7</v>
      </c>
      <c r="J50" s="15" t="n">
        <v>8</v>
      </c>
      <c r="K50" s="15" t="n">
        <v>8</v>
      </c>
      <c r="L50" s="4" t="n">
        <f aca="false">ROUND(E50*Rubric!$B$4+F50*Rubric!$B$5+G50*Rubric!$B$6+H50*Rubric!$B$7+I50*Rubric!$B$8+J50*Rubric!$B$9+K50*Rubric!$B$10-IF(OR(G50&lt;Rubric!$B$12,J50&lt;Rubric!$B$12),Rubric!$B$13,0),2)</f>
        <v>7.55</v>
      </c>
      <c r="M50" s="4" t="n">
        <f aca="false">SUMIFS('Revision Log'!$M:$M,'Revision Log'!$N:$N,O50,'Revision Log'!$C:$C,0)</f>
        <v>6.3</v>
      </c>
      <c r="N50" s="16" t="n">
        <f aca="false">L50-M50</f>
        <v>1.25</v>
      </c>
      <c r="O50" s="14" t="n">
        <v>93</v>
      </c>
    </row>
    <row r="51" customFormat="false" ht="23.85" hidden="false" customHeight="false" outlineLevel="0" collapsed="false">
      <c r="A51" s="2" t="s">
        <v>51</v>
      </c>
      <c r="B51" s="2" t="s">
        <v>52</v>
      </c>
      <c r="C51" s="14" t="n">
        <v>5</v>
      </c>
      <c r="D51" s="2" t="s">
        <v>177</v>
      </c>
      <c r="E51" s="15" t="n">
        <v>9</v>
      </c>
      <c r="F51" s="15" t="n">
        <v>8</v>
      </c>
      <c r="G51" s="15" t="n">
        <v>8</v>
      </c>
      <c r="H51" s="15" t="n">
        <v>3</v>
      </c>
      <c r="I51" s="15" t="n">
        <v>7</v>
      </c>
      <c r="J51" s="15" t="n">
        <v>8</v>
      </c>
      <c r="K51" s="15" t="n">
        <v>9</v>
      </c>
      <c r="L51" s="4" t="n">
        <f aca="false">ROUND(E51*Rubric!$B$4+F51*Rubric!$B$5+G51*Rubric!$B$6+H51*Rubric!$B$7+I51*Rubric!$B$8+J51*Rubric!$B$9+K51*Rubric!$B$10-IF(OR(G51&lt;Rubric!$B$12,J51&lt;Rubric!$B$12),Rubric!$B$13,0),2)</f>
        <v>7.55</v>
      </c>
      <c r="M51" s="4" t="n">
        <f aca="false">SUMIFS('Revision Log'!$M:$M,'Revision Log'!$N:$N,O51,'Revision Log'!$C:$C,0)</f>
        <v>6.65</v>
      </c>
      <c r="N51" s="16" t="n">
        <f aca="false">L51-M51</f>
        <v>0.9</v>
      </c>
      <c r="O51" s="14" t="n">
        <v>94</v>
      </c>
    </row>
    <row r="52" customFormat="false" ht="23.85" hidden="false" customHeight="false" outlineLevel="0" collapsed="false">
      <c r="A52" s="2" t="s">
        <v>55</v>
      </c>
      <c r="B52" s="2" t="s">
        <v>56</v>
      </c>
      <c r="C52" s="14" t="n">
        <v>1</v>
      </c>
      <c r="D52" s="2" t="s">
        <v>178</v>
      </c>
      <c r="E52" s="15" t="n">
        <v>8</v>
      </c>
      <c r="F52" s="15" t="n">
        <v>8</v>
      </c>
      <c r="G52" s="15" t="n">
        <v>7</v>
      </c>
      <c r="H52" s="15" t="n">
        <v>10</v>
      </c>
      <c r="I52" s="15" t="n">
        <v>10</v>
      </c>
      <c r="J52" s="15" t="n">
        <v>7</v>
      </c>
      <c r="K52" s="15" t="n">
        <v>9</v>
      </c>
      <c r="L52" s="4" t="n">
        <f aca="false">ROUND(E52*Rubric!$B$4+F52*Rubric!$B$5+G52*Rubric!$B$6+H52*Rubric!$B$7+I52*Rubric!$B$8+J52*Rubric!$B$9+K52*Rubric!$B$10-IF(OR(G52&lt;Rubric!$B$12,J52&lt;Rubric!$B$12),Rubric!$B$13,0),2)</f>
        <v>8.25</v>
      </c>
      <c r="M52" s="4" t="n">
        <f aca="false">SUMIFS('Revision Log'!$M:$M,'Revision Log'!$N:$N,O52,'Revision Log'!$C:$C,0)</f>
        <v>7</v>
      </c>
      <c r="N52" s="16" t="n">
        <f aca="false">L52-M52</f>
        <v>1.25</v>
      </c>
      <c r="O52" s="14" t="n">
        <v>100</v>
      </c>
    </row>
    <row r="53" customFormat="false" ht="23.85" hidden="false" customHeight="false" outlineLevel="0" collapsed="false">
      <c r="A53" s="2" t="s">
        <v>55</v>
      </c>
      <c r="B53" s="2" t="s">
        <v>56</v>
      </c>
      <c r="C53" s="14" t="n">
        <v>2</v>
      </c>
      <c r="D53" s="2" t="s">
        <v>179</v>
      </c>
      <c r="E53" s="15" t="n">
        <v>9</v>
      </c>
      <c r="F53" s="15" t="n">
        <v>8</v>
      </c>
      <c r="G53" s="15" t="n">
        <v>8</v>
      </c>
      <c r="H53" s="15" t="n">
        <v>10</v>
      </c>
      <c r="I53" s="15" t="n">
        <v>9</v>
      </c>
      <c r="J53" s="15" t="n">
        <v>8</v>
      </c>
      <c r="K53" s="15" t="n">
        <v>9</v>
      </c>
      <c r="L53" s="4" t="n">
        <f aca="false">ROUND(E53*Rubric!$B$4+F53*Rubric!$B$5+G53*Rubric!$B$6+H53*Rubric!$B$7+I53*Rubric!$B$8+J53*Rubric!$B$9+K53*Rubric!$B$10-IF(OR(G53&lt;Rubric!$B$12,J53&lt;Rubric!$B$12),Rubric!$B$13,0),2)</f>
        <v>8.55</v>
      </c>
      <c r="M53" s="4" t="n">
        <f aca="false">SUMIFS('Revision Log'!$M:$M,'Revision Log'!$N:$N,O53,'Revision Log'!$C:$C,0)</f>
        <v>8.55</v>
      </c>
      <c r="N53" s="16" t="n">
        <f aca="false">L53-M53</f>
        <v>0</v>
      </c>
      <c r="O53" s="14" t="n">
        <v>101</v>
      </c>
    </row>
    <row r="54" customFormat="false" ht="23.85" hidden="false" customHeight="false" outlineLevel="0" collapsed="false">
      <c r="A54" s="2" t="s">
        <v>55</v>
      </c>
      <c r="B54" s="2" t="s">
        <v>56</v>
      </c>
      <c r="C54" s="14" t="n">
        <v>3</v>
      </c>
      <c r="D54" s="2" t="s">
        <v>180</v>
      </c>
      <c r="E54" s="15" t="n">
        <v>9</v>
      </c>
      <c r="F54" s="15" t="n">
        <v>9</v>
      </c>
      <c r="G54" s="15" t="n">
        <v>8</v>
      </c>
      <c r="H54" s="15" t="n">
        <v>3</v>
      </c>
      <c r="I54" s="15" t="n">
        <v>8</v>
      </c>
      <c r="J54" s="15" t="n">
        <v>9</v>
      </c>
      <c r="K54" s="15" t="n">
        <v>8</v>
      </c>
      <c r="L54" s="4" t="n">
        <f aca="false">ROUND(E54*Rubric!$B$4+F54*Rubric!$B$5+G54*Rubric!$B$6+H54*Rubric!$B$7+I54*Rubric!$B$8+J54*Rubric!$B$9+K54*Rubric!$B$10-IF(OR(G54&lt;Rubric!$B$12,J54&lt;Rubric!$B$12),Rubric!$B$13,0),2)</f>
        <v>7.95</v>
      </c>
      <c r="M54" s="4" t="n">
        <f aca="false">SUMIFS('Revision Log'!$M:$M,'Revision Log'!$N:$N,O54,'Revision Log'!$C:$C,0)</f>
        <v>7.95</v>
      </c>
      <c r="N54" s="16" t="n">
        <f aca="false">L54-M54</f>
        <v>0</v>
      </c>
      <c r="O54" s="14" t="n">
        <v>102</v>
      </c>
    </row>
    <row r="55" customFormat="false" ht="23.85" hidden="false" customHeight="false" outlineLevel="0" collapsed="false">
      <c r="A55" s="2" t="s">
        <v>55</v>
      </c>
      <c r="B55" s="2" t="s">
        <v>56</v>
      </c>
      <c r="C55" s="14" t="n">
        <v>4</v>
      </c>
      <c r="D55" s="2" t="s">
        <v>181</v>
      </c>
      <c r="E55" s="15" t="n">
        <v>9</v>
      </c>
      <c r="F55" s="15" t="n">
        <v>8</v>
      </c>
      <c r="G55" s="15" t="n">
        <v>8</v>
      </c>
      <c r="H55" s="15" t="n">
        <v>5</v>
      </c>
      <c r="I55" s="15" t="n">
        <v>8</v>
      </c>
      <c r="J55" s="15" t="n">
        <v>7</v>
      </c>
      <c r="K55" s="15" t="n">
        <v>8</v>
      </c>
      <c r="L55" s="4" t="n">
        <f aca="false">ROUND(E55*Rubric!$B$4+F55*Rubric!$B$5+G55*Rubric!$B$6+H55*Rubric!$B$7+I55*Rubric!$B$8+J55*Rubric!$B$9+K55*Rubric!$B$10-IF(OR(G55&lt;Rubric!$B$12,J55&lt;Rubric!$B$12),Rubric!$B$13,0),2)</f>
        <v>7.65</v>
      </c>
      <c r="M55" s="4" t="n">
        <f aca="false">SUMIFS('Revision Log'!$M:$M,'Revision Log'!$N:$N,O55,'Revision Log'!$C:$C,0)</f>
        <v>7.35</v>
      </c>
      <c r="N55" s="16" t="n">
        <f aca="false">L55-M55</f>
        <v>0.300000000000001</v>
      </c>
      <c r="O55" s="14" t="n">
        <v>103</v>
      </c>
    </row>
    <row r="56" customFormat="false" ht="23.85" hidden="false" customHeight="false" outlineLevel="0" collapsed="false">
      <c r="A56" s="2" t="s">
        <v>55</v>
      </c>
      <c r="B56" s="2" t="s">
        <v>56</v>
      </c>
      <c r="C56" s="14" t="n">
        <v>5</v>
      </c>
      <c r="D56" s="2" t="s">
        <v>182</v>
      </c>
      <c r="E56" s="15" t="n">
        <v>7</v>
      </c>
      <c r="F56" s="15" t="n">
        <v>7</v>
      </c>
      <c r="G56" s="15" t="n">
        <v>8</v>
      </c>
      <c r="H56" s="15" t="n">
        <v>8</v>
      </c>
      <c r="I56" s="15" t="n">
        <v>8</v>
      </c>
      <c r="J56" s="15" t="n">
        <v>8</v>
      </c>
      <c r="K56" s="15" t="n">
        <v>8</v>
      </c>
      <c r="L56" s="4" t="n">
        <f aca="false">ROUND(E56*Rubric!$B$4+F56*Rubric!$B$5+G56*Rubric!$B$6+H56*Rubric!$B$7+I56*Rubric!$B$8+J56*Rubric!$B$9+K56*Rubric!$B$10-IF(OR(G56&lt;Rubric!$B$12,J56&lt;Rubric!$B$12),Rubric!$B$13,0),2)</f>
        <v>7.7</v>
      </c>
      <c r="M56" s="4" t="n">
        <f aca="false">SUMIFS('Revision Log'!$M:$M,'Revision Log'!$N:$N,O56,'Revision Log'!$C:$C,0)</f>
        <v>5.1</v>
      </c>
      <c r="N56" s="16" t="n">
        <f aca="false">L56-M56</f>
        <v>2.6</v>
      </c>
      <c r="O56" s="14" t="n">
        <v>104</v>
      </c>
    </row>
    <row r="57" customFormat="false" ht="23.85" hidden="false" customHeight="false" outlineLevel="0" collapsed="false">
      <c r="A57" s="2" t="s">
        <v>60</v>
      </c>
      <c r="B57" s="2" t="s">
        <v>61</v>
      </c>
      <c r="C57" s="14" t="n">
        <v>1</v>
      </c>
      <c r="D57" s="2" t="s">
        <v>183</v>
      </c>
      <c r="E57" s="15" t="n">
        <v>9</v>
      </c>
      <c r="F57" s="15" t="n">
        <v>8</v>
      </c>
      <c r="G57" s="15" t="n">
        <v>8</v>
      </c>
      <c r="H57" s="15" t="n">
        <v>3</v>
      </c>
      <c r="I57" s="15" t="n">
        <v>8</v>
      </c>
      <c r="J57" s="15" t="n">
        <v>8</v>
      </c>
      <c r="K57" s="15" t="n">
        <v>7</v>
      </c>
      <c r="L57" s="4" t="n">
        <f aca="false">ROUND(E57*Rubric!$B$4+F57*Rubric!$B$5+G57*Rubric!$B$6+H57*Rubric!$B$7+I57*Rubric!$B$8+J57*Rubric!$B$9+K57*Rubric!$B$10-IF(OR(G57&lt;Rubric!$B$12,J57&lt;Rubric!$B$12),Rubric!$B$13,0),2)</f>
        <v>7.5</v>
      </c>
      <c r="M57" s="4" t="n">
        <f aca="false">SUMIFS('Revision Log'!$M:$M,'Revision Log'!$N:$N,O57,'Revision Log'!$C:$C,0)</f>
        <v>7.05</v>
      </c>
      <c r="N57" s="16" t="n">
        <f aca="false">L57-M57</f>
        <v>0.45</v>
      </c>
      <c r="O57" s="14" t="n">
        <v>110</v>
      </c>
    </row>
    <row r="58" customFormat="false" ht="23.85" hidden="false" customHeight="false" outlineLevel="0" collapsed="false">
      <c r="A58" s="2" t="s">
        <v>60</v>
      </c>
      <c r="B58" s="2" t="s">
        <v>61</v>
      </c>
      <c r="C58" s="14" t="n">
        <v>2</v>
      </c>
      <c r="D58" s="2" t="s">
        <v>184</v>
      </c>
      <c r="E58" s="15" t="n">
        <v>9</v>
      </c>
      <c r="F58" s="15" t="n">
        <v>9</v>
      </c>
      <c r="G58" s="15" t="n">
        <v>8</v>
      </c>
      <c r="H58" s="15" t="n">
        <v>3</v>
      </c>
      <c r="I58" s="15" t="n">
        <v>8</v>
      </c>
      <c r="J58" s="15" t="n">
        <v>9</v>
      </c>
      <c r="K58" s="15" t="n">
        <v>8</v>
      </c>
      <c r="L58" s="4" t="n">
        <f aca="false">ROUND(E58*Rubric!$B$4+F58*Rubric!$B$5+G58*Rubric!$B$6+H58*Rubric!$B$7+I58*Rubric!$B$8+J58*Rubric!$B$9+K58*Rubric!$B$10-IF(OR(G58&lt;Rubric!$B$12,J58&lt;Rubric!$B$12),Rubric!$B$13,0),2)</f>
        <v>7.95</v>
      </c>
      <c r="M58" s="4" t="n">
        <f aca="false">SUMIFS('Revision Log'!$M:$M,'Revision Log'!$N:$N,O58,'Revision Log'!$C:$C,0)</f>
        <v>7.95</v>
      </c>
      <c r="N58" s="16" t="n">
        <f aca="false">L58-M58</f>
        <v>0</v>
      </c>
      <c r="O58" s="14" t="n">
        <v>111</v>
      </c>
    </row>
    <row r="59" customFormat="false" ht="23.85" hidden="false" customHeight="false" outlineLevel="0" collapsed="false">
      <c r="A59" s="2" t="s">
        <v>60</v>
      </c>
      <c r="B59" s="2" t="s">
        <v>61</v>
      </c>
      <c r="C59" s="14" t="n">
        <v>3</v>
      </c>
      <c r="D59" s="2" t="s">
        <v>185</v>
      </c>
      <c r="E59" s="15" t="n">
        <v>9</v>
      </c>
      <c r="F59" s="15" t="n">
        <v>8</v>
      </c>
      <c r="G59" s="15" t="n">
        <v>8</v>
      </c>
      <c r="H59" s="15" t="n">
        <v>3</v>
      </c>
      <c r="I59" s="15" t="n">
        <v>8</v>
      </c>
      <c r="J59" s="15" t="n">
        <v>8</v>
      </c>
      <c r="K59" s="15" t="n">
        <v>8</v>
      </c>
      <c r="L59" s="4" t="n">
        <f aca="false">ROUND(E59*Rubric!$B$4+F59*Rubric!$B$5+G59*Rubric!$B$6+H59*Rubric!$B$7+I59*Rubric!$B$8+J59*Rubric!$B$9+K59*Rubric!$B$10-IF(OR(G59&lt;Rubric!$B$12,J59&lt;Rubric!$B$12),Rubric!$B$13,0),2)</f>
        <v>7.6</v>
      </c>
      <c r="M59" s="4" t="n">
        <f aca="false">SUMIFS('Revision Log'!$M:$M,'Revision Log'!$N:$N,O59,'Revision Log'!$C:$C,0)</f>
        <v>5.7</v>
      </c>
      <c r="N59" s="16" t="n">
        <f aca="false">L59-M59</f>
        <v>1.9</v>
      </c>
      <c r="O59" s="14" t="n">
        <v>112</v>
      </c>
    </row>
    <row r="60" customFormat="false" ht="23.85" hidden="false" customHeight="false" outlineLevel="0" collapsed="false">
      <c r="A60" s="2" t="s">
        <v>60</v>
      </c>
      <c r="B60" s="2" t="s">
        <v>61</v>
      </c>
      <c r="C60" s="14" t="n">
        <v>4</v>
      </c>
      <c r="D60" s="2" t="s">
        <v>186</v>
      </c>
      <c r="E60" s="15" t="n">
        <v>9</v>
      </c>
      <c r="F60" s="15" t="n">
        <v>7</v>
      </c>
      <c r="G60" s="15" t="n">
        <v>8</v>
      </c>
      <c r="H60" s="15" t="n">
        <v>8</v>
      </c>
      <c r="I60" s="15" t="n">
        <v>7</v>
      </c>
      <c r="J60" s="15" t="n">
        <v>7</v>
      </c>
      <c r="K60" s="15" t="n">
        <v>7</v>
      </c>
      <c r="L60" s="4" t="n">
        <f aca="false">ROUND(E60*Rubric!$B$4+F60*Rubric!$B$5+G60*Rubric!$B$6+H60*Rubric!$B$7+I60*Rubric!$B$8+J60*Rubric!$B$9+K60*Rubric!$B$10-IF(OR(G60&lt;Rubric!$B$12,J60&lt;Rubric!$B$12),Rubric!$B$13,0),2)</f>
        <v>7.5</v>
      </c>
      <c r="M60" s="4" t="n">
        <f aca="false">SUMIFS('Revision Log'!$M:$M,'Revision Log'!$N:$N,O60,'Revision Log'!$C:$C,0)</f>
        <v>6.95</v>
      </c>
      <c r="N60" s="16" t="n">
        <f aca="false">L60-M60</f>
        <v>0.55</v>
      </c>
      <c r="O60" s="14" t="n">
        <v>113</v>
      </c>
    </row>
    <row r="61" customFormat="false" ht="23.85" hidden="false" customHeight="false" outlineLevel="0" collapsed="false">
      <c r="A61" s="2" t="s">
        <v>60</v>
      </c>
      <c r="B61" s="2" t="s">
        <v>61</v>
      </c>
      <c r="C61" s="14" t="n">
        <v>5</v>
      </c>
      <c r="D61" s="2" t="s">
        <v>187</v>
      </c>
      <c r="E61" s="15" t="n">
        <v>8</v>
      </c>
      <c r="F61" s="15" t="n">
        <v>8</v>
      </c>
      <c r="G61" s="15" t="n">
        <v>8</v>
      </c>
      <c r="H61" s="15" t="n">
        <v>3</v>
      </c>
      <c r="I61" s="15" t="n">
        <v>8</v>
      </c>
      <c r="J61" s="15" t="n">
        <v>8</v>
      </c>
      <c r="K61" s="15" t="n">
        <v>8</v>
      </c>
      <c r="L61" s="4" t="n">
        <f aca="false">ROUND(E61*Rubric!$B$4+F61*Rubric!$B$5+G61*Rubric!$B$6+H61*Rubric!$B$7+I61*Rubric!$B$8+J61*Rubric!$B$9+K61*Rubric!$B$10-IF(OR(G61&lt;Rubric!$B$12,J61&lt;Rubric!$B$12),Rubric!$B$13,0),2)</f>
        <v>7.5</v>
      </c>
      <c r="M61" s="4" t="n">
        <f aca="false">SUMIFS('Revision Log'!$M:$M,'Revision Log'!$N:$N,O61,'Revision Log'!$C:$C,0)</f>
        <v>6.85</v>
      </c>
      <c r="N61" s="16" t="n">
        <f aca="false">L61-M61</f>
        <v>0.65</v>
      </c>
      <c r="O61" s="14" t="n">
        <v>114</v>
      </c>
    </row>
    <row r="62" customFormat="false" ht="23.85" hidden="false" customHeight="false" outlineLevel="0" collapsed="false">
      <c r="A62" s="2" t="s">
        <v>65</v>
      </c>
      <c r="B62" s="2" t="s">
        <v>66</v>
      </c>
      <c r="C62" s="14" t="n">
        <v>1</v>
      </c>
      <c r="D62" s="2" t="s">
        <v>188</v>
      </c>
      <c r="E62" s="15" t="n">
        <v>8</v>
      </c>
      <c r="F62" s="15" t="n">
        <v>8</v>
      </c>
      <c r="G62" s="15" t="n">
        <v>8</v>
      </c>
      <c r="H62" s="15" t="n">
        <v>3</v>
      </c>
      <c r="I62" s="15" t="n">
        <v>8</v>
      </c>
      <c r="J62" s="15" t="n">
        <v>8</v>
      </c>
      <c r="K62" s="15" t="n">
        <v>9</v>
      </c>
      <c r="L62" s="4" t="n">
        <f aca="false">ROUND(E62*Rubric!$B$4+F62*Rubric!$B$5+G62*Rubric!$B$6+H62*Rubric!$B$7+I62*Rubric!$B$8+J62*Rubric!$B$9+K62*Rubric!$B$10-IF(OR(G62&lt;Rubric!$B$12,J62&lt;Rubric!$B$12),Rubric!$B$13,0),2)</f>
        <v>7.6</v>
      </c>
      <c r="M62" s="4" t="n">
        <f aca="false">SUMIFS('Revision Log'!$M:$M,'Revision Log'!$N:$N,O62,'Revision Log'!$C:$C,0)</f>
        <v>7.05</v>
      </c>
      <c r="N62" s="16" t="n">
        <f aca="false">L62-M62</f>
        <v>0.55</v>
      </c>
      <c r="O62" s="14" t="n">
        <v>120</v>
      </c>
    </row>
    <row r="63" customFormat="false" ht="15" hidden="false" customHeight="false" outlineLevel="0" collapsed="false">
      <c r="A63" s="2" t="s">
        <v>65</v>
      </c>
      <c r="B63" s="2" t="s">
        <v>66</v>
      </c>
      <c r="C63" s="14" t="n">
        <v>2</v>
      </c>
      <c r="D63" s="2" t="s">
        <v>189</v>
      </c>
      <c r="E63" s="15" t="n">
        <v>9</v>
      </c>
      <c r="F63" s="15" t="n">
        <v>9</v>
      </c>
      <c r="G63" s="15" t="n">
        <v>7</v>
      </c>
      <c r="H63" s="15" t="n">
        <v>3</v>
      </c>
      <c r="I63" s="15" t="n">
        <v>9</v>
      </c>
      <c r="J63" s="15" t="n">
        <v>8</v>
      </c>
      <c r="K63" s="15" t="n">
        <v>8</v>
      </c>
      <c r="L63" s="4" t="n">
        <f aca="false">ROUND(E63*Rubric!$B$4+F63*Rubric!$B$5+G63*Rubric!$B$6+H63*Rubric!$B$7+I63*Rubric!$B$8+J63*Rubric!$B$9+K63*Rubric!$B$10-IF(OR(G63&lt;Rubric!$B$12,J63&lt;Rubric!$B$12),Rubric!$B$13,0),2)</f>
        <v>7.75</v>
      </c>
      <c r="M63" s="4" t="n">
        <f aca="false">SUMIFS('Revision Log'!$M:$M,'Revision Log'!$N:$N,O63,'Revision Log'!$C:$C,0)</f>
        <v>7.75</v>
      </c>
      <c r="N63" s="16" t="n">
        <f aca="false">L63-M63</f>
        <v>0</v>
      </c>
      <c r="O63" s="14" t="n">
        <v>121</v>
      </c>
    </row>
    <row r="64" customFormat="false" ht="23.85" hidden="false" customHeight="false" outlineLevel="0" collapsed="false">
      <c r="A64" s="2" t="s">
        <v>65</v>
      </c>
      <c r="B64" s="2" t="s">
        <v>66</v>
      </c>
      <c r="C64" s="14" t="n">
        <v>3</v>
      </c>
      <c r="D64" s="2" t="s">
        <v>190</v>
      </c>
      <c r="E64" s="15" t="n">
        <v>8</v>
      </c>
      <c r="F64" s="15" t="n">
        <v>8</v>
      </c>
      <c r="G64" s="15" t="n">
        <v>8</v>
      </c>
      <c r="H64" s="15" t="n">
        <v>3</v>
      </c>
      <c r="I64" s="15" t="n">
        <v>7</v>
      </c>
      <c r="J64" s="15" t="n">
        <v>8</v>
      </c>
      <c r="K64" s="15" t="n">
        <v>9</v>
      </c>
      <c r="L64" s="4" t="n">
        <f aca="false">ROUND(E64*Rubric!$B$4+F64*Rubric!$B$5+G64*Rubric!$B$6+H64*Rubric!$B$7+I64*Rubric!$B$8+J64*Rubric!$B$9+K64*Rubric!$B$10-IF(OR(G64&lt;Rubric!$B$12,J64&lt;Rubric!$B$12),Rubric!$B$13,0),2)</f>
        <v>7.45</v>
      </c>
      <c r="M64" s="4" t="n">
        <f aca="false">SUMIFS('Revision Log'!$M:$M,'Revision Log'!$N:$N,O64,'Revision Log'!$C:$C,0)</f>
        <v>6.7</v>
      </c>
      <c r="N64" s="16" t="n">
        <f aca="false">L64-M64</f>
        <v>0.75</v>
      </c>
      <c r="O64" s="14" t="n">
        <v>122</v>
      </c>
    </row>
    <row r="65" customFormat="false" ht="23.85" hidden="false" customHeight="false" outlineLevel="0" collapsed="false">
      <c r="A65" s="2" t="s">
        <v>65</v>
      </c>
      <c r="B65" s="2" t="s">
        <v>66</v>
      </c>
      <c r="C65" s="14" t="n">
        <v>4</v>
      </c>
      <c r="D65" s="2" t="s">
        <v>191</v>
      </c>
      <c r="E65" s="15" t="n">
        <v>8</v>
      </c>
      <c r="F65" s="15" t="n">
        <v>8</v>
      </c>
      <c r="G65" s="15" t="n">
        <v>8</v>
      </c>
      <c r="H65" s="15" t="n">
        <v>3</v>
      </c>
      <c r="I65" s="15" t="n">
        <v>8</v>
      </c>
      <c r="J65" s="15" t="n">
        <v>8</v>
      </c>
      <c r="K65" s="15" t="n">
        <v>8</v>
      </c>
      <c r="L65" s="4" t="n">
        <f aca="false">ROUND(E65*Rubric!$B$4+F65*Rubric!$B$5+G65*Rubric!$B$6+H65*Rubric!$B$7+I65*Rubric!$B$8+J65*Rubric!$B$9+K65*Rubric!$B$10-IF(OR(G65&lt;Rubric!$B$12,J65&lt;Rubric!$B$12),Rubric!$B$13,0),2)</f>
        <v>7.5</v>
      </c>
      <c r="M65" s="4" t="n">
        <f aca="false">SUMIFS('Revision Log'!$M:$M,'Revision Log'!$N:$N,O65,'Revision Log'!$C:$C,0)</f>
        <v>7.05</v>
      </c>
      <c r="N65" s="16" t="n">
        <f aca="false">L65-M65</f>
        <v>0.45</v>
      </c>
      <c r="O65" s="14" t="n">
        <v>123</v>
      </c>
    </row>
    <row r="66" customFormat="false" ht="23.85" hidden="false" customHeight="false" outlineLevel="0" collapsed="false">
      <c r="A66" s="2" t="s">
        <v>65</v>
      </c>
      <c r="B66" s="2" t="s">
        <v>66</v>
      </c>
      <c r="C66" s="14" t="n">
        <v>5</v>
      </c>
      <c r="D66" s="2" t="s">
        <v>192</v>
      </c>
      <c r="E66" s="15" t="n">
        <v>8</v>
      </c>
      <c r="F66" s="15" t="n">
        <v>8</v>
      </c>
      <c r="G66" s="15" t="n">
        <v>8</v>
      </c>
      <c r="H66" s="15" t="n">
        <v>9</v>
      </c>
      <c r="I66" s="15" t="n">
        <v>7</v>
      </c>
      <c r="J66" s="15" t="n">
        <v>8</v>
      </c>
      <c r="K66" s="15" t="n">
        <v>8</v>
      </c>
      <c r="L66" s="4" t="n">
        <f aca="false">ROUND(E66*Rubric!$B$4+F66*Rubric!$B$5+G66*Rubric!$B$6+H66*Rubric!$B$7+I66*Rubric!$B$8+J66*Rubric!$B$9+K66*Rubric!$B$10-IF(OR(G66&lt;Rubric!$B$12,J66&lt;Rubric!$B$12),Rubric!$B$13,0),2)</f>
        <v>7.95</v>
      </c>
      <c r="M66" s="4" t="n">
        <f aca="false">SUMIFS('Revision Log'!$M:$M,'Revision Log'!$N:$N,O66,'Revision Log'!$C:$C,0)</f>
        <v>7.2</v>
      </c>
      <c r="N66" s="16" t="n">
        <f aca="false">L66-M66</f>
        <v>0.75</v>
      </c>
      <c r="O66" s="14" t="n">
        <v>124</v>
      </c>
    </row>
    <row r="67" customFormat="false" ht="23.85" hidden="false" customHeight="false" outlineLevel="0" collapsed="false">
      <c r="A67" s="2" t="s">
        <v>70</v>
      </c>
      <c r="B67" s="2" t="s">
        <v>71</v>
      </c>
      <c r="C67" s="14" t="n">
        <v>1</v>
      </c>
      <c r="D67" s="2" t="s">
        <v>193</v>
      </c>
      <c r="E67" s="15" t="n">
        <v>8</v>
      </c>
      <c r="F67" s="15" t="n">
        <v>9</v>
      </c>
      <c r="G67" s="15" t="n">
        <v>7</v>
      </c>
      <c r="H67" s="15" t="n">
        <v>3</v>
      </c>
      <c r="I67" s="15" t="n">
        <v>9</v>
      </c>
      <c r="J67" s="15" t="n">
        <v>8</v>
      </c>
      <c r="K67" s="15" t="n">
        <v>8</v>
      </c>
      <c r="L67" s="4" t="n">
        <f aca="false">ROUND(E67*Rubric!$B$4+F67*Rubric!$B$5+G67*Rubric!$B$6+H67*Rubric!$B$7+I67*Rubric!$B$8+J67*Rubric!$B$9+K67*Rubric!$B$10-IF(OR(G67&lt;Rubric!$B$12,J67&lt;Rubric!$B$12),Rubric!$B$13,0),2)</f>
        <v>7.65</v>
      </c>
      <c r="M67" s="4" t="n">
        <f aca="false">SUMIFS('Revision Log'!$M:$M,'Revision Log'!$N:$N,O67,'Revision Log'!$C:$C,0)</f>
        <v>7.2</v>
      </c>
      <c r="N67" s="16" t="n">
        <f aca="false">L67-M67</f>
        <v>0.45</v>
      </c>
      <c r="O67" s="14" t="n">
        <v>130</v>
      </c>
    </row>
    <row r="68" customFormat="false" ht="23.85" hidden="false" customHeight="false" outlineLevel="0" collapsed="false">
      <c r="A68" s="2" t="s">
        <v>70</v>
      </c>
      <c r="B68" s="2" t="s">
        <v>71</v>
      </c>
      <c r="C68" s="14" t="n">
        <v>2</v>
      </c>
      <c r="D68" s="2" t="s">
        <v>194</v>
      </c>
      <c r="E68" s="15" t="n">
        <v>9</v>
      </c>
      <c r="F68" s="15" t="n">
        <v>8</v>
      </c>
      <c r="G68" s="15" t="n">
        <v>8</v>
      </c>
      <c r="H68" s="15" t="n">
        <v>3</v>
      </c>
      <c r="I68" s="15" t="n">
        <v>8</v>
      </c>
      <c r="J68" s="15" t="n">
        <v>8</v>
      </c>
      <c r="K68" s="15" t="n">
        <v>7</v>
      </c>
      <c r="L68" s="4" t="n">
        <f aca="false">ROUND(E68*Rubric!$B$4+F68*Rubric!$B$5+G68*Rubric!$B$6+H68*Rubric!$B$7+I68*Rubric!$B$8+J68*Rubric!$B$9+K68*Rubric!$B$10-IF(OR(G68&lt;Rubric!$B$12,J68&lt;Rubric!$B$12),Rubric!$B$13,0),2)</f>
        <v>7.5</v>
      </c>
      <c r="M68" s="4" t="n">
        <f aca="false">SUMIFS('Revision Log'!$M:$M,'Revision Log'!$N:$N,O68,'Revision Log'!$C:$C,0)</f>
        <v>7.1</v>
      </c>
      <c r="N68" s="16" t="n">
        <f aca="false">L68-M68</f>
        <v>0.4</v>
      </c>
      <c r="O68" s="14" t="n">
        <v>131</v>
      </c>
    </row>
    <row r="69" customFormat="false" ht="23.85" hidden="false" customHeight="false" outlineLevel="0" collapsed="false">
      <c r="A69" s="2" t="s">
        <v>70</v>
      </c>
      <c r="B69" s="2" t="s">
        <v>71</v>
      </c>
      <c r="C69" s="14" t="n">
        <v>3</v>
      </c>
      <c r="D69" s="2" t="s">
        <v>195</v>
      </c>
      <c r="E69" s="15" t="n">
        <v>9</v>
      </c>
      <c r="F69" s="15" t="n">
        <v>9</v>
      </c>
      <c r="G69" s="15" t="n">
        <v>7</v>
      </c>
      <c r="H69" s="15" t="n">
        <v>3</v>
      </c>
      <c r="I69" s="15" t="n">
        <v>9</v>
      </c>
      <c r="J69" s="15" t="n">
        <v>8</v>
      </c>
      <c r="K69" s="15" t="n">
        <v>8</v>
      </c>
      <c r="L69" s="4" t="n">
        <f aca="false">ROUND(E69*Rubric!$B$4+F69*Rubric!$B$5+G69*Rubric!$B$6+H69*Rubric!$B$7+I69*Rubric!$B$8+J69*Rubric!$B$9+K69*Rubric!$B$10-IF(OR(G69&lt;Rubric!$B$12,J69&lt;Rubric!$B$12),Rubric!$B$13,0),2)</f>
        <v>7.75</v>
      </c>
      <c r="M69" s="4" t="n">
        <f aca="false">SUMIFS('Revision Log'!$M:$M,'Revision Log'!$N:$N,O69,'Revision Log'!$C:$C,0)</f>
        <v>7.75</v>
      </c>
      <c r="N69" s="16" t="n">
        <f aca="false">L69-M69</f>
        <v>0</v>
      </c>
      <c r="O69" s="14" t="n">
        <v>132</v>
      </c>
    </row>
    <row r="70" customFormat="false" ht="23.85" hidden="false" customHeight="false" outlineLevel="0" collapsed="false">
      <c r="A70" s="2" t="s">
        <v>70</v>
      </c>
      <c r="B70" s="2" t="s">
        <v>71</v>
      </c>
      <c r="C70" s="14" t="n">
        <v>4</v>
      </c>
      <c r="D70" s="2" t="s">
        <v>196</v>
      </c>
      <c r="E70" s="15" t="n">
        <v>8</v>
      </c>
      <c r="F70" s="15" t="n">
        <v>8</v>
      </c>
      <c r="G70" s="15" t="n">
        <v>8</v>
      </c>
      <c r="H70" s="15" t="n">
        <v>3</v>
      </c>
      <c r="I70" s="15" t="n">
        <v>8</v>
      </c>
      <c r="J70" s="15" t="n">
        <v>8</v>
      </c>
      <c r="K70" s="15" t="n">
        <v>7</v>
      </c>
      <c r="L70" s="4" t="n">
        <f aca="false">ROUND(E70*Rubric!$B$4+F70*Rubric!$B$5+G70*Rubric!$B$6+H70*Rubric!$B$7+I70*Rubric!$B$8+J70*Rubric!$B$9+K70*Rubric!$B$10-IF(OR(G70&lt;Rubric!$B$12,J70&lt;Rubric!$B$12),Rubric!$B$13,0),2)</f>
        <v>7.4</v>
      </c>
      <c r="M70" s="4" t="n">
        <f aca="false">SUMIFS('Revision Log'!$M:$M,'Revision Log'!$N:$N,O70,'Revision Log'!$C:$C,0)</f>
        <v>7.3</v>
      </c>
      <c r="N70" s="16" t="n">
        <f aca="false">L70-M70</f>
        <v>0.100000000000001</v>
      </c>
      <c r="O70" s="14" t="n">
        <v>133</v>
      </c>
    </row>
    <row r="71" customFormat="false" ht="23.85" hidden="false" customHeight="false" outlineLevel="0" collapsed="false">
      <c r="A71" s="2" t="s">
        <v>70</v>
      </c>
      <c r="B71" s="2" t="s">
        <v>71</v>
      </c>
      <c r="C71" s="14" t="n">
        <v>5</v>
      </c>
      <c r="D71" s="2" t="s">
        <v>197</v>
      </c>
      <c r="E71" s="15" t="n">
        <v>8</v>
      </c>
      <c r="F71" s="15" t="n">
        <v>8</v>
      </c>
      <c r="G71" s="15" t="n">
        <v>7</v>
      </c>
      <c r="H71" s="15" t="n">
        <v>9</v>
      </c>
      <c r="I71" s="15" t="n">
        <v>8</v>
      </c>
      <c r="J71" s="15" t="n">
        <v>8</v>
      </c>
      <c r="K71" s="15" t="n">
        <v>9</v>
      </c>
      <c r="L71" s="4" t="n">
        <f aca="false">ROUND(E71*Rubric!$B$4+F71*Rubric!$B$5+G71*Rubric!$B$6+H71*Rubric!$B$7+I71*Rubric!$B$8+J71*Rubric!$B$9+K71*Rubric!$B$10-IF(OR(G71&lt;Rubric!$B$12,J71&lt;Rubric!$B$12),Rubric!$B$13,0),2)</f>
        <v>8</v>
      </c>
      <c r="M71" s="4" t="n">
        <f aca="false">SUMIFS('Revision Log'!$M:$M,'Revision Log'!$N:$N,O71,'Revision Log'!$C:$C,0)</f>
        <v>8</v>
      </c>
      <c r="N71" s="16" t="n">
        <f aca="false">L71-M71</f>
        <v>0</v>
      </c>
      <c r="O71" s="14" t="n">
        <v>134</v>
      </c>
    </row>
  </sheetData>
  <autoFilter ref="A1:O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80"/>
    <col collapsed="false" customWidth="true" hidden="false" outlineLevel="0" max="7" min="6" style="0" width="8"/>
    <col collapsed="false" customWidth="true" hidden="false" outlineLevel="0" max="10" min="8" style="0" width="9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52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75</v>
      </c>
      <c r="D1" s="1" t="s">
        <v>121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123</v>
      </c>
      <c r="L1" s="1" t="s">
        <v>204</v>
      </c>
      <c r="M1" s="1" t="s">
        <v>205</v>
      </c>
      <c r="N1" s="1" t="s">
        <v>127</v>
      </c>
      <c r="O1" s="1" t="s">
        <v>206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14" t="n">
        <v>0</v>
      </c>
      <c r="D2" s="14" t="n">
        <v>1</v>
      </c>
      <c r="E2" s="2" t="s">
        <v>207</v>
      </c>
      <c r="F2" s="15" t="n">
        <v>8</v>
      </c>
      <c r="G2" s="15" t="n">
        <v>7</v>
      </c>
      <c r="H2" s="15" t="n">
        <v>8</v>
      </c>
      <c r="I2" s="15" t="n">
        <v>4</v>
      </c>
      <c r="J2" s="15" t="n">
        <v>8</v>
      </c>
      <c r="K2" s="15" t="n">
        <v>8</v>
      </c>
      <c r="L2" s="15" t="n">
        <v>6</v>
      </c>
      <c r="M2" s="4" t="n">
        <f aca="false">ROUND(F2*Rubric!$B$4+G2*Rubric!$B$5+H2*Rubric!$B$6+I2*Rubric!$B$7+J2*Rubric!$B$8+K2*Rubric!$B$9+L2*Rubric!$B$10-IF(OR(H2&lt;Rubric!$B$12,K2&lt;Rubric!$B$12),Rubric!$B$13,0),2)</f>
        <v>7.2</v>
      </c>
      <c r="N2" s="14" t="n">
        <v>0</v>
      </c>
      <c r="O2" s="2" t="s">
        <v>208</v>
      </c>
    </row>
    <row r="3" customFormat="false" ht="23.85" hidden="false" customHeight="false" outlineLevel="0" collapsed="false">
      <c r="A3" s="2" t="s">
        <v>7</v>
      </c>
      <c r="B3" s="2" t="s">
        <v>8</v>
      </c>
      <c r="C3" s="14" t="n">
        <v>2</v>
      </c>
      <c r="D3" s="14" t="n">
        <v>1</v>
      </c>
      <c r="E3" s="2" t="s">
        <v>128</v>
      </c>
      <c r="F3" s="15" t="n">
        <v>7</v>
      </c>
      <c r="G3" s="15" t="n">
        <v>8</v>
      </c>
      <c r="H3" s="15" t="n">
        <v>8</v>
      </c>
      <c r="I3" s="15" t="n">
        <v>4</v>
      </c>
      <c r="J3" s="15" t="n">
        <v>8</v>
      </c>
      <c r="K3" s="15" t="n">
        <v>8</v>
      </c>
      <c r="L3" s="15" t="n">
        <v>8</v>
      </c>
      <c r="M3" s="4" t="n">
        <f aca="false">ROUND(F3*Rubric!$B$4+G3*Rubric!$B$5+H3*Rubric!$B$6+I3*Rubric!$B$7+J3*Rubric!$B$8+K3*Rubric!$B$9+L3*Rubric!$B$10-IF(OR(H3&lt;Rubric!$B$12,K3&lt;Rubric!$B$12),Rubric!$B$13,0),2)</f>
        <v>7.5</v>
      </c>
      <c r="N3" s="14" t="n">
        <v>0</v>
      </c>
      <c r="O3" s="2" t="s">
        <v>209</v>
      </c>
    </row>
    <row r="4" customFormat="false" ht="23.85" hidden="false" customHeight="false" outlineLevel="0" collapsed="false">
      <c r="A4" s="2" t="s">
        <v>7</v>
      </c>
      <c r="B4" s="2" t="s">
        <v>8</v>
      </c>
      <c r="C4" s="14" t="n">
        <v>0</v>
      </c>
      <c r="D4" s="14" t="n">
        <v>2</v>
      </c>
      <c r="E4" s="2" t="s">
        <v>129</v>
      </c>
      <c r="F4" s="15" t="n">
        <v>9</v>
      </c>
      <c r="G4" s="15" t="n">
        <v>9</v>
      </c>
      <c r="H4" s="15" t="n">
        <v>8</v>
      </c>
      <c r="I4" s="15" t="n">
        <v>4</v>
      </c>
      <c r="J4" s="15" t="n">
        <v>8</v>
      </c>
      <c r="K4" s="15" t="n">
        <v>9</v>
      </c>
      <c r="L4" s="15" t="n">
        <v>8</v>
      </c>
      <c r="M4" s="4" t="n">
        <f aca="false">ROUND(F4*Rubric!$B$4+G4*Rubric!$B$5+H4*Rubric!$B$6+I4*Rubric!$B$7+J4*Rubric!$B$8+K4*Rubric!$B$9+L4*Rubric!$B$10-IF(OR(H4&lt;Rubric!$B$12,K4&lt;Rubric!$B$12),Rubric!$B$13,0),2)</f>
        <v>8.05</v>
      </c>
      <c r="N4" s="14" t="n">
        <v>1</v>
      </c>
      <c r="O4" s="2" t="s">
        <v>208</v>
      </c>
    </row>
    <row r="5" customFormat="false" ht="23.85" hidden="false" customHeight="false" outlineLevel="0" collapsed="false">
      <c r="A5" s="2" t="s">
        <v>7</v>
      </c>
      <c r="B5" s="2" t="s">
        <v>8</v>
      </c>
      <c r="C5" s="14" t="n">
        <v>0</v>
      </c>
      <c r="D5" s="14" t="n">
        <v>3</v>
      </c>
      <c r="E5" s="2" t="s">
        <v>210</v>
      </c>
      <c r="F5" s="15" t="n">
        <v>8</v>
      </c>
      <c r="G5" s="15" t="n">
        <v>8</v>
      </c>
      <c r="H5" s="15" t="n">
        <v>8</v>
      </c>
      <c r="I5" s="15" t="n">
        <v>4</v>
      </c>
      <c r="J5" s="15" t="n">
        <v>7</v>
      </c>
      <c r="K5" s="15" t="n">
        <v>8</v>
      </c>
      <c r="L5" s="15" t="n">
        <v>6</v>
      </c>
      <c r="M5" s="4" t="n">
        <f aca="false">ROUND(F5*Rubric!$B$4+G5*Rubric!$B$5+H5*Rubric!$B$6+I5*Rubric!$B$7+J5*Rubric!$B$8+K5*Rubric!$B$9+L5*Rubric!$B$10-IF(OR(H5&lt;Rubric!$B$12,K5&lt;Rubric!$B$12),Rubric!$B$13,0),2)</f>
        <v>7.25</v>
      </c>
      <c r="N5" s="14" t="n">
        <v>2</v>
      </c>
      <c r="O5" s="2" t="s">
        <v>208</v>
      </c>
    </row>
    <row r="6" customFormat="false" ht="23.85" hidden="false" customHeight="false" outlineLevel="0" collapsed="false">
      <c r="A6" s="2" t="s">
        <v>7</v>
      </c>
      <c r="B6" s="2" t="s">
        <v>8</v>
      </c>
      <c r="C6" s="14" t="n">
        <v>2</v>
      </c>
      <c r="D6" s="14" t="n">
        <v>3</v>
      </c>
      <c r="E6" s="2" t="s">
        <v>211</v>
      </c>
      <c r="F6" s="15" t="n">
        <v>8</v>
      </c>
      <c r="G6" s="15" t="n">
        <v>8</v>
      </c>
      <c r="H6" s="15" t="n">
        <v>8</v>
      </c>
      <c r="I6" s="15" t="n">
        <v>4</v>
      </c>
      <c r="J6" s="15" t="n">
        <v>7</v>
      </c>
      <c r="K6" s="15" t="n">
        <v>8</v>
      </c>
      <c r="L6" s="15" t="n">
        <v>7</v>
      </c>
      <c r="M6" s="4" t="n">
        <f aca="false">ROUND(F6*Rubric!$B$4+G6*Rubric!$B$5+H6*Rubric!$B$6+I6*Rubric!$B$7+J6*Rubric!$B$8+K6*Rubric!$B$9+L6*Rubric!$B$10-IF(OR(H6&lt;Rubric!$B$12,K6&lt;Rubric!$B$12),Rubric!$B$13,0),2)</f>
        <v>7.35</v>
      </c>
      <c r="N6" s="14" t="n">
        <v>2</v>
      </c>
      <c r="O6" s="2" t="s">
        <v>212</v>
      </c>
    </row>
    <row r="7" customFormat="false" ht="23.85" hidden="false" customHeight="false" outlineLevel="0" collapsed="false">
      <c r="A7" s="2" t="s">
        <v>7</v>
      </c>
      <c r="B7" s="2" t="s">
        <v>8</v>
      </c>
      <c r="C7" s="14" t="n">
        <v>3</v>
      </c>
      <c r="D7" s="14" t="n">
        <v>3</v>
      </c>
      <c r="E7" s="2" t="s">
        <v>130</v>
      </c>
      <c r="F7" s="15" t="n">
        <v>9</v>
      </c>
      <c r="G7" s="15" t="n">
        <v>8</v>
      </c>
      <c r="H7" s="15" t="n">
        <v>8</v>
      </c>
      <c r="I7" s="15" t="n">
        <v>4</v>
      </c>
      <c r="J7" s="15" t="n">
        <v>7</v>
      </c>
      <c r="K7" s="15" t="n">
        <v>8</v>
      </c>
      <c r="L7" s="15" t="n">
        <v>7</v>
      </c>
      <c r="M7" s="4" t="n">
        <f aca="false">ROUND(F7*Rubric!$B$4+G7*Rubric!$B$5+H7*Rubric!$B$6+I7*Rubric!$B$7+J7*Rubric!$B$8+K7*Rubric!$B$9+L7*Rubric!$B$10-IF(OR(H7&lt;Rubric!$B$12,K7&lt;Rubric!$B$12),Rubric!$B$13,0),2)</f>
        <v>7.45</v>
      </c>
      <c r="N7" s="14" t="n">
        <v>2</v>
      </c>
      <c r="O7" s="2" t="s">
        <v>213</v>
      </c>
    </row>
    <row r="8" customFormat="false" ht="23.85" hidden="false" customHeight="false" outlineLevel="0" collapsed="false">
      <c r="A8" s="2" t="s">
        <v>7</v>
      </c>
      <c r="B8" s="2" t="s">
        <v>8</v>
      </c>
      <c r="C8" s="14" t="n">
        <v>0</v>
      </c>
      <c r="D8" s="14" t="n">
        <v>4</v>
      </c>
      <c r="E8" s="2" t="s">
        <v>214</v>
      </c>
      <c r="F8" s="15" t="n">
        <v>8</v>
      </c>
      <c r="G8" s="15" t="n">
        <v>7</v>
      </c>
      <c r="H8" s="15" t="n">
        <v>8</v>
      </c>
      <c r="I8" s="15" t="n">
        <v>3</v>
      </c>
      <c r="J8" s="15" t="n">
        <v>7</v>
      </c>
      <c r="K8" s="15" t="n">
        <v>8</v>
      </c>
      <c r="L8" s="15" t="n">
        <v>6</v>
      </c>
      <c r="M8" s="4" t="n">
        <f aca="false">ROUND(F8*Rubric!$B$4+G8*Rubric!$B$5+H8*Rubric!$B$6+I8*Rubric!$B$7+J8*Rubric!$B$8+K8*Rubric!$B$9+L8*Rubric!$B$10-IF(OR(H8&lt;Rubric!$B$12,K8&lt;Rubric!$B$12),Rubric!$B$13,0),2)</f>
        <v>6.95</v>
      </c>
      <c r="N8" s="14" t="n">
        <v>3</v>
      </c>
      <c r="O8" s="2" t="s">
        <v>208</v>
      </c>
    </row>
    <row r="9" customFormat="false" ht="23.85" hidden="false" customHeight="false" outlineLevel="0" collapsed="false">
      <c r="A9" s="2" t="s">
        <v>7</v>
      </c>
      <c r="B9" s="2" t="s">
        <v>8</v>
      </c>
      <c r="C9" s="14" t="n">
        <v>2</v>
      </c>
      <c r="D9" s="14" t="n">
        <v>4</v>
      </c>
      <c r="E9" s="2" t="s">
        <v>215</v>
      </c>
      <c r="F9" s="15" t="n">
        <v>8</v>
      </c>
      <c r="G9" s="15" t="n">
        <v>8</v>
      </c>
      <c r="H9" s="15" t="n">
        <v>8</v>
      </c>
      <c r="I9" s="15" t="n">
        <v>3</v>
      </c>
      <c r="J9" s="15" t="n">
        <v>7</v>
      </c>
      <c r="K9" s="15" t="n">
        <v>8</v>
      </c>
      <c r="L9" s="15" t="n">
        <v>7</v>
      </c>
      <c r="M9" s="4" t="n">
        <f aca="false">ROUND(F9*Rubric!$B$4+G9*Rubric!$B$5+H9*Rubric!$B$6+I9*Rubric!$B$7+J9*Rubric!$B$8+K9*Rubric!$B$9+L9*Rubric!$B$10-IF(OR(H9&lt;Rubric!$B$12,K9&lt;Rubric!$B$12),Rubric!$B$13,0),2)</f>
        <v>7.25</v>
      </c>
      <c r="N9" s="14" t="n">
        <v>3</v>
      </c>
      <c r="O9" s="2" t="s">
        <v>216</v>
      </c>
    </row>
    <row r="10" customFormat="false" ht="23.85" hidden="false" customHeight="false" outlineLevel="0" collapsed="false">
      <c r="A10" s="2" t="s">
        <v>7</v>
      </c>
      <c r="B10" s="2" t="s">
        <v>8</v>
      </c>
      <c r="C10" s="14" t="n">
        <v>3</v>
      </c>
      <c r="D10" s="14" t="n">
        <v>4</v>
      </c>
      <c r="E10" s="2" t="s">
        <v>131</v>
      </c>
      <c r="F10" s="15" t="n">
        <v>9</v>
      </c>
      <c r="G10" s="15" t="n">
        <v>8</v>
      </c>
      <c r="H10" s="15" t="n">
        <v>8</v>
      </c>
      <c r="I10" s="15" t="n">
        <v>3</v>
      </c>
      <c r="J10" s="15" t="n">
        <v>7</v>
      </c>
      <c r="K10" s="15" t="n">
        <v>8</v>
      </c>
      <c r="L10" s="15" t="n">
        <v>7</v>
      </c>
      <c r="M10" s="4" t="n">
        <f aca="false">ROUND(F10*Rubric!$B$4+G10*Rubric!$B$5+H10*Rubric!$B$6+I10*Rubric!$B$7+J10*Rubric!$B$8+K10*Rubric!$B$9+L10*Rubric!$B$10-IF(OR(H10&lt;Rubric!$B$12,K10&lt;Rubric!$B$12),Rubric!$B$13,0),2)</f>
        <v>7.35</v>
      </c>
      <c r="N10" s="14" t="n">
        <v>3</v>
      </c>
      <c r="O10" s="2" t="s">
        <v>213</v>
      </c>
    </row>
    <row r="11" customFormat="false" ht="23.85" hidden="false" customHeight="false" outlineLevel="0" collapsed="false">
      <c r="A11" s="2" t="s">
        <v>7</v>
      </c>
      <c r="B11" s="2" t="s">
        <v>8</v>
      </c>
      <c r="C11" s="14" t="n">
        <v>0</v>
      </c>
      <c r="D11" s="14" t="n">
        <v>5</v>
      </c>
      <c r="E11" s="2" t="s">
        <v>217</v>
      </c>
      <c r="F11" s="15" t="n">
        <v>8</v>
      </c>
      <c r="G11" s="15" t="n">
        <v>7</v>
      </c>
      <c r="H11" s="15" t="n">
        <v>8</v>
      </c>
      <c r="I11" s="15" t="n">
        <v>8</v>
      </c>
      <c r="J11" s="15" t="n">
        <v>7</v>
      </c>
      <c r="K11" s="15" t="n">
        <v>7</v>
      </c>
      <c r="L11" s="15" t="n">
        <v>7</v>
      </c>
      <c r="M11" s="4" t="n">
        <f aca="false">ROUND(F11*Rubric!$B$4+G11*Rubric!$B$5+H11*Rubric!$B$6+I11*Rubric!$B$7+J11*Rubric!$B$8+K11*Rubric!$B$9+L11*Rubric!$B$10-IF(OR(H11&lt;Rubric!$B$12,K11&lt;Rubric!$B$12),Rubric!$B$13,0),2)</f>
        <v>7.4</v>
      </c>
      <c r="N11" s="14" t="n">
        <v>4</v>
      </c>
      <c r="O11" s="2" t="s">
        <v>208</v>
      </c>
    </row>
    <row r="12" customFormat="false" ht="23.85" hidden="false" customHeight="false" outlineLevel="0" collapsed="false">
      <c r="A12" s="2" t="s">
        <v>7</v>
      </c>
      <c r="B12" s="2" t="s">
        <v>8</v>
      </c>
      <c r="C12" s="14" t="n">
        <v>3</v>
      </c>
      <c r="D12" s="14" t="n">
        <v>5</v>
      </c>
      <c r="E12" s="2" t="s">
        <v>132</v>
      </c>
      <c r="F12" s="15" t="n">
        <v>9</v>
      </c>
      <c r="G12" s="15" t="n">
        <v>7</v>
      </c>
      <c r="H12" s="15" t="n">
        <v>8</v>
      </c>
      <c r="I12" s="15" t="n">
        <v>8</v>
      </c>
      <c r="J12" s="15" t="n">
        <v>7</v>
      </c>
      <c r="K12" s="15" t="n">
        <v>8</v>
      </c>
      <c r="L12" s="15" t="n">
        <v>7</v>
      </c>
      <c r="M12" s="4" t="n">
        <f aca="false">ROUND(F12*Rubric!$B$4+G12*Rubric!$B$5+H12*Rubric!$B$6+I12*Rubric!$B$7+J12*Rubric!$B$8+K12*Rubric!$B$9+L12*Rubric!$B$10-IF(OR(H12&lt;Rubric!$B$12,K12&lt;Rubric!$B$12),Rubric!$B$13,0),2)</f>
        <v>7.65</v>
      </c>
      <c r="N12" s="14" t="n">
        <v>4</v>
      </c>
      <c r="O12" s="2" t="s">
        <v>218</v>
      </c>
    </row>
    <row r="13" customFormat="false" ht="23.85" hidden="false" customHeight="false" outlineLevel="0" collapsed="false">
      <c r="A13" s="2" t="s">
        <v>12</v>
      </c>
      <c r="B13" s="2" t="s">
        <v>13</v>
      </c>
      <c r="C13" s="14" t="n">
        <v>0</v>
      </c>
      <c r="D13" s="14" t="n">
        <v>1</v>
      </c>
      <c r="E13" s="2" t="s">
        <v>219</v>
      </c>
      <c r="F13" s="15" t="n">
        <v>8</v>
      </c>
      <c r="G13" s="15" t="n">
        <v>8</v>
      </c>
      <c r="H13" s="15" t="n">
        <v>6</v>
      </c>
      <c r="I13" s="15" t="n">
        <v>3</v>
      </c>
      <c r="J13" s="15" t="n">
        <v>9</v>
      </c>
      <c r="K13" s="15" t="n">
        <v>6</v>
      </c>
      <c r="L13" s="15" t="n">
        <v>6</v>
      </c>
      <c r="M13" s="4" t="n">
        <f aca="false">ROUND(F13*Rubric!$B$4+G13*Rubric!$B$5+H13*Rubric!$B$6+I13*Rubric!$B$7+J13*Rubric!$B$8+K13*Rubric!$B$9+L13*Rubric!$B$10-IF(OR(H13&lt;Rubric!$B$12,K13&lt;Rubric!$B$12),Rubric!$B$13,0),2)</f>
        <v>5.75</v>
      </c>
      <c r="N13" s="14" t="n">
        <v>10</v>
      </c>
      <c r="O13" s="2" t="s">
        <v>208</v>
      </c>
    </row>
    <row r="14" customFormat="false" ht="23.85" hidden="false" customHeight="false" outlineLevel="0" collapsed="false">
      <c r="A14" s="2" t="s">
        <v>12</v>
      </c>
      <c r="B14" s="2" t="s">
        <v>13</v>
      </c>
      <c r="C14" s="14" t="n">
        <v>1</v>
      </c>
      <c r="D14" s="14" t="n">
        <v>1</v>
      </c>
      <c r="E14" s="2" t="s">
        <v>220</v>
      </c>
      <c r="F14" s="15" t="n">
        <v>8</v>
      </c>
      <c r="G14" s="15" t="n">
        <v>7</v>
      </c>
      <c r="H14" s="15" t="n">
        <v>7</v>
      </c>
      <c r="I14" s="15" t="n">
        <v>3</v>
      </c>
      <c r="J14" s="15" t="n">
        <v>9</v>
      </c>
      <c r="K14" s="15" t="n">
        <v>7</v>
      </c>
      <c r="L14" s="15" t="n">
        <v>7</v>
      </c>
      <c r="M14" s="4" t="n">
        <f aca="false">ROUND(F14*Rubric!$B$4+G14*Rubric!$B$5+H14*Rubric!$B$6+I14*Rubric!$B$7+J14*Rubric!$B$8+K14*Rubric!$B$9+L14*Rubric!$B$10-IF(OR(H14&lt;Rubric!$B$12,K14&lt;Rubric!$B$12),Rubric!$B$13,0),2)</f>
        <v>7</v>
      </c>
      <c r="N14" s="14" t="n">
        <v>10</v>
      </c>
      <c r="O14" s="2" t="s">
        <v>221</v>
      </c>
    </row>
    <row r="15" customFormat="false" ht="23.85" hidden="false" customHeight="false" outlineLevel="0" collapsed="false">
      <c r="A15" s="2" t="s">
        <v>12</v>
      </c>
      <c r="B15" s="2" t="s">
        <v>13</v>
      </c>
      <c r="C15" s="14" t="n">
        <v>2</v>
      </c>
      <c r="D15" s="14" t="n">
        <v>1</v>
      </c>
      <c r="E15" s="2" t="s">
        <v>133</v>
      </c>
      <c r="F15" s="15" t="n">
        <v>9</v>
      </c>
      <c r="G15" s="15" t="n">
        <v>7</v>
      </c>
      <c r="H15" s="15" t="n">
        <v>7</v>
      </c>
      <c r="I15" s="15" t="n">
        <v>3</v>
      </c>
      <c r="J15" s="15" t="n">
        <v>9</v>
      </c>
      <c r="K15" s="15" t="n">
        <v>8</v>
      </c>
      <c r="L15" s="15" t="n">
        <v>8</v>
      </c>
      <c r="M15" s="4" t="n">
        <f aca="false">ROUND(F15*Rubric!$B$4+G15*Rubric!$B$5+H15*Rubric!$B$6+I15*Rubric!$B$7+J15*Rubric!$B$8+K15*Rubric!$B$9+L15*Rubric!$B$10-IF(OR(H15&lt;Rubric!$B$12,K15&lt;Rubric!$B$12),Rubric!$B$13,0),2)</f>
        <v>7.35</v>
      </c>
      <c r="N15" s="14" t="n">
        <v>10</v>
      </c>
      <c r="O15" s="2" t="s">
        <v>222</v>
      </c>
    </row>
    <row r="16" customFormat="false" ht="23.85" hidden="false" customHeight="false" outlineLevel="0" collapsed="false">
      <c r="A16" s="2" t="s">
        <v>12</v>
      </c>
      <c r="B16" s="2" t="s">
        <v>13</v>
      </c>
      <c r="C16" s="14" t="n">
        <v>0</v>
      </c>
      <c r="D16" s="14" t="n">
        <v>2</v>
      </c>
      <c r="E16" s="2" t="s">
        <v>134</v>
      </c>
      <c r="F16" s="15" t="n">
        <v>9</v>
      </c>
      <c r="G16" s="15" t="n">
        <v>9</v>
      </c>
      <c r="H16" s="15" t="n">
        <v>8</v>
      </c>
      <c r="I16" s="15" t="n">
        <v>3</v>
      </c>
      <c r="J16" s="15" t="n">
        <v>9</v>
      </c>
      <c r="K16" s="15" t="n">
        <v>9</v>
      </c>
      <c r="L16" s="15" t="n">
        <v>9</v>
      </c>
      <c r="M16" s="4" t="n">
        <f aca="false">ROUND(F16*Rubric!$B$4+G16*Rubric!$B$5+H16*Rubric!$B$6+I16*Rubric!$B$7+J16*Rubric!$B$8+K16*Rubric!$B$9+L16*Rubric!$B$10-IF(OR(H16&lt;Rubric!$B$12,K16&lt;Rubric!$B$12),Rubric!$B$13,0),2)</f>
        <v>8.2</v>
      </c>
      <c r="N16" s="14" t="n">
        <v>11</v>
      </c>
      <c r="O16" s="2" t="s">
        <v>208</v>
      </c>
    </row>
    <row r="17" customFormat="false" ht="23.85" hidden="false" customHeight="false" outlineLevel="0" collapsed="false">
      <c r="A17" s="2" t="s">
        <v>12</v>
      </c>
      <c r="B17" s="2" t="s">
        <v>13</v>
      </c>
      <c r="C17" s="14" t="n">
        <v>0</v>
      </c>
      <c r="D17" s="14" t="n">
        <v>3</v>
      </c>
      <c r="E17" s="2" t="s">
        <v>135</v>
      </c>
      <c r="F17" s="15" t="n">
        <v>9</v>
      </c>
      <c r="G17" s="15" t="n">
        <v>9</v>
      </c>
      <c r="H17" s="15" t="n">
        <v>7</v>
      </c>
      <c r="I17" s="15" t="n">
        <v>3</v>
      </c>
      <c r="J17" s="15" t="n">
        <v>8</v>
      </c>
      <c r="K17" s="15" t="n">
        <v>9</v>
      </c>
      <c r="L17" s="15" t="n">
        <v>9</v>
      </c>
      <c r="M17" s="4" t="n">
        <f aca="false">ROUND(F17*Rubric!$B$4+G17*Rubric!$B$5+H17*Rubric!$B$6+I17*Rubric!$B$7+J17*Rubric!$B$8+K17*Rubric!$B$9+L17*Rubric!$B$10-IF(OR(H17&lt;Rubric!$B$12,K17&lt;Rubric!$B$12),Rubric!$B$13,0),2)</f>
        <v>7.85</v>
      </c>
      <c r="N17" s="14" t="n">
        <v>12</v>
      </c>
      <c r="O17" s="2" t="s">
        <v>208</v>
      </c>
    </row>
    <row r="18" customFormat="false" ht="23.85" hidden="false" customHeight="false" outlineLevel="0" collapsed="false">
      <c r="A18" s="2" t="s">
        <v>12</v>
      </c>
      <c r="B18" s="2" t="s">
        <v>13</v>
      </c>
      <c r="C18" s="14" t="n">
        <v>0</v>
      </c>
      <c r="D18" s="14" t="n">
        <v>4</v>
      </c>
      <c r="E18" s="2" t="s">
        <v>223</v>
      </c>
      <c r="F18" s="15" t="n">
        <v>8</v>
      </c>
      <c r="G18" s="15" t="n">
        <v>8</v>
      </c>
      <c r="H18" s="15" t="n">
        <v>8</v>
      </c>
      <c r="I18" s="15" t="n">
        <v>3</v>
      </c>
      <c r="J18" s="15" t="n">
        <v>8</v>
      </c>
      <c r="K18" s="15" t="n">
        <v>8</v>
      </c>
      <c r="L18" s="15" t="n">
        <v>8</v>
      </c>
      <c r="M18" s="4" t="n">
        <f aca="false">ROUND(F18*Rubric!$B$4+G18*Rubric!$B$5+H18*Rubric!$B$6+I18*Rubric!$B$7+J18*Rubric!$B$8+K18*Rubric!$B$9+L18*Rubric!$B$10-IF(OR(H18&lt;Rubric!$B$12,K18&lt;Rubric!$B$12),Rubric!$B$13,0),2)</f>
        <v>7.5</v>
      </c>
      <c r="N18" s="14" t="n">
        <v>13</v>
      </c>
      <c r="O18" s="2" t="s">
        <v>208</v>
      </c>
    </row>
    <row r="19" customFormat="false" ht="23.85" hidden="false" customHeight="false" outlineLevel="0" collapsed="false">
      <c r="A19" s="2" t="s">
        <v>12</v>
      </c>
      <c r="B19" s="2" t="s">
        <v>13</v>
      </c>
      <c r="C19" s="14" t="n">
        <v>3</v>
      </c>
      <c r="D19" s="14" t="n">
        <v>4</v>
      </c>
      <c r="E19" s="2" t="s">
        <v>136</v>
      </c>
      <c r="F19" s="15" t="n">
        <v>9</v>
      </c>
      <c r="G19" s="15" t="n">
        <v>8</v>
      </c>
      <c r="H19" s="15" t="n">
        <v>8</v>
      </c>
      <c r="I19" s="15" t="n">
        <v>3</v>
      </c>
      <c r="J19" s="15" t="n">
        <v>8</v>
      </c>
      <c r="K19" s="15" t="n">
        <v>8</v>
      </c>
      <c r="L19" s="15" t="n">
        <v>8</v>
      </c>
      <c r="M19" s="4" t="n">
        <f aca="false">ROUND(F19*Rubric!$B$4+G19*Rubric!$B$5+H19*Rubric!$B$6+I19*Rubric!$B$7+J19*Rubric!$B$8+K19*Rubric!$B$9+L19*Rubric!$B$10-IF(OR(H19&lt;Rubric!$B$12,K19&lt;Rubric!$B$12),Rubric!$B$13,0),2)</f>
        <v>7.6</v>
      </c>
      <c r="N19" s="14" t="n">
        <v>13</v>
      </c>
      <c r="O19" s="2" t="s">
        <v>213</v>
      </c>
    </row>
    <row r="20" customFormat="false" ht="23.85" hidden="false" customHeight="false" outlineLevel="0" collapsed="false">
      <c r="A20" s="2" t="s">
        <v>12</v>
      </c>
      <c r="B20" s="2" t="s">
        <v>13</v>
      </c>
      <c r="C20" s="14" t="n">
        <v>0</v>
      </c>
      <c r="D20" s="14" t="n">
        <v>5</v>
      </c>
      <c r="E20" s="2" t="s">
        <v>137</v>
      </c>
      <c r="F20" s="15" t="n">
        <v>8</v>
      </c>
      <c r="G20" s="15" t="n">
        <v>8</v>
      </c>
      <c r="H20" s="15" t="n">
        <v>7</v>
      </c>
      <c r="I20" s="15" t="n">
        <v>9</v>
      </c>
      <c r="J20" s="15" t="n">
        <v>7</v>
      </c>
      <c r="K20" s="15" t="n">
        <v>8</v>
      </c>
      <c r="L20" s="15" t="n">
        <v>9</v>
      </c>
      <c r="M20" s="4" t="n">
        <f aca="false">ROUND(F20*Rubric!$B$4+G20*Rubric!$B$5+H20*Rubric!$B$6+I20*Rubric!$B$7+J20*Rubric!$B$8+K20*Rubric!$B$9+L20*Rubric!$B$10-IF(OR(H20&lt;Rubric!$B$12,K20&lt;Rubric!$B$12),Rubric!$B$13,0),2)</f>
        <v>7.85</v>
      </c>
      <c r="N20" s="14" t="n">
        <v>14</v>
      </c>
      <c r="O20" s="2" t="s">
        <v>208</v>
      </c>
    </row>
    <row r="21" customFormat="false" ht="23.85" hidden="false" customHeight="false" outlineLevel="0" collapsed="false">
      <c r="A21" s="2" t="s">
        <v>17</v>
      </c>
      <c r="B21" s="2" t="s">
        <v>18</v>
      </c>
      <c r="C21" s="14" t="n">
        <v>0</v>
      </c>
      <c r="D21" s="14" t="n">
        <v>1</v>
      </c>
      <c r="E21" s="2" t="s">
        <v>224</v>
      </c>
      <c r="F21" s="15" t="n">
        <v>8</v>
      </c>
      <c r="G21" s="15" t="n">
        <v>6</v>
      </c>
      <c r="H21" s="15" t="n">
        <v>9</v>
      </c>
      <c r="I21" s="15" t="n">
        <v>2</v>
      </c>
      <c r="J21" s="15" t="n">
        <v>9</v>
      </c>
      <c r="K21" s="15" t="n">
        <v>8</v>
      </c>
      <c r="L21" s="15" t="n">
        <v>5</v>
      </c>
      <c r="M21" s="4" t="n">
        <f aca="false">ROUND(F21*Rubric!$B$4+G21*Rubric!$B$5+H21*Rubric!$B$6+I21*Rubric!$B$7+J21*Rubric!$B$8+K21*Rubric!$B$9+L21*Rubric!$B$10-IF(OR(H21&lt;Rubric!$B$12,K21&lt;Rubric!$B$12),Rubric!$B$13,0),2)</f>
        <v>7.05</v>
      </c>
      <c r="N21" s="14" t="n">
        <v>20</v>
      </c>
      <c r="O21" s="2" t="s">
        <v>208</v>
      </c>
    </row>
    <row r="22" customFormat="false" ht="23.85" hidden="false" customHeight="false" outlineLevel="0" collapsed="false">
      <c r="A22" s="2" t="s">
        <v>17</v>
      </c>
      <c r="B22" s="2" t="s">
        <v>18</v>
      </c>
      <c r="C22" s="14" t="n">
        <v>2</v>
      </c>
      <c r="D22" s="14" t="n">
        <v>1</v>
      </c>
      <c r="E22" s="2" t="s">
        <v>138</v>
      </c>
      <c r="F22" s="15" t="n">
        <v>8</v>
      </c>
      <c r="G22" s="15" t="n">
        <v>7</v>
      </c>
      <c r="H22" s="15" t="n">
        <v>9</v>
      </c>
      <c r="I22" s="15" t="n">
        <v>2</v>
      </c>
      <c r="J22" s="15" t="n">
        <v>9</v>
      </c>
      <c r="K22" s="15" t="n">
        <v>8</v>
      </c>
      <c r="L22" s="15" t="n">
        <v>6</v>
      </c>
      <c r="M22" s="4" t="n">
        <f aca="false">ROUND(F22*Rubric!$B$4+G22*Rubric!$B$5+H22*Rubric!$B$6+I22*Rubric!$B$7+J22*Rubric!$B$8+K22*Rubric!$B$9+L22*Rubric!$B$10-IF(OR(H22&lt;Rubric!$B$12,K22&lt;Rubric!$B$12),Rubric!$B$13,0),2)</f>
        <v>7.35</v>
      </c>
      <c r="N22" s="14" t="n">
        <v>20</v>
      </c>
      <c r="O22" s="2" t="s">
        <v>225</v>
      </c>
    </row>
    <row r="23" customFormat="false" ht="23.85" hidden="false" customHeight="false" outlineLevel="0" collapsed="false">
      <c r="A23" s="2" t="s">
        <v>17</v>
      </c>
      <c r="B23" s="2" t="s">
        <v>18</v>
      </c>
      <c r="C23" s="14" t="n">
        <v>0</v>
      </c>
      <c r="D23" s="14" t="n">
        <v>2</v>
      </c>
      <c r="E23" s="2" t="s">
        <v>226</v>
      </c>
      <c r="F23" s="15" t="n">
        <v>8</v>
      </c>
      <c r="G23" s="15" t="n">
        <v>7</v>
      </c>
      <c r="H23" s="15" t="n">
        <v>8</v>
      </c>
      <c r="I23" s="15" t="n">
        <v>3</v>
      </c>
      <c r="J23" s="15" t="n">
        <v>7</v>
      </c>
      <c r="K23" s="15" t="n">
        <v>8</v>
      </c>
      <c r="L23" s="15" t="n">
        <v>6</v>
      </c>
      <c r="M23" s="4" t="n">
        <f aca="false">ROUND(F23*Rubric!$B$4+G23*Rubric!$B$5+H23*Rubric!$B$6+I23*Rubric!$B$7+J23*Rubric!$B$8+K23*Rubric!$B$9+L23*Rubric!$B$10-IF(OR(H23&lt;Rubric!$B$12,K23&lt;Rubric!$B$12),Rubric!$B$13,0),2)</f>
        <v>6.95</v>
      </c>
      <c r="N23" s="14" t="n">
        <v>21</v>
      </c>
      <c r="O23" s="2" t="s">
        <v>208</v>
      </c>
    </row>
    <row r="24" customFormat="false" ht="23.85" hidden="false" customHeight="false" outlineLevel="0" collapsed="false">
      <c r="A24" s="2" t="s">
        <v>17</v>
      </c>
      <c r="B24" s="2" t="s">
        <v>18</v>
      </c>
      <c r="C24" s="14" t="n">
        <v>2</v>
      </c>
      <c r="D24" s="14" t="n">
        <v>2</v>
      </c>
      <c r="E24" s="2" t="s">
        <v>139</v>
      </c>
      <c r="F24" s="15" t="n">
        <v>8</v>
      </c>
      <c r="G24" s="15" t="n">
        <v>8</v>
      </c>
      <c r="H24" s="15" t="n">
        <v>8</v>
      </c>
      <c r="I24" s="15" t="n">
        <v>3</v>
      </c>
      <c r="J24" s="15" t="n">
        <v>8</v>
      </c>
      <c r="K24" s="15" t="n">
        <v>8</v>
      </c>
      <c r="L24" s="15" t="n">
        <v>7</v>
      </c>
      <c r="M24" s="4" t="n">
        <f aca="false">ROUND(F24*Rubric!$B$4+G24*Rubric!$B$5+H24*Rubric!$B$6+I24*Rubric!$B$7+J24*Rubric!$B$8+K24*Rubric!$B$9+L24*Rubric!$B$10-IF(OR(H24&lt;Rubric!$B$12,K24&lt;Rubric!$B$12),Rubric!$B$13,0),2)</f>
        <v>7.4</v>
      </c>
      <c r="N24" s="14" t="n">
        <v>21</v>
      </c>
      <c r="O24" s="2" t="s">
        <v>227</v>
      </c>
    </row>
    <row r="25" customFormat="false" ht="23.85" hidden="false" customHeight="false" outlineLevel="0" collapsed="false">
      <c r="A25" s="2" t="s">
        <v>17</v>
      </c>
      <c r="B25" s="2" t="s">
        <v>18</v>
      </c>
      <c r="C25" s="14" t="n">
        <v>0</v>
      </c>
      <c r="D25" s="14" t="n">
        <v>3</v>
      </c>
      <c r="E25" s="2" t="s">
        <v>228</v>
      </c>
      <c r="F25" s="15" t="n">
        <v>8</v>
      </c>
      <c r="G25" s="15" t="n">
        <v>7</v>
      </c>
      <c r="H25" s="15" t="n">
        <v>8</v>
      </c>
      <c r="I25" s="15" t="n">
        <v>2</v>
      </c>
      <c r="J25" s="15" t="n">
        <v>7</v>
      </c>
      <c r="K25" s="15" t="n">
        <v>8</v>
      </c>
      <c r="L25" s="15" t="n">
        <v>6</v>
      </c>
      <c r="M25" s="4" t="n">
        <f aca="false">ROUND(F25*Rubric!$B$4+G25*Rubric!$B$5+H25*Rubric!$B$6+I25*Rubric!$B$7+J25*Rubric!$B$8+K25*Rubric!$B$9+L25*Rubric!$B$10-IF(OR(H25&lt;Rubric!$B$12,K25&lt;Rubric!$B$12),Rubric!$B$13,0),2)</f>
        <v>6.85</v>
      </c>
      <c r="N25" s="14" t="n">
        <v>22</v>
      </c>
      <c r="O25" s="2" t="s">
        <v>208</v>
      </c>
    </row>
    <row r="26" customFormat="false" ht="23.85" hidden="false" customHeight="false" outlineLevel="0" collapsed="false">
      <c r="A26" s="2" t="s">
        <v>17</v>
      </c>
      <c r="B26" s="2" t="s">
        <v>18</v>
      </c>
      <c r="C26" s="14" t="n">
        <v>1</v>
      </c>
      <c r="D26" s="14" t="n">
        <v>3</v>
      </c>
      <c r="E26" s="2" t="s">
        <v>229</v>
      </c>
      <c r="F26" s="15" t="n">
        <v>8</v>
      </c>
      <c r="G26" s="15" t="n">
        <v>7</v>
      </c>
      <c r="H26" s="15" t="n">
        <v>8</v>
      </c>
      <c r="I26" s="15" t="n">
        <v>2</v>
      </c>
      <c r="J26" s="15" t="n">
        <v>8</v>
      </c>
      <c r="K26" s="15" t="n">
        <v>8</v>
      </c>
      <c r="L26" s="15" t="n">
        <v>7</v>
      </c>
      <c r="M26" s="4" t="n">
        <f aca="false">ROUND(F26*Rubric!$B$4+G26*Rubric!$B$5+H26*Rubric!$B$6+I26*Rubric!$B$7+J26*Rubric!$B$8+K26*Rubric!$B$9+L26*Rubric!$B$10-IF(OR(H26&lt;Rubric!$B$12,K26&lt;Rubric!$B$12),Rubric!$B$13,0),2)</f>
        <v>7.1</v>
      </c>
      <c r="N26" s="14" t="n">
        <v>22</v>
      </c>
      <c r="O26" s="2" t="s">
        <v>230</v>
      </c>
    </row>
    <row r="27" customFormat="false" ht="23.85" hidden="false" customHeight="false" outlineLevel="0" collapsed="false">
      <c r="A27" s="2" t="s">
        <v>17</v>
      </c>
      <c r="B27" s="2" t="s">
        <v>18</v>
      </c>
      <c r="C27" s="14" t="n">
        <v>2</v>
      </c>
      <c r="D27" s="14" t="n">
        <v>3</v>
      </c>
      <c r="E27" s="2" t="s">
        <v>140</v>
      </c>
      <c r="F27" s="15" t="n">
        <v>8</v>
      </c>
      <c r="G27" s="15" t="n">
        <v>8</v>
      </c>
      <c r="H27" s="15" t="n">
        <v>8</v>
      </c>
      <c r="I27" s="15" t="n">
        <v>2</v>
      </c>
      <c r="J27" s="15" t="n">
        <v>8</v>
      </c>
      <c r="K27" s="15" t="n">
        <v>8</v>
      </c>
      <c r="L27" s="15" t="n">
        <v>8</v>
      </c>
      <c r="M27" s="4" t="n">
        <f aca="false">ROUND(F27*Rubric!$B$4+G27*Rubric!$B$5+H27*Rubric!$B$6+I27*Rubric!$B$7+J27*Rubric!$B$8+K27*Rubric!$B$9+L27*Rubric!$B$10-IF(OR(H27&lt;Rubric!$B$12,K27&lt;Rubric!$B$12),Rubric!$B$13,0),2)</f>
        <v>7.4</v>
      </c>
      <c r="N27" s="14" t="n">
        <v>22</v>
      </c>
      <c r="O27" s="2" t="s">
        <v>231</v>
      </c>
    </row>
    <row r="28" customFormat="false" ht="23.85" hidden="false" customHeight="false" outlineLevel="0" collapsed="false">
      <c r="A28" s="2" t="s">
        <v>17</v>
      </c>
      <c r="B28" s="2" t="s">
        <v>18</v>
      </c>
      <c r="C28" s="14" t="n">
        <v>0</v>
      </c>
      <c r="D28" s="14" t="n">
        <v>4</v>
      </c>
      <c r="E28" s="2" t="s">
        <v>232</v>
      </c>
      <c r="F28" s="15" t="n">
        <v>7</v>
      </c>
      <c r="G28" s="15" t="n">
        <v>6</v>
      </c>
      <c r="H28" s="15" t="n">
        <v>7</v>
      </c>
      <c r="I28" s="15" t="n">
        <v>2</v>
      </c>
      <c r="J28" s="15" t="n">
        <v>7</v>
      </c>
      <c r="K28" s="15" t="n">
        <v>7</v>
      </c>
      <c r="L28" s="15" t="n">
        <v>5</v>
      </c>
      <c r="M28" s="4" t="n">
        <f aca="false">ROUND(F28*Rubric!$B$4+G28*Rubric!$B$5+H28*Rubric!$B$6+I28*Rubric!$B$7+J28*Rubric!$B$8+K28*Rubric!$B$9+L28*Rubric!$B$10-IF(OR(H28&lt;Rubric!$B$12,K28&lt;Rubric!$B$12),Rubric!$B$13,0),2)</f>
        <v>6.1</v>
      </c>
      <c r="N28" s="14" t="n">
        <v>23</v>
      </c>
      <c r="O28" s="2" t="s">
        <v>208</v>
      </c>
    </row>
    <row r="29" customFormat="false" ht="23.85" hidden="false" customHeight="false" outlineLevel="0" collapsed="false">
      <c r="A29" s="2" t="s">
        <v>17</v>
      </c>
      <c r="B29" s="2" t="s">
        <v>18</v>
      </c>
      <c r="C29" s="14" t="n">
        <v>1</v>
      </c>
      <c r="D29" s="14" t="n">
        <v>4</v>
      </c>
      <c r="E29" s="2" t="s">
        <v>233</v>
      </c>
      <c r="F29" s="15" t="n">
        <v>7</v>
      </c>
      <c r="G29" s="15" t="n">
        <v>7</v>
      </c>
      <c r="H29" s="15" t="n">
        <v>7</v>
      </c>
      <c r="I29" s="15" t="n">
        <v>3</v>
      </c>
      <c r="J29" s="15" t="n">
        <v>7</v>
      </c>
      <c r="K29" s="15" t="n">
        <v>7</v>
      </c>
      <c r="L29" s="15" t="n">
        <v>7</v>
      </c>
      <c r="M29" s="4" t="n">
        <f aca="false">ROUND(F29*Rubric!$B$4+G29*Rubric!$B$5+H29*Rubric!$B$6+I29*Rubric!$B$7+J29*Rubric!$B$8+K29*Rubric!$B$9+L29*Rubric!$B$10-IF(OR(H29&lt;Rubric!$B$12,K29&lt;Rubric!$B$12),Rubric!$B$13,0),2)</f>
        <v>6.6</v>
      </c>
      <c r="N29" s="14" t="n">
        <v>23</v>
      </c>
      <c r="O29" s="2" t="s">
        <v>234</v>
      </c>
    </row>
    <row r="30" customFormat="false" ht="23.85" hidden="false" customHeight="false" outlineLevel="0" collapsed="false">
      <c r="A30" s="2" t="s">
        <v>17</v>
      </c>
      <c r="B30" s="2" t="s">
        <v>18</v>
      </c>
      <c r="C30" s="14" t="n">
        <v>2</v>
      </c>
      <c r="D30" s="14" t="n">
        <v>4</v>
      </c>
      <c r="E30" s="2" t="s">
        <v>235</v>
      </c>
      <c r="F30" s="15" t="n">
        <v>6</v>
      </c>
      <c r="G30" s="15" t="n">
        <v>7</v>
      </c>
      <c r="H30" s="15" t="n">
        <v>7</v>
      </c>
      <c r="I30" s="15" t="n">
        <v>6</v>
      </c>
      <c r="J30" s="15" t="n">
        <v>7</v>
      </c>
      <c r="K30" s="15" t="n">
        <v>7</v>
      </c>
      <c r="L30" s="15" t="n">
        <v>7</v>
      </c>
      <c r="M30" s="4" t="n">
        <f aca="false">ROUND(F30*Rubric!$B$4+G30*Rubric!$B$5+H30*Rubric!$B$6+I30*Rubric!$B$7+J30*Rubric!$B$8+K30*Rubric!$B$9+L30*Rubric!$B$10-IF(OR(H30&lt;Rubric!$B$12,K30&lt;Rubric!$B$12),Rubric!$B$13,0),2)</f>
        <v>6.8</v>
      </c>
      <c r="N30" s="14" t="n">
        <v>23</v>
      </c>
      <c r="O30" s="2" t="s">
        <v>236</v>
      </c>
    </row>
    <row r="31" customFormat="false" ht="23.85" hidden="false" customHeight="false" outlineLevel="0" collapsed="false">
      <c r="A31" s="2" t="s">
        <v>17</v>
      </c>
      <c r="B31" s="2" t="s">
        <v>18</v>
      </c>
      <c r="C31" s="14" t="n">
        <v>3</v>
      </c>
      <c r="D31" s="14" t="n">
        <v>4</v>
      </c>
      <c r="E31" s="2" t="s">
        <v>141</v>
      </c>
      <c r="F31" s="15" t="n">
        <v>9</v>
      </c>
      <c r="G31" s="15" t="n">
        <v>8</v>
      </c>
      <c r="H31" s="15" t="n">
        <v>8</v>
      </c>
      <c r="I31" s="15" t="n">
        <v>2</v>
      </c>
      <c r="J31" s="15" t="n">
        <v>7</v>
      </c>
      <c r="K31" s="15" t="n">
        <v>8</v>
      </c>
      <c r="L31" s="15" t="n">
        <v>8</v>
      </c>
      <c r="M31" s="4" t="n">
        <f aca="false">ROUND(F31*Rubric!$B$4+G31*Rubric!$B$5+H31*Rubric!$B$6+I31*Rubric!$B$7+J31*Rubric!$B$8+K31*Rubric!$B$9+L31*Rubric!$B$10-IF(OR(H31&lt;Rubric!$B$12,K31&lt;Rubric!$B$12),Rubric!$B$13,0),2)</f>
        <v>7.35</v>
      </c>
      <c r="N31" s="14" t="n">
        <v>23</v>
      </c>
      <c r="O31" s="2" t="s">
        <v>237</v>
      </c>
    </row>
    <row r="32" customFormat="false" ht="23.85" hidden="false" customHeight="false" outlineLevel="0" collapsed="false">
      <c r="A32" s="2" t="s">
        <v>17</v>
      </c>
      <c r="B32" s="2" t="s">
        <v>18</v>
      </c>
      <c r="C32" s="14" t="n">
        <v>0</v>
      </c>
      <c r="D32" s="14" t="n">
        <v>5</v>
      </c>
      <c r="E32" s="2" t="s">
        <v>238</v>
      </c>
      <c r="F32" s="15" t="n">
        <v>7</v>
      </c>
      <c r="G32" s="15" t="n">
        <v>7</v>
      </c>
      <c r="H32" s="15" t="n">
        <v>7</v>
      </c>
      <c r="I32" s="15" t="n">
        <v>7</v>
      </c>
      <c r="J32" s="15" t="n">
        <v>6</v>
      </c>
      <c r="K32" s="15" t="n">
        <v>6</v>
      </c>
      <c r="L32" s="15" t="n">
        <v>7</v>
      </c>
      <c r="M32" s="4" t="n">
        <f aca="false">ROUND(F32*Rubric!$B$4+G32*Rubric!$B$5+H32*Rubric!$B$6+I32*Rubric!$B$7+J32*Rubric!$B$8+K32*Rubric!$B$9+L32*Rubric!$B$10-IF(OR(H32&lt;Rubric!$B$12,K32&lt;Rubric!$B$12),Rubric!$B$13,0),2)</f>
        <v>5.7</v>
      </c>
      <c r="N32" s="14" t="n">
        <v>24</v>
      </c>
      <c r="O32" s="2" t="s">
        <v>208</v>
      </c>
    </row>
    <row r="33" customFormat="false" ht="23.85" hidden="false" customHeight="false" outlineLevel="0" collapsed="false">
      <c r="A33" s="2" t="s">
        <v>17</v>
      </c>
      <c r="B33" s="2" t="s">
        <v>18</v>
      </c>
      <c r="C33" s="14" t="n">
        <v>1</v>
      </c>
      <c r="D33" s="14" t="n">
        <v>5</v>
      </c>
      <c r="E33" s="2" t="s">
        <v>239</v>
      </c>
      <c r="F33" s="15" t="n">
        <v>9</v>
      </c>
      <c r="G33" s="15" t="n">
        <v>7</v>
      </c>
      <c r="H33" s="15" t="n">
        <v>8</v>
      </c>
      <c r="I33" s="15" t="n">
        <v>4</v>
      </c>
      <c r="J33" s="15" t="n">
        <v>6</v>
      </c>
      <c r="K33" s="15" t="n">
        <v>8</v>
      </c>
      <c r="L33" s="15" t="n">
        <v>8</v>
      </c>
      <c r="M33" s="4" t="n">
        <f aca="false">ROUND(F33*Rubric!$B$4+G33*Rubric!$B$5+H33*Rubric!$B$6+I33*Rubric!$B$7+J33*Rubric!$B$8+K33*Rubric!$B$9+L33*Rubric!$B$10-IF(OR(H33&lt;Rubric!$B$12,K33&lt;Rubric!$B$12),Rubric!$B$13,0),2)</f>
        <v>7.2</v>
      </c>
      <c r="N33" s="14" t="n">
        <v>24</v>
      </c>
      <c r="O33" s="2" t="s">
        <v>240</v>
      </c>
    </row>
    <row r="34" customFormat="false" ht="23.85" hidden="false" customHeight="false" outlineLevel="0" collapsed="false">
      <c r="A34" s="2" t="s">
        <v>17</v>
      </c>
      <c r="B34" s="2" t="s">
        <v>18</v>
      </c>
      <c r="C34" s="14" t="n">
        <v>2</v>
      </c>
      <c r="D34" s="14" t="n">
        <v>5</v>
      </c>
      <c r="E34" s="2" t="s">
        <v>142</v>
      </c>
      <c r="F34" s="15" t="n">
        <v>9</v>
      </c>
      <c r="G34" s="15" t="n">
        <v>7</v>
      </c>
      <c r="H34" s="15" t="n">
        <v>8</v>
      </c>
      <c r="I34" s="15" t="n">
        <v>4</v>
      </c>
      <c r="J34" s="15" t="n">
        <v>7</v>
      </c>
      <c r="K34" s="15" t="n">
        <v>8</v>
      </c>
      <c r="L34" s="15" t="n">
        <v>8</v>
      </c>
      <c r="M34" s="4" t="n">
        <f aca="false">ROUND(F34*Rubric!$B$4+G34*Rubric!$B$5+H34*Rubric!$B$6+I34*Rubric!$B$7+J34*Rubric!$B$8+K34*Rubric!$B$9+L34*Rubric!$B$10-IF(OR(H34&lt;Rubric!$B$12,K34&lt;Rubric!$B$12),Rubric!$B$13,0),2)</f>
        <v>7.35</v>
      </c>
      <c r="N34" s="14" t="n">
        <v>24</v>
      </c>
      <c r="O34" s="2" t="s">
        <v>241</v>
      </c>
    </row>
    <row r="35" customFormat="false" ht="23.85" hidden="false" customHeight="false" outlineLevel="0" collapsed="false">
      <c r="A35" s="2" t="s">
        <v>22</v>
      </c>
      <c r="B35" s="2" t="s">
        <v>23</v>
      </c>
      <c r="C35" s="14" t="n">
        <v>0</v>
      </c>
      <c r="D35" s="14" t="n">
        <v>1</v>
      </c>
      <c r="E35" s="2" t="s">
        <v>143</v>
      </c>
      <c r="F35" s="15" t="n">
        <v>8</v>
      </c>
      <c r="G35" s="15" t="n">
        <v>8</v>
      </c>
      <c r="H35" s="15" t="n">
        <v>8</v>
      </c>
      <c r="I35" s="15" t="n">
        <v>3</v>
      </c>
      <c r="J35" s="15" t="n">
        <v>9</v>
      </c>
      <c r="K35" s="15" t="n">
        <v>8</v>
      </c>
      <c r="L35" s="15" t="n">
        <v>7</v>
      </c>
      <c r="M35" s="4" t="n">
        <f aca="false">ROUND(F35*Rubric!$B$4+G35*Rubric!$B$5+H35*Rubric!$B$6+I35*Rubric!$B$7+J35*Rubric!$B$8+K35*Rubric!$B$9+L35*Rubric!$B$10-IF(OR(H35&lt;Rubric!$B$12,K35&lt;Rubric!$B$12),Rubric!$B$13,0),2)</f>
        <v>7.55</v>
      </c>
      <c r="N35" s="14" t="n">
        <v>30</v>
      </c>
      <c r="O35" s="2" t="s">
        <v>208</v>
      </c>
    </row>
    <row r="36" customFormat="false" ht="23.85" hidden="false" customHeight="false" outlineLevel="0" collapsed="false">
      <c r="A36" s="2" t="s">
        <v>22</v>
      </c>
      <c r="B36" s="2" t="s">
        <v>23</v>
      </c>
      <c r="C36" s="14" t="n">
        <v>0</v>
      </c>
      <c r="D36" s="14" t="n">
        <v>2</v>
      </c>
      <c r="E36" s="2" t="s">
        <v>144</v>
      </c>
      <c r="F36" s="15" t="n">
        <v>8</v>
      </c>
      <c r="G36" s="15" t="n">
        <v>9</v>
      </c>
      <c r="H36" s="15" t="n">
        <v>7</v>
      </c>
      <c r="I36" s="15" t="n">
        <v>3</v>
      </c>
      <c r="J36" s="15" t="n">
        <v>9</v>
      </c>
      <c r="K36" s="15" t="n">
        <v>8</v>
      </c>
      <c r="L36" s="15" t="n">
        <v>8</v>
      </c>
      <c r="M36" s="4" t="n">
        <f aca="false">ROUND(F36*Rubric!$B$4+G36*Rubric!$B$5+H36*Rubric!$B$6+I36*Rubric!$B$7+J36*Rubric!$B$8+K36*Rubric!$B$9+L36*Rubric!$B$10-IF(OR(H36&lt;Rubric!$B$12,K36&lt;Rubric!$B$12),Rubric!$B$13,0),2)</f>
        <v>7.65</v>
      </c>
      <c r="N36" s="14" t="n">
        <v>31</v>
      </c>
      <c r="O36" s="2" t="s">
        <v>208</v>
      </c>
    </row>
    <row r="37" customFormat="false" ht="23.85" hidden="false" customHeight="false" outlineLevel="0" collapsed="false">
      <c r="A37" s="2" t="s">
        <v>22</v>
      </c>
      <c r="B37" s="2" t="s">
        <v>23</v>
      </c>
      <c r="C37" s="14" t="n">
        <v>0</v>
      </c>
      <c r="D37" s="14" t="n">
        <v>3</v>
      </c>
      <c r="E37" s="2" t="s">
        <v>145</v>
      </c>
      <c r="F37" s="15" t="n">
        <v>9</v>
      </c>
      <c r="G37" s="15" t="n">
        <v>9</v>
      </c>
      <c r="H37" s="15" t="n">
        <v>8</v>
      </c>
      <c r="I37" s="15" t="n">
        <v>3</v>
      </c>
      <c r="J37" s="15" t="n">
        <v>9</v>
      </c>
      <c r="K37" s="15" t="n">
        <v>9</v>
      </c>
      <c r="L37" s="15" t="n">
        <v>8</v>
      </c>
      <c r="M37" s="4" t="n">
        <f aca="false">ROUND(F37*Rubric!$B$4+G37*Rubric!$B$5+H37*Rubric!$B$6+I37*Rubric!$B$7+J37*Rubric!$B$8+K37*Rubric!$B$9+L37*Rubric!$B$10-IF(OR(H37&lt;Rubric!$B$12,K37&lt;Rubric!$B$12),Rubric!$B$13,0),2)</f>
        <v>8.1</v>
      </c>
      <c r="N37" s="14" t="n">
        <v>32</v>
      </c>
      <c r="O37" s="2" t="s">
        <v>208</v>
      </c>
    </row>
    <row r="38" customFormat="false" ht="23.85" hidden="false" customHeight="false" outlineLevel="0" collapsed="false">
      <c r="A38" s="2" t="s">
        <v>22</v>
      </c>
      <c r="B38" s="2" t="s">
        <v>23</v>
      </c>
      <c r="C38" s="14" t="n">
        <v>0</v>
      </c>
      <c r="D38" s="14" t="n">
        <v>4</v>
      </c>
      <c r="E38" s="2" t="s">
        <v>242</v>
      </c>
      <c r="F38" s="15" t="n">
        <v>8</v>
      </c>
      <c r="G38" s="15" t="n">
        <v>7</v>
      </c>
      <c r="H38" s="15" t="n">
        <v>8</v>
      </c>
      <c r="I38" s="15" t="n">
        <v>3</v>
      </c>
      <c r="J38" s="15" t="n">
        <v>8</v>
      </c>
      <c r="K38" s="15" t="n">
        <v>8</v>
      </c>
      <c r="L38" s="15" t="n">
        <v>7</v>
      </c>
      <c r="M38" s="4" t="n">
        <f aca="false">ROUND(F38*Rubric!$B$4+G38*Rubric!$B$5+H38*Rubric!$B$6+I38*Rubric!$B$7+J38*Rubric!$B$8+K38*Rubric!$B$9+L38*Rubric!$B$10-IF(OR(H38&lt;Rubric!$B$12,K38&lt;Rubric!$B$12),Rubric!$B$13,0),2)</f>
        <v>7.2</v>
      </c>
      <c r="N38" s="14" t="n">
        <v>33</v>
      </c>
      <c r="O38" s="2" t="s">
        <v>208</v>
      </c>
    </row>
    <row r="39" customFormat="false" ht="23.85" hidden="false" customHeight="false" outlineLevel="0" collapsed="false">
      <c r="A39" s="2" t="s">
        <v>22</v>
      </c>
      <c r="B39" s="2" t="s">
        <v>23</v>
      </c>
      <c r="C39" s="14" t="n">
        <v>2</v>
      </c>
      <c r="D39" s="14" t="n">
        <v>4</v>
      </c>
      <c r="E39" s="2" t="s">
        <v>146</v>
      </c>
      <c r="F39" s="15" t="n">
        <v>8</v>
      </c>
      <c r="G39" s="15" t="n">
        <v>8</v>
      </c>
      <c r="H39" s="15" t="n">
        <v>8</v>
      </c>
      <c r="I39" s="15" t="n">
        <v>3</v>
      </c>
      <c r="J39" s="15" t="n">
        <v>8</v>
      </c>
      <c r="K39" s="15" t="n">
        <v>8</v>
      </c>
      <c r="L39" s="15" t="n">
        <v>7</v>
      </c>
      <c r="M39" s="4" t="n">
        <f aca="false">ROUND(F39*Rubric!$B$4+G39*Rubric!$B$5+H39*Rubric!$B$6+I39*Rubric!$B$7+J39*Rubric!$B$8+K39*Rubric!$B$9+L39*Rubric!$B$10-IF(OR(H39&lt;Rubric!$B$12,K39&lt;Rubric!$B$12),Rubric!$B$13,0),2)</f>
        <v>7.4</v>
      </c>
      <c r="N39" s="14" t="n">
        <v>33</v>
      </c>
      <c r="O39" s="2" t="s">
        <v>243</v>
      </c>
    </row>
    <row r="40" customFormat="false" ht="23.85" hidden="false" customHeight="false" outlineLevel="0" collapsed="false">
      <c r="A40" s="2" t="s">
        <v>22</v>
      </c>
      <c r="B40" s="2" t="s">
        <v>23</v>
      </c>
      <c r="C40" s="14" t="n">
        <v>0</v>
      </c>
      <c r="D40" s="14" t="n">
        <v>5</v>
      </c>
      <c r="E40" s="2" t="s">
        <v>147</v>
      </c>
      <c r="F40" s="15" t="n">
        <v>8</v>
      </c>
      <c r="G40" s="15" t="n">
        <v>8</v>
      </c>
      <c r="H40" s="15" t="n">
        <v>7</v>
      </c>
      <c r="I40" s="15" t="n">
        <v>9</v>
      </c>
      <c r="J40" s="15" t="n">
        <v>8</v>
      </c>
      <c r="K40" s="15" t="n">
        <v>8</v>
      </c>
      <c r="L40" s="15" t="n">
        <v>9</v>
      </c>
      <c r="M40" s="4" t="n">
        <f aca="false">ROUND(F40*Rubric!$B$4+G40*Rubric!$B$5+H40*Rubric!$B$6+I40*Rubric!$B$7+J40*Rubric!$B$8+K40*Rubric!$B$9+L40*Rubric!$B$10-IF(OR(H40&lt;Rubric!$B$12,K40&lt;Rubric!$B$12),Rubric!$B$13,0),2)</f>
        <v>8</v>
      </c>
      <c r="N40" s="14" t="n">
        <v>34</v>
      </c>
      <c r="O40" s="2" t="s">
        <v>208</v>
      </c>
    </row>
    <row r="41" customFormat="false" ht="23.85" hidden="false" customHeight="false" outlineLevel="0" collapsed="false">
      <c r="A41" s="2" t="s">
        <v>22</v>
      </c>
      <c r="B41" s="2" t="s">
        <v>27</v>
      </c>
      <c r="C41" s="14" t="n">
        <v>0</v>
      </c>
      <c r="D41" s="14" t="n">
        <v>1</v>
      </c>
      <c r="E41" s="2" t="s">
        <v>244</v>
      </c>
      <c r="F41" s="15" t="n">
        <v>8</v>
      </c>
      <c r="G41" s="15" t="n">
        <v>7</v>
      </c>
      <c r="H41" s="15" t="n">
        <v>8</v>
      </c>
      <c r="I41" s="15" t="n">
        <v>3</v>
      </c>
      <c r="J41" s="15" t="n">
        <v>8</v>
      </c>
      <c r="K41" s="15" t="n">
        <v>7</v>
      </c>
      <c r="L41" s="15" t="n">
        <v>6</v>
      </c>
      <c r="M41" s="4" t="n">
        <f aca="false">ROUND(F41*Rubric!$B$4+G41*Rubric!$B$5+H41*Rubric!$B$6+I41*Rubric!$B$7+J41*Rubric!$B$8+K41*Rubric!$B$9+L41*Rubric!$B$10-IF(OR(H41&lt;Rubric!$B$12,K41&lt;Rubric!$B$12),Rubric!$B$13,0),2)</f>
        <v>6.95</v>
      </c>
      <c r="N41" s="14" t="n">
        <v>40</v>
      </c>
      <c r="O41" s="2" t="s">
        <v>208</v>
      </c>
    </row>
    <row r="42" customFormat="false" ht="23.85" hidden="false" customHeight="false" outlineLevel="0" collapsed="false">
      <c r="A42" s="2" t="s">
        <v>22</v>
      </c>
      <c r="B42" s="2" t="s">
        <v>27</v>
      </c>
      <c r="C42" s="14" t="n">
        <v>2</v>
      </c>
      <c r="D42" s="14" t="n">
        <v>1</v>
      </c>
      <c r="E42" s="2" t="s">
        <v>245</v>
      </c>
      <c r="F42" s="15" t="n">
        <v>8</v>
      </c>
      <c r="G42" s="15" t="n">
        <v>8</v>
      </c>
      <c r="H42" s="15" t="n">
        <v>8</v>
      </c>
      <c r="I42" s="15" t="n">
        <v>3</v>
      </c>
      <c r="J42" s="15" t="n">
        <v>8</v>
      </c>
      <c r="K42" s="15" t="n">
        <v>8</v>
      </c>
      <c r="L42" s="15" t="n">
        <v>7</v>
      </c>
      <c r="M42" s="4" t="n">
        <f aca="false">ROUND(F42*Rubric!$B$4+G42*Rubric!$B$5+H42*Rubric!$B$6+I42*Rubric!$B$7+J42*Rubric!$B$8+K42*Rubric!$B$9+L42*Rubric!$B$10-IF(OR(H42&lt;Rubric!$B$12,K42&lt;Rubric!$B$12),Rubric!$B$13,0),2)</f>
        <v>7.4</v>
      </c>
      <c r="N42" s="14" t="n">
        <v>40</v>
      </c>
      <c r="O42" s="2" t="s">
        <v>246</v>
      </c>
    </row>
    <row r="43" customFormat="false" ht="23.85" hidden="false" customHeight="false" outlineLevel="0" collapsed="false">
      <c r="A43" s="2" t="s">
        <v>22</v>
      </c>
      <c r="B43" s="2" t="s">
        <v>27</v>
      </c>
      <c r="C43" s="14" t="n">
        <v>3</v>
      </c>
      <c r="D43" s="14" t="n">
        <v>1</v>
      </c>
      <c r="E43" s="2" t="s">
        <v>148</v>
      </c>
      <c r="F43" s="15" t="n">
        <v>9</v>
      </c>
      <c r="G43" s="15" t="n">
        <v>8</v>
      </c>
      <c r="H43" s="15" t="n">
        <v>8</v>
      </c>
      <c r="I43" s="15" t="n">
        <v>3</v>
      </c>
      <c r="J43" s="15" t="n">
        <v>8</v>
      </c>
      <c r="K43" s="15" t="n">
        <v>8</v>
      </c>
      <c r="L43" s="15" t="n">
        <v>7</v>
      </c>
      <c r="M43" s="4" t="n">
        <f aca="false">ROUND(F43*Rubric!$B$4+G43*Rubric!$B$5+H43*Rubric!$B$6+I43*Rubric!$B$7+J43*Rubric!$B$8+K43*Rubric!$B$9+L43*Rubric!$B$10-IF(OR(H43&lt;Rubric!$B$12,K43&lt;Rubric!$B$12),Rubric!$B$13,0),2)</f>
        <v>7.5</v>
      </c>
      <c r="N43" s="14" t="n">
        <v>40</v>
      </c>
      <c r="O43" s="2" t="s">
        <v>213</v>
      </c>
    </row>
    <row r="44" customFormat="false" ht="23.85" hidden="false" customHeight="false" outlineLevel="0" collapsed="false">
      <c r="A44" s="2" t="s">
        <v>22</v>
      </c>
      <c r="B44" s="2" t="s">
        <v>27</v>
      </c>
      <c r="C44" s="14" t="n">
        <v>0</v>
      </c>
      <c r="D44" s="14" t="n">
        <v>2</v>
      </c>
      <c r="E44" s="2" t="s">
        <v>247</v>
      </c>
      <c r="F44" s="15" t="n">
        <v>7</v>
      </c>
      <c r="G44" s="15" t="n">
        <v>7</v>
      </c>
      <c r="H44" s="15" t="n">
        <v>7</v>
      </c>
      <c r="I44" s="15" t="n">
        <v>3</v>
      </c>
      <c r="J44" s="15" t="n">
        <v>7</v>
      </c>
      <c r="K44" s="15" t="n">
        <v>6</v>
      </c>
      <c r="L44" s="15" t="n">
        <v>6</v>
      </c>
      <c r="M44" s="4" t="n">
        <f aca="false">ROUND(F44*Rubric!$B$4+G44*Rubric!$B$5+H44*Rubric!$B$6+I44*Rubric!$B$7+J44*Rubric!$B$8+K44*Rubric!$B$9+L44*Rubric!$B$10-IF(OR(H44&lt;Rubric!$B$12,K44&lt;Rubric!$B$12),Rubric!$B$13,0),2)</f>
        <v>5.35</v>
      </c>
      <c r="N44" s="14" t="n">
        <v>41</v>
      </c>
      <c r="O44" s="2" t="s">
        <v>208</v>
      </c>
    </row>
    <row r="45" customFormat="false" ht="23.85" hidden="false" customHeight="false" outlineLevel="0" collapsed="false">
      <c r="A45" s="2" t="s">
        <v>22</v>
      </c>
      <c r="B45" s="2" t="s">
        <v>27</v>
      </c>
      <c r="C45" s="14" t="n">
        <v>1</v>
      </c>
      <c r="D45" s="14" t="n">
        <v>2</v>
      </c>
      <c r="E45" s="2" t="s">
        <v>248</v>
      </c>
      <c r="F45" s="15" t="n">
        <v>8</v>
      </c>
      <c r="G45" s="15" t="n">
        <v>7</v>
      </c>
      <c r="H45" s="15" t="n">
        <v>8</v>
      </c>
      <c r="I45" s="15" t="n">
        <v>3</v>
      </c>
      <c r="J45" s="15" t="n">
        <v>7</v>
      </c>
      <c r="K45" s="15" t="n">
        <v>7</v>
      </c>
      <c r="L45" s="15" t="n">
        <v>7</v>
      </c>
      <c r="M45" s="4" t="n">
        <f aca="false">ROUND(F45*Rubric!$B$4+G45*Rubric!$B$5+H45*Rubric!$B$6+I45*Rubric!$B$7+J45*Rubric!$B$8+K45*Rubric!$B$9+L45*Rubric!$B$10-IF(OR(H45&lt;Rubric!$B$12,K45&lt;Rubric!$B$12),Rubric!$B$13,0),2)</f>
        <v>6.9</v>
      </c>
      <c r="N45" s="14" t="n">
        <v>41</v>
      </c>
      <c r="O45" s="2" t="s">
        <v>249</v>
      </c>
    </row>
    <row r="46" customFormat="false" ht="23.85" hidden="false" customHeight="false" outlineLevel="0" collapsed="false">
      <c r="A46" s="2" t="s">
        <v>22</v>
      </c>
      <c r="B46" s="2" t="s">
        <v>27</v>
      </c>
      <c r="C46" s="14" t="n">
        <v>2</v>
      </c>
      <c r="D46" s="14" t="n">
        <v>2</v>
      </c>
      <c r="E46" s="2" t="s">
        <v>250</v>
      </c>
      <c r="F46" s="15" t="n">
        <v>9</v>
      </c>
      <c r="G46" s="15" t="n">
        <v>7</v>
      </c>
      <c r="H46" s="15" t="n">
        <v>8</v>
      </c>
      <c r="I46" s="15" t="n">
        <v>3</v>
      </c>
      <c r="J46" s="15" t="n">
        <v>7</v>
      </c>
      <c r="K46" s="15" t="n">
        <v>8</v>
      </c>
      <c r="L46" s="15" t="n">
        <v>7</v>
      </c>
      <c r="M46" s="4" t="n">
        <f aca="false">ROUND(F46*Rubric!$B$4+G46*Rubric!$B$5+H46*Rubric!$B$6+I46*Rubric!$B$7+J46*Rubric!$B$8+K46*Rubric!$B$9+L46*Rubric!$B$10-IF(OR(H46&lt;Rubric!$B$12,K46&lt;Rubric!$B$12),Rubric!$B$13,0),2)</f>
        <v>7.15</v>
      </c>
      <c r="N46" s="14" t="n">
        <v>41</v>
      </c>
      <c r="O46" s="2" t="s">
        <v>251</v>
      </c>
    </row>
    <row r="47" customFormat="false" ht="23.85" hidden="false" customHeight="false" outlineLevel="0" collapsed="false">
      <c r="A47" s="2" t="s">
        <v>22</v>
      </c>
      <c r="B47" s="2" t="s">
        <v>27</v>
      </c>
      <c r="C47" s="14" t="n">
        <v>3</v>
      </c>
      <c r="D47" s="14" t="n">
        <v>2</v>
      </c>
      <c r="E47" s="2" t="s">
        <v>149</v>
      </c>
      <c r="F47" s="15" t="n">
        <v>8</v>
      </c>
      <c r="G47" s="15" t="n">
        <v>8</v>
      </c>
      <c r="H47" s="15" t="n">
        <v>8</v>
      </c>
      <c r="I47" s="15" t="n">
        <v>3</v>
      </c>
      <c r="J47" s="15" t="n">
        <v>7</v>
      </c>
      <c r="K47" s="15" t="n">
        <v>8</v>
      </c>
      <c r="L47" s="15" t="n">
        <v>8</v>
      </c>
      <c r="M47" s="4" t="n">
        <f aca="false">ROUND(F47*Rubric!$B$4+G47*Rubric!$B$5+H47*Rubric!$B$6+I47*Rubric!$B$7+J47*Rubric!$B$8+K47*Rubric!$B$9+L47*Rubric!$B$10-IF(OR(H47&lt;Rubric!$B$12,K47&lt;Rubric!$B$12),Rubric!$B$13,0),2)</f>
        <v>7.35</v>
      </c>
      <c r="N47" s="14" t="n">
        <v>41</v>
      </c>
      <c r="O47" s="2" t="s">
        <v>252</v>
      </c>
    </row>
    <row r="48" customFormat="false" ht="23.85" hidden="false" customHeight="false" outlineLevel="0" collapsed="false">
      <c r="A48" s="2" t="s">
        <v>22</v>
      </c>
      <c r="B48" s="2" t="s">
        <v>27</v>
      </c>
      <c r="C48" s="14" t="n">
        <v>0</v>
      </c>
      <c r="D48" s="14" t="n">
        <v>3</v>
      </c>
      <c r="E48" s="2" t="s">
        <v>253</v>
      </c>
      <c r="F48" s="15" t="n">
        <v>8</v>
      </c>
      <c r="G48" s="15" t="n">
        <v>8</v>
      </c>
      <c r="H48" s="15" t="n">
        <v>7</v>
      </c>
      <c r="I48" s="15" t="n">
        <v>3</v>
      </c>
      <c r="J48" s="15" t="n">
        <v>8</v>
      </c>
      <c r="K48" s="15" t="n">
        <v>7</v>
      </c>
      <c r="L48" s="15" t="n">
        <v>7</v>
      </c>
      <c r="M48" s="4" t="n">
        <f aca="false">ROUND(F48*Rubric!$B$4+G48*Rubric!$B$5+H48*Rubric!$B$6+I48*Rubric!$B$7+J48*Rubric!$B$8+K48*Rubric!$B$9+L48*Rubric!$B$10-IF(OR(H48&lt;Rubric!$B$12,K48&lt;Rubric!$B$12),Rubric!$B$13,0),2)</f>
        <v>7.05</v>
      </c>
      <c r="N48" s="14" t="n">
        <v>42</v>
      </c>
      <c r="O48" s="2" t="s">
        <v>208</v>
      </c>
    </row>
    <row r="49" customFormat="false" ht="23.85" hidden="false" customHeight="false" outlineLevel="0" collapsed="false">
      <c r="A49" s="2" t="s">
        <v>22</v>
      </c>
      <c r="B49" s="2" t="s">
        <v>27</v>
      </c>
      <c r="C49" s="14" t="n">
        <v>2</v>
      </c>
      <c r="D49" s="14" t="n">
        <v>3</v>
      </c>
      <c r="E49" s="2" t="s">
        <v>254</v>
      </c>
      <c r="F49" s="15" t="n">
        <v>8</v>
      </c>
      <c r="G49" s="15" t="n">
        <v>8</v>
      </c>
      <c r="H49" s="15" t="n">
        <v>7</v>
      </c>
      <c r="I49" s="15" t="n">
        <v>4</v>
      </c>
      <c r="J49" s="15" t="n">
        <v>8</v>
      </c>
      <c r="K49" s="15" t="n">
        <v>7</v>
      </c>
      <c r="L49" s="15" t="n">
        <v>7</v>
      </c>
      <c r="M49" s="4" t="n">
        <f aca="false">ROUND(F49*Rubric!$B$4+G49*Rubric!$B$5+H49*Rubric!$B$6+I49*Rubric!$B$7+J49*Rubric!$B$8+K49*Rubric!$B$9+L49*Rubric!$B$10-IF(OR(H49&lt;Rubric!$B$12,K49&lt;Rubric!$B$12),Rubric!$B$13,0),2)</f>
        <v>7.15</v>
      </c>
      <c r="N49" s="14" t="n">
        <v>42</v>
      </c>
      <c r="O49" s="2" t="s">
        <v>255</v>
      </c>
    </row>
    <row r="50" customFormat="false" ht="23.85" hidden="false" customHeight="false" outlineLevel="0" collapsed="false">
      <c r="A50" s="2" t="s">
        <v>22</v>
      </c>
      <c r="B50" s="2" t="s">
        <v>27</v>
      </c>
      <c r="C50" s="14" t="n">
        <v>3</v>
      </c>
      <c r="D50" s="14" t="n">
        <v>3</v>
      </c>
      <c r="E50" s="2" t="s">
        <v>150</v>
      </c>
      <c r="F50" s="15" t="n">
        <v>9</v>
      </c>
      <c r="G50" s="15" t="n">
        <v>8</v>
      </c>
      <c r="H50" s="15" t="n">
        <v>7</v>
      </c>
      <c r="I50" s="15" t="n">
        <v>4</v>
      </c>
      <c r="J50" s="15" t="n">
        <v>8</v>
      </c>
      <c r="K50" s="15" t="n">
        <v>7</v>
      </c>
      <c r="L50" s="15" t="n">
        <v>7</v>
      </c>
      <c r="M50" s="4" t="n">
        <f aca="false">ROUND(F50*Rubric!$B$4+G50*Rubric!$B$5+H50*Rubric!$B$6+I50*Rubric!$B$7+J50*Rubric!$B$8+K50*Rubric!$B$9+L50*Rubric!$B$10-IF(OR(H50&lt;Rubric!$B$12,K50&lt;Rubric!$B$12),Rubric!$B$13,0),2)</f>
        <v>7.25</v>
      </c>
      <c r="N50" s="14" t="n">
        <v>42</v>
      </c>
      <c r="O50" s="2" t="s">
        <v>213</v>
      </c>
    </row>
    <row r="51" customFormat="false" ht="23.85" hidden="false" customHeight="false" outlineLevel="0" collapsed="false">
      <c r="A51" s="2" t="s">
        <v>22</v>
      </c>
      <c r="B51" s="2" t="s">
        <v>27</v>
      </c>
      <c r="C51" s="14" t="n">
        <v>0</v>
      </c>
      <c r="D51" s="14" t="n">
        <v>4</v>
      </c>
      <c r="E51" s="2" t="s">
        <v>256</v>
      </c>
      <c r="F51" s="15" t="n">
        <v>7</v>
      </c>
      <c r="G51" s="15" t="n">
        <v>8</v>
      </c>
      <c r="H51" s="15" t="n">
        <v>8</v>
      </c>
      <c r="I51" s="15" t="n">
        <v>3</v>
      </c>
      <c r="J51" s="15" t="n">
        <v>8</v>
      </c>
      <c r="K51" s="15" t="n">
        <v>8</v>
      </c>
      <c r="L51" s="15" t="n">
        <v>7</v>
      </c>
      <c r="M51" s="4" t="n">
        <f aca="false">ROUND(F51*Rubric!$B$4+G51*Rubric!$B$5+H51*Rubric!$B$6+I51*Rubric!$B$7+J51*Rubric!$B$8+K51*Rubric!$B$9+L51*Rubric!$B$10-IF(OR(H51&lt;Rubric!$B$12,K51&lt;Rubric!$B$12),Rubric!$B$13,0),2)</f>
        <v>7.3</v>
      </c>
      <c r="N51" s="14" t="n">
        <v>43</v>
      </c>
      <c r="O51" s="2" t="s">
        <v>208</v>
      </c>
    </row>
    <row r="52" customFormat="false" ht="23.85" hidden="false" customHeight="false" outlineLevel="0" collapsed="false">
      <c r="A52" s="2" t="s">
        <v>22</v>
      </c>
      <c r="B52" s="2" t="s">
        <v>27</v>
      </c>
      <c r="C52" s="14" t="n">
        <v>3</v>
      </c>
      <c r="D52" s="14" t="n">
        <v>4</v>
      </c>
      <c r="E52" s="2" t="s">
        <v>151</v>
      </c>
      <c r="F52" s="15" t="n">
        <v>8</v>
      </c>
      <c r="G52" s="15" t="n">
        <v>8</v>
      </c>
      <c r="H52" s="15" t="n">
        <v>8</v>
      </c>
      <c r="I52" s="15" t="n">
        <v>3</v>
      </c>
      <c r="J52" s="15" t="n">
        <v>8</v>
      </c>
      <c r="K52" s="15" t="n">
        <v>8</v>
      </c>
      <c r="L52" s="15" t="n">
        <v>7</v>
      </c>
      <c r="M52" s="4" t="n">
        <f aca="false">ROUND(F52*Rubric!$B$4+G52*Rubric!$B$5+H52*Rubric!$B$6+I52*Rubric!$B$7+J52*Rubric!$B$8+K52*Rubric!$B$9+L52*Rubric!$B$10-IF(OR(H52&lt;Rubric!$B$12,K52&lt;Rubric!$B$12),Rubric!$B$13,0),2)</f>
        <v>7.4</v>
      </c>
      <c r="N52" s="14" t="n">
        <v>43</v>
      </c>
      <c r="O52" s="2" t="s">
        <v>257</v>
      </c>
    </row>
    <row r="53" customFormat="false" ht="23.85" hidden="false" customHeight="false" outlineLevel="0" collapsed="false">
      <c r="A53" s="2" t="s">
        <v>22</v>
      </c>
      <c r="B53" s="2" t="s">
        <v>27</v>
      </c>
      <c r="C53" s="14" t="n">
        <v>0</v>
      </c>
      <c r="D53" s="14" t="n">
        <v>5</v>
      </c>
      <c r="E53" s="2" t="s">
        <v>258</v>
      </c>
      <c r="F53" s="15" t="n">
        <v>8</v>
      </c>
      <c r="G53" s="15" t="n">
        <v>7</v>
      </c>
      <c r="H53" s="15" t="n">
        <v>8</v>
      </c>
      <c r="I53" s="15" t="n">
        <v>8</v>
      </c>
      <c r="J53" s="15" t="n">
        <v>6</v>
      </c>
      <c r="K53" s="15" t="n">
        <v>7</v>
      </c>
      <c r="L53" s="15" t="n">
        <v>8</v>
      </c>
      <c r="M53" s="4" t="n">
        <f aca="false">ROUND(F53*Rubric!$B$4+G53*Rubric!$B$5+H53*Rubric!$B$6+I53*Rubric!$B$7+J53*Rubric!$B$8+K53*Rubric!$B$9+L53*Rubric!$B$10-IF(OR(H53&lt;Rubric!$B$12,K53&lt;Rubric!$B$12),Rubric!$B$13,0),2)</f>
        <v>7.35</v>
      </c>
      <c r="N53" s="14" t="n">
        <v>44</v>
      </c>
      <c r="O53" s="2" t="s">
        <v>208</v>
      </c>
    </row>
    <row r="54" customFormat="false" ht="23.85" hidden="false" customHeight="false" outlineLevel="0" collapsed="false">
      <c r="A54" s="2" t="s">
        <v>22</v>
      </c>
      <c r="B54" s="2" t="s">
        <v>27</v>
      </c>
      <c r="C54" s="14" t="n">
        <v>3</v>
      </c>
      <c r="D54" s="14" t="n">
        <v>5</v>
      </c>
      <c r="E54" s="2" t="s">
        <v>152</v>
      </c>
      <c r="F54" s="15" t="n">
        <v>8</v>
      </c>
      <c r="G54" s="15" t="n">
        <v>8</v>
      </c>
      <c r="H54" s="15" t="n">
        <v>8</v>
      </c>
      <c r="I54" s="15" t="n">
        <v>8</v>
      </c>
      <c r="J54" s="15" t="n">
        <v>7</v>
      </c>
      <c r="K54" s="15" t="n">
        <v>7</v>
      </c>
      <c r="L54" s="15" t="n">
        <v>8</v>
      </c>
      <c r="M54" s="4" t="n">
        <f aca="false">ROUND(F54*Rubric!$B$4+G54*Rubric!$B$5+H54*Rubric!$B$6+I54*Rubric!$B$7+J54*Rubric!$B$8+K54*Rubric!$B$9+L54*Rubric!$B$10-IF(OR(H54&lt;Rubric!$B$12,K54&lt;Rubric!$B$12),Rubric!$B$13,0),2)</f>
        <v>7.7</v>
      </c>
      <c r="N54" s="14" t="n">
        <v>44</v>
      </c>
      <c r="O54" s="2" t="s">
        <v>259</v>
      </c>
    </row>
    <row r="55" customFormat="false" ht="23.85" hidden="false" customHeight="false" outlineLevel="0" collapsed="false">
      <c r="A55" s="2" t="s">
        <v>31</v>
      </c>
      <c r="B55" s="2" t="s">
        <v>32</v>
      </c>
      <c r="C55" s="14" t="n">
        <v>0</v>
      </c>
      <c r="D55" s="14" t="n">
        <v>1</v>
      </c>
      <c r="E55" s="2" t="s">
        <v>260</v>
      </c>
      <c r="F55" s="15" t="n">
        <v>8</v>
      </c>
      <c r="G55" s="15" t="n">
        <v>8</v>
      </c>
      <c r="H55" s="15" t="n">
        <v>8</v>
      </c>
      <c r="I55" s="15" t="n">
        <v>4</v>
      </c>
      <c r="J55" s="15" t="n">
        <v>8</v>
      </c>
      <c r="K55" s="15" t="n">
        <v>8</v>
      </c>
      <c r="L55" s="15" t="n">
        <v>7</v>
      </c>
      <c r="M55" s="4" t="n">
        <f aca="false">ROUND(F55*Rubric!$B$4+G55*Rubric!$B$5+H55*Rubric!$B$6+I55*Rubric!$B$7+J55*Rubric!$B$8+K55*Rubric!$B$9+L55*Rubric!$B$10-IF(OR(H55&lt;Rubric!$B$12,K55&lt;Rubric!$B$12),Rubric!$B$13,0),2)</f>
        <v>7.5</v>
      </c>
      <c r="N55" s="14" t="n">
        <v>50</v>
      </c>
      <c r="O55" s="2" t="s">
        <v>208</v>
      </c>
    </row>
    <row r="56" customFormat="false" ht="23.85" hidden="false" customHeight="false" outlineLevel="0" collapsed="false">
      <c r="A56" s="2" t="s">
        <v>31</v>
      </c>
      <c r="B56" s="2" t="s">
        <v>32</v>
      </c>
      <c r="C56" s="14" t="n">
        <v>3</v>
      </c>
      <c r="D56" s="14" t="n">
        <v>1</v>
      </c>
      <c r="E56" s="2" t="s">
        <v>153</v>
      </c>
      <c r="F56" s="15" t="n">
        <v>9</v>
      </c>
      <c r="G56" s="15" t="n">
        <v>8</v>
      </c>
      <c r="H56" s="15" t="n">
        <v>8</v>
      </c>
      <c r="I56" s="15" t="n">
        <v>4</v>
      </c>
      <c r="J56" s="15" t="n">
        <v>8</v>
      </c>
      <c r="K56" s="15" t="n">
        <v>8</v>
      </c>
      <c r="L56" s="15" t="n">
        <v>7</v>
      </c>
      <c r="M56" s="4" t="n">
        <f aca="false">ROUND(F56*Rubric!$B$4+G56*Rubric!$B$5+H56*Rubric!$B$6+I56*Rubric!$B$7+J56*Rubric!$B$8+K56*Rubric!$B$9+L56*Rubric!$B$10-IF(OR(H56&lt;Rubric!$B$12,K56&lt;Rubric!$B$12),Rubric!$B$13,0),2)</f>
        <v>7.6</v>
      </c>
      <c r="N56" s="14" t="n">
        <v>50</v>
      </c>
      <c r="O56" s="2" t="s">
        <v>213</v>
      </c>
    </row>
    <row r="57" customFormat="false" ht="23.85" hidden="false" customHeight="false" outlineLevel="0" collapsed="false">
      <c r="A57" s="2" t="s">
        <v>31</v>
      </c>
      <c r="B57" s="2" t="s">
        <v>32</v>
      </c>
      <c r="C57" s="14" t="n">
        <v>0</v>
      </c>
      <c r="D57" s="14" t="n">
        <v>2</v>
      </c>
      <c r="E57" s="2" t="s">
        <v>154</v>
      </c>
      <c r="F57" s="15" t="n">
        <v>9</v>
      </c>
      <c r="G57" s="15" t="n">
        <v>9</v>
      </c>
      <c r="H57" s="15" t="n">
        <v>7</v>
      </c>
      <c r="I57" s="15" t="n">
        <v>3</v>
      </c>
      <c r="J57" s="15" t="n">
        <v>9</v>
      </c>
      <c r="K57" s="15" t="n">
        <v>8</v>
      </c>
      <c r="L57" s="15" t="n">
        <v>8</v>
      </c>
      <c r="M57" s="4" t="n">
        <f aca="false">ROUND(F57*Rubric!$B$4+G57*Rubric!$B$5+H57*Rubric!$B$6+I57*Rubric!$B$7+J57*Rubric!$B$8+K57*Rubric!$B$9+L57*Rubric!$B$10-IF(OR(H57&lt;Rubric!$B$12,K57&lt;Rubric!$B$12),Rubric!$B$13,0),2)</f>
        <v>7.75</v>
      </c>
      <c r="N57" s="14" t="n">
        <v>51</v>
      </c>
      <c r="O57" s="2" t="s">
        <v>208</v>
      </c>
    </row>
    <row r="58" customFormat="false" ht="23.85" hidden="false" customHeight="false" outlineLevel="0" collapsed="false">
      <c r="A58" s="2" t="s">
        <v>31</v>
      </c>
      <c r="B58" s="2" t="s">
        <v>32</v>
      </c>
      <c r="C58" s="14" t="n">
        <v>0</v>
      </c>
      <c r="D58" s="14" t="n">
        <v>3</v>
      </c>
      <c r="E58" s="2" t="s">
        <v>261</v>
      </c>
      <c r="F58" s="15" t="n">
        <v>8</v>
      </c>
      <c r="G58" s="15" t="n">
        <v>8</v>
      </c>
      <c r="H58" s="15" t="n">
        <v>8</v>
      </c>
      <c r="I58" s="15" t="n">
        <v>3</v>
      </c>
      <c r="J58" s="15" t="n">
        <v>7</v>
      </c>
      <c r="K58" s="15" t="n">
        <v>8</v>
      </c>
      <c r="L58" s="15" t="n">
        <v>6</v>
      </c>
      <c r="M58" s="4" t="n">
        <f aca="false">ROUND(F58*Rubric!$B$4+G58*Rubric!$B$5+H58*Rubric!$B$6+I58*Rubric!$B$7+J58*Rubric!$B$8+K58*Rubric!$B$9+L58*Rubric!$B$10-IF(OR(H58&lt;Rubric!$B$12,K58&lt;Rubric!$B$12),Rubric!$B$13,0),2)</f>
        <v>7.15</v>
      </c>
      <c r="N58" s="14" t="n">
        <v>52</v>
      </c>
      <c r="O58" s="2" t="s">
        <v>208</v>
      </c>
    </row>
    <row r="59" customFormat="false" ht="23.85" hidden="false" customHeight="false" outlineLevel="0" collapsed="false">
      <c r="A59" s="2" t="s">
        <v>31</v>
      </c>
      <c r="B59" s="2" t="s">
        <v>32</v>
      </c>
      <c r="C59" s="14" t="n">
        <v>2</v>
      </c>
      <c r="D59" s="14" t="n">
        <v>3</v>
      </c>
      <c r="E59" s="2" t="s">
        <v>155</v>
      </c>
      <c r="F59" s="15" t="n">
        <v>9</v>
      </c>
      <c r="G59" s="15" t="n">
        <v>8</v>
      </c>
      <c r="H59" s="15" t="n">
        <v>8</v>
      </c>
      <c r="I59" s="15" t="n">
        <v>3</v>
      </c>
      <c r="J59" s="15" t="n">
        <v>8</v>
      </c>
      <c r="K59" s="15" t="n">
        <v>8</v>
      </c>
      <c r="L59" s="15" t="n">
        <v>7</v>
      </c>
      <c r="M59" s="4" t="n">
        <f aca="false">ROUND(F59*Rubric!$B$4+G59*Rubric!$B$5+H59*Rubric!$B$6+I59*Rubric!$B$7+J59*Rubric!$B$8+K59*Rubric!$B$9+L59*Rubric!$B$10-IF(OR(H59&lt;Rubric!$B$12,K59&lt;Rubric!$B$12),Rubric!$B$13,0),2)</f>
        <v>7.5</v>
      </c>
      <c r="N59" s="14" t="n">
        <v>52</v>
      </c>
      <c r="O59" s="2" t="s">
        <v>262</v>
      </c>
    </row>
    <row r="60" customFormat="false" ht="23.85" hidden="false" customHeight="false" outlineLevel="0" collapsed="false">
      <c r="A60" s="2" t="s">
        <v>31</v>
      </c>
      <c r="B60" s="2" t="s">
        <v>32</v>
      </c>
      <c r="C60" s="14" t="n">
        <v>0</v>
      </c>
      <c r="D60" s="14" t="n">
        <v>4</v>
      </c>
      <c r="E60" s="2" t="s">
        <v>263</v>
      </c>
      <c r="F60" s="15" t="n">
        <v>8</v>
      </c>
      <c r="G60" s="15" t="n">
        <v>8</v>
      </c>
      <c r="H60" s="15" t="n">
        <v>6</v>
      </c>
      <c r="I60" s="15" t="n">
        <v>10</v>
      </c>
      <c r="J60" s="15" t="n">
        <v>9</v>
      </c>
      <c r="K60" s="15" t="n">
        <v>6</v>
      </c>
      <c r="L60" s="15" t="n">
        <v>9</v>
      </c>
      <c r="M60" s="4" t="n">
        <f aca="false">ROUND(F60*Rubric!$B$4+G60*Rubric!$B$5+H60*Rubric!$B$6+I60*Rubric!$B$7+J60*Rubric!$B$8+K60*Rubric!$B$9+L60*Rubric!$B$10-IF(OR(H60&lt;Rubric!$B$12,K60&lt;Rubric!$B$12),Rubric!$B$13,0),2)</f>
        <v>6.75</v>
      </c>
      <c r="N60" s="14" t="n">
        <v>53</v>
      </c>
      <c r="O60" s="2" t="s">
        <v>208</v>
      </c>
    </row>
    <row r="61" customFormat="false" ht="23.85" hidden="false" customHeight="false" outlineLevel="0" collapsed="false">
      <c r="A61" s="2" t="s">
        <v>31</v>
      </c>
      <c r="B61" s="2" t="s">
        <v>32</v>
      </c>
      <c r="C61" s="14" t="n">
        <v>1</v>
      </c>
      <c r="D61" s="14" t="n">
        <v>4</v>
      </c>
      <c r="E61" s="2" t="s">
        <v>156</v>
      </c>
      <c r="F61" s="15" t="n">
        <v>8</v>
      </c>
      <c r="G61" s="15" t="n">
        <v>8</v>
      </c>
      <c r="H61" s="15" t="n">
        <v>7</v>
      </c>
      <c r="I61" s="15" t="n">
        <v>10</v>
      </c>
      <c r="J61" s="15" t="n">
        <v>9</v>
      </c>
      <c r="K61" s="15" t="n">
        <v>7</v>
      </c>
      <c r="L61" s="15" t="n">
        <v>9</v>
      </c>
      <c r="M61" s="4" t="n">
        <f aca="false">ROUND(F61*Rubric!$B$4+G61*Rubric!$B$5+H61*Rubric!$B$6+I61*Rubric!$B$7+J61*Rubric!$B$8+K61*Rubric!$B$9+L61*Rubric!$B$10-IF(OR(H61&lt;Rubric!$B$12,K61&lt;Rubric!$B$12),Rubric!$B$13,0),2)</f>
        <v>8.1</v>
      </c>
      <c r="N61" s="14" t="n">
        <v>53</v>
      </c>
      <c r="O61" s="2" t="s">
        <v>264</v>
      </c>
    </row>
    <row r="62" customFormat="false" ht="23.85" hidden="false" customHeight="false" outlineLevel="0" collapsed="false">
      <c r="A62" s="2" t="s">
        <v>31</v>
      </c>
      <c r="B62" s="2" t="s">
        <v>32</v>
      </c>
      <c r="C62" s="14" t="n">
        <v>0</v>
      </c>
      <c r="D62" s="14" t="n">
        <v>5</v>
      </c>
      <c r="E62" s="2" t="s">
        <v>265</v>
      </c>
      <c r="F62" s="15" t="n">
        <v>8</v>
      </c>
      <c r="G62" s="15" t="n">
        <v>7</v>
      </c>
      <c r="H62" s="15" t="n">
        <v>7</v>
      </c>
      <c r="I62" s="15" t="n">
        <v>3</v>
      </c>
      <c r="J62" s="15" t="n">
        <v>7</v>
      </c>
      <c r="K62" s="15" t="n">
        <v>7</v>
      </c>
      <c r="L62" s="15" t="n">
        <v>6</v>
      </c>
      <c r="M62" s="4" t="n">
        <f aca="false">ROUND(F62*Rubric!$B$4+G62*Rubric!$B$5+H62*Rubric!$B$6+I62*Rubric!$B$7+J62*Rubric!$B$8+K62*Rubric!$B$9+L62*Rubric!$B$10-IF(OR(H62&lt;Rubric!$B$12,K62&lt;Rubric!$B$12),Rubric!$B$13,0),2)</f>
        <v>6.6</v>
      </c>
      <c r="N62" s="14" t="n">
        <v>54</v>
      </c>
      <c r="O62" s="2" t="s">
        <v>208</v>
      </c>
    </row>
    <row r="63" customFormat="false" ht="23.85" hidden="false" customHeight="false" outlineLevel="0" collapsed="false">
      <c r="A63" s="2" t="s">
        <v>31</v>
      </c>
      <c r="B63" s="2" t="s">
        <v>32</v>
      </c>
      <c r="C63" s="14" t="n">
        <v>1</v>
      </c>
      <c r="D63" s="14" t="n">
        <v>5</v>
      </c>
      <c r="E63" s="2" t="s">
        <v>266</v>
      </c>
      <c r="F63" s="15" t="n">
        <v>8</v>
      </c>
      <c r="G63" s="15" t="n">
        <v>7</v>
      </c>
      <c r="H63" s="15" t="n">
        <v>8</v>
      </c>
      <c r="I63" s="15" t="n">
        <v>3</v>
      </c>
      <c r="J63" s="15" t="n">
        <v>7</v>
      </c>
      <c r="K63" s="15" t="n">
        <v>7</v>
      </c>
      <c r="L63" s="15" t="n">
        <v>7</v>
      </c>
      <c r="M63" s="4" t="n">
        <f aca="false">ROUND(F63*Rubric!$B$4+G63*Rubric!$B$5+H63*Rubric!$B$6+I63*Rubric!$B$7+J63*Rubric!$B$8+K63*Rubric!$B$9+L63*Rubric!$B$10-IF(OR(H63&lt;Rubric!$B$12,K63&lt;Rubric!$B$12),Rubric!$B$13,0),2)</f>
        <v>6.9</v>
      </c>
      <c r="N63" s="14" t="n">
        <v>54</v>
      </c>
      <c r="O63" s="2" t="s">
        <v>267</v>
      </c>
    </row>
    <row r="64" customFormat="false" ht="23.85" hidden="false" customHeight="false" outlineLevel="0" collapsed="false">
      <c r="A64" s="2" t="s">
        <v>31</v>
      </c>
      <c r="B64" s="2" t="s">
        <v>32</v>
      </c>
      <c r="C64" s="14" t="n">
        <v>2</v>
      </c>
      <c r="D64" s="14" t="n">
        <v>5</v>
      </c>
      <c r="E64" s="2" t="s">
        <v>268</v>
      </c>
      <c r="F64" s="15" t="n">
        <v>9</v>
      </c>
      <c r="G64" s="15" t="n">
        <v>7</v>
      </c>
      <c r="H64" s="15" t="n">
        <v>8</v>
      </c>
      <c r="I64" s="15" t="n">
        <v>3</v>
      </c>
      <c r="J64" s="15" t="n">
        <v>8</v>
      </c>
      <c r="K64" s="15" t="n">
        <v>8</v>
      </c>
      <c r="L64" s="15" t="n">
        <v>7</v>
      </c>
      <c r="M64" s="4" t="n">
        <f aca="false">ROUND(F64*Rubric!$B$4+G64*Rubric!$B$5+H64*Rubric!$B$6+I64*Rubric!$B$7+J64*Rubric!$B$8+K64*Rubric!$B$9+L64*Rubric!$B$10-IF(OR(H64&lt;Rubric!$B$12,K64&lt;Rubric!$B$12),Rubric!$B$13,0),2)</f>
        <v>7.3</v>
      </c>
      <c r="N64" s="14" t="n">
        <v>54</v>
      </c>
      <c r="O64" s="2" t="s">
        <v>269</v>
      </c>
    </row>
    <row r="65" customFormat="false" ht="23.85" hidden="false" customHeight="false" outlineLevel="0" collapsed="false">
      <c r="A65" s="2" t="s">
        <v>31</v>
      </c>
      <c r="B65" s="2" t="s">
        <v>32</v>
      </c>
      <c r="C65" s="14" t="n">
        <v>3</v>
      </c>
      <c r="D65" s="14" t="n">
        <v>5</v>
      </c>
      <c r="E65" s="2" t="s">
        <v>157</v>
      </c>
      <c r="F65" s="15" t="n">
        <v>9</v>
      </c>
      <c r="G65" s="15" t="n">
        <v>8</v>
      </c>
      <c r="H65" s="15" t="n">
        <v>8</v>
      </c>
      <c r="I65" s="15" t="n">
        <v>3</v>
      </c>
      <c r="J65" s="15" t="n">
        <v>8</v>
      </c>
      <c r="K65" s="15" t="n">
        <v>8</v>
      </c>
      <c r="L65" s="15" t="n">
        <v>7</v>
      </c>
      <c r="M65" s="4" t="n">
        <f aca="false">ROUND(F65*Rubric!$B$4+G65*Rubric!$B$5+H65*Rubric!$B$6+I65*Rubric!$B$7+J65*Rubric!$B$8+K65*Rubric!$B$9+L65*Rubric!$B$10-IF(OR(H65&lt;Rubric!$B$12,K65&lt;Rubric!$B$12),Rubric!$B$13,0),2)</f>
        <v>7.5</v>
      </c>
      <c r="N65" s="14" t="n">
        <v>54</v>
      </c>
      <c r="O65" s="2" t="s">
        <v>213</v>
      </c>
    </row>
    <row r="66" customFormat="false" ht="23.85" hidden="false" customHeight="false" outlineLevel="0" collapsed="false">
      <c r="A66" s="2" t="s">
        <v>36</v>
      </c>
      <c r="B66" s="2" t="s">
        <v>37</v>
      </c>
      <c r="C66" s="14" t="n">
        <v>0</v>
      </c>
      <c r="D66" s="14" t="n">
        <v>1</v>
      </c>
      <c r="E66" s="2" t="s">
        <v>270</v>
      </c>
      <c r="F66" s="15" t="n">
        <v>8</v>
      </c>
      <c r="G66" s="15" t="n">
        <v>7</v>
      </c>
      <c r="H66" s="15" t="n">
        <v>6</v>
      </c>
      <c r="I66" s="15" t="n">
        <v>3</v>
      </c>
      <c r="J66" s="15" t="n">
        <v>8</v>
      </c>
      <c r="K66" s="15" t="n">
        <v>6</v>
      </c>
      <c r="L66" s="15" t="n">
        <v>5</v>
      </c>
      <c r="M66" s="4" t="n">
        <f aca="false">ROUND(F66*Rubric!$B$4+G66*Rubric!$B$5+H66*Rubric!$B$6+I66*Rubric!$B$7+J66*Rubric!$B$8+K66*Rubric!$B$9+L66*Rubric!$B$10-IF(OR(H66&lt;Rubric!$B$12,K66&lt;Rubric!$B$12),Rubric!$B$13,0),2)</f>
        <v>5.3</v>
      </c>
      <c r="N66" s="14" t="n">
        <v>60</v>
      </c>
      <c r="O66" s="2" t="s">
        <v>208</v>
      </c>
    </row>
    <row r="67" customFormat="false" ht="23.85" hidden="false" customHeight="false" outlineLevel="0" collapsed="false">
      <c r="A67" s="2" t="s">
        <v>36</v>
      </c>
      <c r="B67" s="2" t="s">
        <v>37</v>
      </c>
      <c r="C67" s="14" t="n">
        <v>1</v>
      </c>
      <c r="D67" s="14" t="n">
        <v>1</v>
      </c>
      <c r="E67" s="2" t="s">
        <v>271</v>
      </c>
      <c r="F67" s="15" t="n">
        <v>8</v>
      </c>
      <c r="G67" s="15" t="n">
        <v>7</v>
      </c>
      <c r="H67" s="15" t="n">
        <v>8</v>
      </c>
      <c r="I67" s="15" t="n">
        <v>3</v>
      </c>
      <c r="J67" s="15" t="n">
        <v>8</v>
      </c>
      <c r="K67" s="15" t="n">
        <v>8</v>
      </c>
      <c r="L67" s="15" t="n">
        <v>6</v>
      </c>
      <c r="M67" s="4" t="n">
        <f aca="false">ROUND(F67*Rubric!$B$4+G67*Rubric!$B$5+H67*Rubric!$B$6+I67*Rubric!$B$7+J67*Rubric!$B$8+K67*Rubric!$B$9+L67*Rubric!$B$10-IF(OR(H67&lt;Rubric!$B$12,K67&lt;Rubric!$B$12),Rubric!$B$13,0),2)</f>
        <v>7.1</v>
      </c>
      <c r="N67" s="14" t="n">
        <v>60</v>
      </c>
      <c r="O67" s="2" t="s">
        <v>272</v>
      </c>
    </row>
    <row r="68" customFormat="false" ht="23.85" hidden="false" customHeight="false" outlineLevel="0" collapsed="false">
      <c r="A68" s="2" t="s">
        <v>36</v>
      </c>
      <c r="B68" s="2" t="s">
        <v>37</v>
      </c>
      <c r="C68" s="14" t="n">
        <v>2</v>
      </c>
      <c r="D68" s="14" t="n">
        <v>1</v>
      </c>
      <c r="E68" s="2" t="s">
        <v>273</v>
      </c>
      <c r="F68" s="15" t="n">
        <v>8</v>
      </c>
      <c r="G68" s="15" t="n">
        <v>7</v>
      </c>
      <c r="H68" s="15" t="n">
        <v>8</v>
      </c>
      <c r="I68" s="15" t="n">
        <v>3</v>
      </c>
      <c r="J68" s="15" t="n">
        <v>8</v>
      </c>
      <c r="K68" s="15" t="n">
        <v>8</v>
      </c>
      <c r="L68" s="15" t="n">
        <v>7</v>
      </c>
      <c r="M68" s="4" t="n">
        <f aca="false">ROUND(F68*Rubric!$B$4+G68*Rubric!$B$5+H68*Rubric!$B$6+I68*Rubric!$B$7+J68*Rubric!$B$8+K68*Rubric!$B$9+L68*Rubric!$B$10-IF(OR(H68&lt;Rubric!$B$12,K68&lt;Rubric!$B$12),Rubric!$B$13,0),2)</f>
        <v>7.2</v>
      </c>
      <c r="N68" s="14" t="n">
        <v>60</v>
      </c>
      <c r="O68" s="2" t="s">
        <v>274</v>
      </c>
    </row>
    <row r="69" customFormat="false" ht="23.85" hidden="false" customHeight="false" outlineLevel="0" collapsed="false">
      <c r="A69" s="2" t="s">
        <v>36</v>
      </c>
      <c r="B69" s="2" t="s">
        <v>37</v>
      </c>
      <c r="C69" s="14" t="n">
        <v>3</v>
      </c>
      <c r="D69" s="14" t="n">
        <v>1</v>
      </c>
      <c r="E69" s="2" t="s">
        <v>158</v>
      </c>
      <c r="F69" s="15" t="n">
        <v>9</v>
      </c>
      <c r="G69" s="15" t="n">
        <v>8</v>
      </c>
      <c r="H69" s="15" t="n">
        <v>8</v>
      </c>
      <c r="I69" s="15" t="n">
        <v>3</v>
      </c>
      <c r="J69" s="15" t="n">
        <v>8</v>
      </c>
      <c r="K69" s="15" t="n">
        <v>8</v>
      </c>
      <c r="L69" s="15" t="n">
        <v>8</v>
      </c>
      <c r="M69" s="4" t="n">
        <f aca="false">ROUND(F69*Rubric!$B$4+G69*Rubric!$B$5+H69*Rubric!$B$6+I69*Rubric!$B$7+J69*Rubric!$B$8+K69*Rubric!$B$9+L69*Rubric!$B$10-IF(OR(H69&lt;Rubric!$B$12,K69&lt;Rubric!$B$12),Rubric!$B$13,0),2)</f>
        <v>7.6</v>
      </c>
      <c r="N69" s="14" t="n">
        <v>60</v>
      </c>
      <c r="O69" s="2" t="s">
        <v>275</v>
      </c>
    </row>
    <row r="70" customFormat="false" ht="23.85" hidden="false" customHeight="false" outlineLevel="0" collapsed="false">
      <c r="A70" s="2" t="s">
        <v>36</v>
      </c>
      <c r="B70" s="2" t="s">
        <v>37</v>
      </c>
      <c r="C70" s="14" t="n">
        <v>0</v>
      </c>
      <c r="D70" s="14" t="n">
        <v>2</v>
      </c>
      <c r="E70" s="2" t="s">
        <v>276</v>
      </c>
      <c r="F70" s="15" t="n">
        <v>8</v>
      </c>
      <c r="G70" s="15" t="n">
        <v>9</v>
      </c>
      <c r="H70" s="15" t="n">
        <v>7</v>
      </c>
      <c r="I70" s="15" t="n">
        <v>3</v>
      </c>
      <c r="J70" s="15" t="n">
        <v>9</v>
      </c>
      <c r="K70" s="15" t="n">
        <v>7</v>
      </c>
      <c r="L70" s="15" t="n">
        <v>8</v>
      </c>
      <c r="M70" s="4" t="n">
        <f aca="false">ROUND(F70*Rubric!$B$4+G70*Rubric!$B$5+H70*Rubric!$B$6+I70*Rubric!$B$7+J70*Rubric!$B$8+K70*Rubric!$B$9+L70*Rubric!$B$10-IF(OR(H70&lt;Rubric!$B$12,K70&lt;Rubric!$B$12),Rubric!$B$13,0),2)</f>
        <v>7.5</v>
      </c>
      <c r="N70" s="14" t="n">
        <v>61</v>
      </c>
      <c r="O70" s="2" t="s">
        <v>208</v>
      </c>
    </row>
    <row r="71" customFormat="false" ht="23.85" hidden="false" customHeight="false" outlineLevel="0" collapsed="false">
      <c r="A71" s="2" t="s">
        <v>36</v>
      </c>
      <c r="B71" s="2" t="s">
        <v>37</v>
      </c>
      <c r="C71" s="14" t="n">
        <v>3</v>
      </c>
      <c r="D71" s="14" t="n">
        <v>2</v>
      </c>
      <c r="E71" s="2" t="s">
        <v>159</v>
      </c>
      <c r="F71" s="15" t="n">
        <v>9</v>
      </c>
      <c r="G71" s="15" t="n">
        <v>9</v>
      </c>
      <c r="H71" s="15" t="n">
        <v>7</v>
      </c>
      <c r="I71" s="15" t="n">
        <v>3</v>
      </c>
      <c r="J71" s="15" t="n">
        <v>9</v>
      </c>
      <c r="K71" s="15" t="n">
        <v>7</v>
      </c>
      <c r="L71" s="15" t="n">
        <v>8</v>
      </c>
      <c r="M71" s="4" t="n">
        <f aca="false">ROUND(F71*Rubric!$B$4+G71*Rubric!$B$5+H71*Rubric!$B$6+I71*Rubric!$B$7+J71*Rubric!$B$8+K71*Rubric!$B$9+L71*Rubric!$B$10-IF(OR(H71&lt;Rubric!$B$12,K71&lt;Rubric!$B$12),Rubric!$B$13,0),2)</f>
        <v>7.6</v>
      </c>
      <c r="N71" s="14" t="n">
        <v>61</v>
      </c>
      <c r="O71" s="2" t="s">
        <v>213</v>
      </c>
    </row>
    <row r="72" customFormat="false" ht="23.85" hidden="false" customHeight="false" outlineLevel="0" collapsed="false">
      <c r="A72" s="2" t="s">
        <v>36</v>
      </c>
      <c r="B72" s="2" t="s">
        <v>37</v>
      </c>
      <c r="C72" s="14" t="n">
        <v>0</v>
      </c>
      <c r="D72" s="14" t="n">
        <v>3</v>
      </c>
      <c r="E72" s="2" t="s">
        <v>160</v>
      </c>
      <c r="F72" s="15" t="n">
        <v>9</v>
      </c>
      <c r="G72" s="15" t="n">
        <v>8</v>
      </c>
      <c r="H72" s="15" t="n">
        <v>8</v>
      </c>
      <c r="I72" s="15" t="n">
        <v>3</v>
      </c>
      <c r="J72" s="15" t="n">
        <v>8</v>
      </c>
      <c r="K72" s="15" t="n">
        <v>8</v>
      </c>
      <c r="L72" s="15" t="n">
        <v>8</v>
      </c>
      <c r="M72" s="4" t="n">
        <f aca="false">ROUND(F72*Rubric!$B$4+G72*Rubric!$B$5+H72*Rubric!$B$6+I72*Rubric!$B$7+J72*Rubric!$B$8+K72*Rubric!$B$9+L72*Rubric!$B$10-IF(OR(H72&lt;Rubric!$B$12,K72&lt;Rubric!$B$12),Rubric!$B$13,0),2)</f>
        <v>7.6</v>
      </c>
      <c r="N72" s="14" t="n">
        <v>62</v>
      </c>
      <c r="O72" s="2" t="s">
        <v>208</v>
      </c>
    </row>
    <row r="73" customFormat="false" ht="23.85" hidden="false" customHeight="false" outlineLevel="0" collapsed="false">
      <c r="A73" s="2" t="s">
        <v>36</v>
      </c>
      <c r="B73" s="2" t="s">
        <v>37</v>
      </c>
      <c r="C73" s="14" t="n">
        <v>0</v>
      </c>
      <c r="D73" s="14" t="n">
        <v>4</v>
      </c>
      <c r="E73" s="2" t="s">
        <v>277</v>
      </c>
      <c r="F73" s="15" t="n">
        <v>8</v>
      </c>
      <c r="G73" s="15" t="n">
        <v>7</v>
      </c>
      <c r="H73" s="15" t="n">
        <v>8</v>
      </c>
      <c r="I73" s="15" t="n">
        <v>3</v>
      </c>
      <c r="J73" s="15" t="n">
        <v>7</v>
      </c>
      <c r="K73" s="15" t="n">
        <v>7</v>
      </c>
      <c r="L73" s="15" t="n">
        <v>6</v>
      </c>
      <c r="M73" s="4" t="n">
        <f aca="false">ROUND(F73*Rubric!$B$4+G73*Rubric!$B$5+H73*Rubric!$B$6+I73*Rubric!$B$7+J73*Rubric!$B$8+K73*Rubric!$B$9+L73*Rubric!$B$10-IF(OR(H73&lt;Rubric!$B$12,K73&lt;Rubric!$B$12),Rubric!$B$13,0),2)</f>
        <v>6.8</v>
      </c>
      <c r="N73" s="14" t="n">
        <v>63</v>
      </c>
      <c r="O73" s="2" t="s">
        <v>208</v>
      </c>
    </row>
    <row r="74" customFormat="false" ht="23.85" hidden="false" customHeight="false" outlineLevel="0" collapsed="false">
      <c r="A74" s="2" t="s">
        <v>36</v>
      </c>
      <c r="B74" s="2" t="s">
        <v>37</v>
      </c>
      <c r="C74" s="14" t="n">
        <v>1</v>
      </c>
      <c r="D74" s="14" t="n">
        <v>4</v>
      </c>
      <c r="E74" s="2" t="s">
        <v>278</v>
      </c>
      <c r="F74" s="15" t="n">
        <v>8</v>
      </c>
      <c r="G74" s="15" t="n">
        <v>7</v>
      </c>
      <c r="H74" s="15" t="n">
        <v>8</v>
      </c>
      <c r="I74" s="15" t="n">
        <v>3</v>
      </c>
      <c r="J74" s="15" t="n">
        <v>7</v>
      </c>
      <c r="K74" s="15" t="n">
        <v>7</v>
      </c>
      <c r="L74" s="15" t="n">
        <v>6</v>
      </c>
      <c r="M74" s="4" t="n">
        <f aca="false">ROUND(F74*Rubric!$B$4+G74*Rubric!$B$5+H74*Rubric!$B$6+I74*Rubric!$B$7+J74*Rubric!$B$8+K74*Rubric!$B$9+L74*Rubric!$B$10-IF(OR(H74&lt;Rubric!$B$12,K74&lt;Rubric!$B$12),Rubric!$B$13,0),2)</f>
        <v>6.8</v>
      </c>
      <c r="N74" s="14" t="n">
        <v>63</v>
      </c>
      <c r="O74" s="2" t="s">
        <v>279</v>
      </c>
    </row>
    <row r="75" customFormat="false" ht="23.85" hidden="false" customHeight="false" outlineLevel="0" collapsed="false">
      <c r="A75" s="2" t="s">
        <v>36</v>
      </c>
      <c r="B75" s="2" t="s">
        <v>37</v>
      </c>
      <c r="C75" s="14" t="n">
        <v>2</v>
      </c>
      <c r="D75" s="14" t="n">
        <v>4</v>
      </c>
      <c r="E75" s="2" t="s">
        <v>161</v>
      </c>
      <c r="F75" s="15" t="n">
        <v>9</v>
      </c>
      <c r="G75" s="15" t="n">
        <v>8</v>
      </c>
      <c r="H75" s="15" t="n">
        <v>8</v>
      </c>
      <c r="I75" s="15" t="n">
        <v>3</v>
      </c>
      <c r="J75" s="15" t="n">
        <v>8</v>
      </c>
      <c r="K75" s="15" t="n">
        <v>8</v>
      </c>
      <c r="L75" s="15" t="n">
        <v>7</v>
      </c>
      <c r="M75" s="4" t="n">
        <f aca="false">ROUND(F75*Rubric!$B$4+G75*Rubric!$B$5+H75*Rubric!$B$6+I75*Rubric!$B$7+J75*Rubric!$B$8+K75*Rubric!$B$9+L75*Rubric!$B$10-IF(OR(H75&lt;Rubric!$B$12,K75&lt;Rubric!$B$12),Rubric!$B$13,0),2)</f>
        <v>7.5</v>
      </c>
      <c r="N75" s="14" t="n">
        <v>63</v>
      </c>
      <c r="O75" s="2" t="s">
        <v>280</v>
      </c>
    </row>
    <row r="76" customFormat="false" ht="23.85" hidden="false" customHeight="false" outlineLevel="0" collapsed="false">
      <c r="A76" s="2" t="s">
        <v>36</v>
      </c>
      <c r="B76" s="2" t="s">
        <v>37</v>
      </c>
      <c r="C76" s="14" t="n">
        <v>0</v>
      </c>
      <c r="D76" s="14" t="n">
        <v>5</v>
      </c>
      <c r="E76" s="2" t="s">
        <v>281</v>
      </c>
      <c r="F76" s="15" t="n">
        <v>8</v>
      </c>
      <c r="G76" s="15" t="n">
        <v>6</v>
      </c>
      <c r="H76" s="15" t="n">
        <v>8</v>
      </c>
      <c r="I76" s="15" t="n">
        <v>8</v>
      </c>
      <c r="J76" s="15" t="n">
        <v>6</v>
      </c>
      <c r="K76" s="15" t="n">
        <v>7</v>
      </c>
      <c r="L76" s="15" t="n">
        <v>7</v>
      </c>
      <c r="M76" s="4" t="n">
        <f aca="false">ROUND(F76*Rubric!$B$4+G76*Rubric!$B$5+H76*Rubric!$B$6+I76*Rubric!$B$7+J76*Rubric!$B$8+K76*Rubric!$B$9+L76*Rubric!$B$10-IF(OR(H76&lt;Rubric!$B$12,K76&lt;Rubric!$B$12),Rubric!$B$13,0),2)</f>
        <v>7.05</v>
      </c>
      <c r="N76" s="14" t="n">
        <v>64</v>
      </c>
      <c r="O76" s="2" t="s">
        <v>208</v>
      </c>
    </row>
    <row r="77" customFormat="false" ht="23.85" hidden="false" customHeight="false" outlineLevel="0" collapsed="false">
      <c r="A77" s="2" t="s">
        <v>36</v>
      </c>
      <c r="B77" s="2" t="s">
        <v>37</v>
      </c>
      <c r="C77" s="14" t="n">
        <v>2</v>
      </c>
      <c r="D77" s="14" t="n">
        <v>5</v>
      </c>
      <c r="E77" s="2" t="s">
        <v>162</v>
      </c>
      <c r="F77" s="15" t="n">
        <v>8</v>
      </c>
      <c r="G77" s="15" t="n">
        <v>7</v>
      </c>
      <c r="H77" s="15" t="n">
        <v>8</v>
      </c>
      <c r="I77" s="15" t="n">
        <v>8</v>
      </c>
      <c r="J77" s="15" t="n">
        <v>7</v>
      </c>
      <c r="K77" s="15" t="n">
        <v>8</v>
      </c>
      <c r="L77" s="15" t="n">
        <v>8</v>
      </c>
      <c r="M77" s="4" t="n">
        <f aca="false">ROUND(F77*Rubric!$B$4+G77*Rubric!$B$5+H77*Rubric!$B$6+I77*Rubric!$B$7+J77*Rubric!$B$8+K77*Rubric!$B$9+L77*Rubric!$B$10-IF(OR(H77&lt;Rubric!$B$12,K77&lt;Rubric!$B$12),Rubric!$B$13,0),2)</f>
        <v>7.65</v>
      </c>
      <c r="N77" s="14" t="n">
        <v>64</v>
      </c>
      <c r="O77" s="2" t="s">
        <v>282</v>
      </c>
    </row>
    <row r="78" customFormat="false" ht="35.05" hidden="false" customHeight="false" outlineLevel="0" collapsed="false">
      <c r="A78" s="2" t="s">
        <v>41</v>
      </c>
      <c r="B78" s="2" t="s">
        <v>42</v>
      </c>
      <c r="C78" s="14" t="n">
        <v>0</v>
      </c>
      <c r="D78" s="14" t="n">
        <v>1</v>
      </c>
      <c r="E78" s="2" t="s">
        <v>163</v>
      </c>
      <c r="F78" s="15" t="n">
        <v>9</v>
      </c>
      <c r="G78" s="15" t="n">
        <v>9</v>
      </c>
      <c r="H78" s="15" t="n">
        <v>8</v>
      </c>
      <c r="I78" s="15" t="n">
        <v>3</v>
      </c>
      <c r="J78" s="15" t="n">
        <v>9</v>
      </c>
      <c r="K78" s="15" t="n">
        <v>8</v>
      </c>
      <c r="L78" s="15" t="n">
        <v>9</v>
      </c>
      <c r="M78" s="4" t="n">
        <f aca="false">ROUND(F78*Rubric!$B$4+G78*Rubric!$B$5+H78*Rubric!$B$6+I78*Rubric!$B$7+J78*Rubric!$B$8+K78*Rubric!$B$9+L78*Rubric!$B$10-IF(OR(H78&lt;Rubric!$B$12,K78&lt;Rubric!$B$12),Rubric!$B$13,0),2)</f>
        <v>8.05</v>
      </c>
      <c r="N78" s="14" t="n">
        <v>70</v>
      </c>
      <c r="O78" s="2" t="s">
        <v>208</v>
      </c>
    </row>
    <row r="79" customFormat="false" ht="35.05" hidden="false" customHeight="false" outlineLevel="0" collapsed="false">
      <c r="A79" s="2" t="s">
        <v>41</v>
      </c>
      <c r="B79" s="2" t="s">
        <v>42</v>
      </c>
      <c r="C79" s="14" t="n">
        <v>0</v>
      </c>
      <c r="D79" s="14" t="n">
        <v>2</v>
      </c>
      <c r="E79" s="2" t="s">
        <v>164</v>
      </c>
      <c r="F79" s="15" t="n">
        <v>8</v>
      </c>
      <c r="G79" s="15" t="n">
        <v>9</v>
      </c>
      <c r="H79" s="15" t="n">
        <v>8</v>
      </c>
      <c r="I79" s="15" t="n">
        <v>3</v>
      </c>
      <c r="J79" s="15" t="n">
        <v>9</v>
      </c>
      <c r="K79" s="15" t="n">
        <v>8</v>
      </c>
      <c r="L79" s="15" t="n">
        <v>8</v>
      </c>
      <c r="M79" s="4" t="n">
        <f aca="false">ROUND(F79*Rubric!$B$4+G79*Rubric!$B$5+H79*Rubric!$B$6+I79*Rubric!$B$7+J79*Rubric!$B$8+K79*Rubric!$B$9+L79*Rubric!$B$10-IF(OR(H79&lt;Rubric!$B$12,K79&lt;Rubric!$B$12),Rubric!$B$13,0),2)</f>
        <v>7.85</v>
      </c>
      <c r="N79" s="14" t="n">
        <v>71</v>
      </c>
      <c r="O79" s="2" t="s">
        <v>208</v>
      </c>
    </row>
    <row r="80" customFormat="false" ht="35.05" hidden="false" customHeight="false" outlineLevel="0" collapsed="false">
      <c r="A80" s="2" t="s">
        <v>41</v>
      </c>
      <c r="B80" s="2" t="s">
        <v>42</v>
      </c>
      <c r="C80" s="14" t="n">
        <v>0</v>
      </c>
      <c r="D80" s="14" t="n">
        <v>3</v>
      </c>
      <c r="E80" s="2" t="s">
        <v>283</v>
      </c>
      <c r="F80" s="15" t="n">
        <v>7</v>
      </c>
      <c r="G80" s="15" t="n">
        <v>7</v>
      </c>
      <c r="H80" s="15" t="n">
        <v>6</v>
      </c>
      <c r="I80" s="15" t="n">
        <v>2</v>
      </c>
      <c r="J80" s="15" t="n">
        <v>8</v>
      </c>
      <c r="K80" s="15" t="n">
        <v>6</v>
      </c>
      <c r="L80" s="15" t="n">
        <v>6</v>
      </c>
      <c r="M80" s="4" t="n">
        <f aca="false">ROUND(F80*Rubric!$B$4+G80*Rubric!$B$5+H80*Rubric!$B$6+I80*Rubric!$B$7+J80*Rubric!$B$8+K80*Rubric!$B$9+L80*Rubric!$B$10-IF(OR(H80&lt;Rubric!$B$12,K80&lt;Rubric!$B$12),Rubric!$B$13,0),2)</f>
        <v>5.2</v>
      </c>
      <c r="N80" s="14" t="n">
        <v>72</v>
      </c>
      <c r="O80" s="2" t="s">
        <v>208</v>
      </c>
    </row>
    <row r="81" customFormat="false" ht="35.05" hidden="false" customHeight="false" outlineLevel="0" collapsed="false">
      <c r="A81" s="2" t="s">
        <v>41</v>
      </c>
      <c r="B81" s="2" t="s">
        <v>42</v>
      </c>
      <c r="C81" s="14" t="n">
        <v>1</v>
      </c>
      <c r="D81" s="14" t="n">
        <v>3</v>
      </c>
      <c r="E81" s="2" t="s">
        <v>165</v>
      </c>
      <c r="F81" s="15" t="n">
        <v>8</v>
      </c>
      <c r="G81" s="15" t="n">
        <v>8</v>
      </c>
      <c r="H81" s="15" t="n">
        <v>8</v>
      </c>
      <c r="I81" s="15" t="n">
        <v>3</v>
      </c>
      <c r="J81" s="15" t="n">
        <v>8</v>
      </c>
      <c r="K81" s="15" t="n">
        <v>8</v>
      </c>
      <c r="L81" s="15" t="n">
        <v>8</v>
      </c>
      <c r="M81" s="4" t="n">
        <f aca="false">ROUND(F81*Rubric!$B$4+G81*Rubric!$B$5+H81*Rubric!$B$6+I81*Rubric!$B$7+J81*Rubric!$B$8+K81*Rubric!$B$9+L81*Rubric!$B$10-IF(OR(H81&lt;Rubric!$B$12,K81&lt;Rubric!$B$12),Rubric!$B$13,0),2)</f>
        <v>7.5</v>
      </c>
      <c r="N81" s="14" t="n">
        <v>72</v>
      </c>
      <c r="O81" s="2" t="s">
        <v>284</v>
      </c>
    </row>
    <row r="82" customFormat="false" ht="35.05" hidden="false" customHeight="false" outlineLevel="0" collapsed="false">
      <c r="A82" s="2" t="s">
        <v>41</v>
      </c>
      <c r="B82" s="2" t="s">
        <v>42</v>
      </c>
      <c r="C82" s="14" t="n">
        <v>0</v>
      </c>
      <c r="D82" s="14" t="n">
        <v>4</v>
      </c>
      <c r="E82" s="2" t="s">
        <v>285</v>
      </c>
      <c r="F82" s="15" t="n">
        <v>8</v>
      </c>
      <c r="G82" s="15" t="n">
        <v>7</v>
      </c>
      <c r="H82" s="15" t="n">
        <v>8</v>
      </c>
      <c r="I82" s="15" t="n">
        <v>3</v>
      </c>
      <c r="J82" s="15" t="n">
        <v>7</v>
      </c>
      <c r="K82" s="15" t="n">
        <v>7</v>
      </c>
      <c r="L82" s="15" t="n">
        <v>7</v>
      </c>
      <c r="M82" s="4" t="n">
        <f aca="false">ROUND(F82*Rubric!$B$4+G82*Rubric!$B$5+H82*Rubric!$B$6+I82*Rubric!$B$7+J82*Rubric!$B$8+K82*Rubric!$B$9+L82*Rubric!$B$10-IF(OR(H82&lt;Rubric!$B$12,K82&lt;Rubric!$B$12),Rubric!$B$13,0),2)</f>
        <v>6.9</v>
      </c>
      <c r="N82" s="14" t="n">
        <v>73</v>
      </c>
      <c r="O82" s="2" t="s">
        <v>208</v>
      </c>
    </row>
    <row r="83" customFormat="false" ht="35.05" hidden="false" customHeight="false" outlineLevel="0" collapsed="false">
      <c r="A83" s="2" t="s">
        <v>41</v>
      </c>
      <c r="B83" s="2" t="s">
        <v>42</v>
      </c>
      <c r="C83" s="14" t="n">
        <v>1</v>
      </c>
      <c r="D83" s="14" t="n">
        <v>4</v>
      </c>
      <c r="E83" s="2" t="s">
        <v>166</v>
      </c>
      <c r="F83" s="15" t="n">
        <v>9</v>
      </c>
      <c r="G83" s="15" t="n">
        <v>8</v>
      </c>
      <c r="H83" s="15" t="n">
        <v>8</v>
      </c>
      <c r="I83" s="15" t="n">
        <v>3</v>
      </c>
      <c r="J83" s="15" t="n">
        <v>7</v>
      </c>
      <c r="K83" s="15" t="n">
        <v>8</v>
      </c>
      <c r="L83" s="15" t="n">
        <v>9</v>
      </c>
      <c r="M83" s="4" t="n">
        <f aca="false">ROUND(F83*Rubric!$B$4+G83*Rubric!$B$5+H83*Rubric!$B$6+I83*Rubric!$B$7+J83*Rubric!$B$8+K83*Rubric!$B$9+L83*Rubric!$B$10-IF(OR(H83&lt;Rubric!$B$12,K83&lt;Rubric!$B$12),Rubric!$B$13,0),2)</f>
        <v>7.55</v>
      </c>
      <c r="N83" s="14" t="n">
        <v>73</v>
      </c>
      <c r="O83" s="2" t="s">
        <v>286</v>
      </c>
    </row>
    <row r="84" customFormat="false" ht="35.05" hidden="false" customHeight="false" outlineLevel="0" collapsed="false">
      <c r="A84" s="2" t="s">
        <v>41</v>
      </c>
      <c r="B84" s="2" t="s">
        <v>42</v>
      </c>
      <c r="C84" s="14" t="n">
        <v>0</v>
      </c>
      <c r="D84" s="14" t="n">
        <v>5</v>
      </c>
      <c r="E84" s="2" t="s">
        <v>167</v>
      </c>
      <c r="F84" s="15" t="n">
        <v>8</v>
      </c>
      <c r="G84" s="15" t="n">
        <v>8</v>
      </c>
      <c r="H84" s="15" t="n">
        <v>8</v>
      </c>
      <c r="I84" s="15" t="n">
        <v>9</v>
      </c>
      <c r="J84" s="15" t="n">
        <v>8</v>
      </c>
      <c r="K84" s="15" t="n">
        <v>8</v>
      </c>
      <c r="L84" s="15" t="n">
        <v>9</v>
      </c>
      <c r="M84" s="4" t="n">
        <f aca="false">ROUND(F84*Rubric!$B$4+G84*Rubric!$B$5+H84*Rubric!$B$6+I84*Rubric!$B$7+J84*Rubric!$B$8+K84*Rubric!$B$9+L84*Rubric!$B$10-IF(OR(H84&lt;Rubric!$B$12,K84&lt;Rubric!$B$12),Rubric!$B$13,0),2)</f>
        <v>8.2</v>
      </c>
      <c r="N84" s="14" t="n">
        <v>74</v>
      </c>
      <c r="O84" s="2" t="s">
        <v>208</v>
      </c>
    </row>
    <row r="85" customFormat="false" ht="23.85" hidden="false" customHeight="false" outlineLevel="0" collapsed="false">
      <c r="A85" s="2" t="s">
        <v>46</v>
      </c>
      <c r="B85" s="2" t="s">
        <v>47</v>
      </c>
      <c r="C85" s="14" t="n">
        <v>0</v>
      </c>
      <c r="D85" s="14" t="n">
        <v>1</v>
      </c>
      <c r="E85" s="2" t="s">
        <v>287</v>
      </c>
      <c r="F85" s="15" t="n">
        <v>7</v>
      </c>
      <c r="G85" s="15" t="n">
        <v>7</v>
      </c>
      <c r="H85" s="15" t="n">
        <v>8</v>
      </c>
      <c r="I85" s="15" t="n">
        <v>3</v>
      </c>
      <c r="J85" s="15" t="n">
        <v>8</v>
      </c>
      <c r="K85" s="15" t="n">
        <v>7</v>
      </c>
      <c r="L85" s="15" t="n">
        <v>6</v>
      </c>
      <c r="M85" s="4" t="n">
        <f aca="false">ROUND(F85*Rubric!$B$4+G85*Rubric!$B$5+H85*Rubric!$B$6+I85*Rubric!$B$7+J85*Rubric!$B$8+K85*Rubric!$B$9+L85*Rubric!$B$10-IF(OR(H85&lt;Rubric!$B$12,K85&lt;Rubric!$B$12),Rubric!$B$13,0),2)</f>
        <v>6.85</v>
      </c>
      <c r="N85" s="14" t="n">
        <v>80</v>
      </c>
      <c r="O85" s="2" t="s">
        <v>208</v>
      </c>
    </row>
    <row r="86" customFormat="false" ht="23.85" hidden="false" customHeight="false" outlineLevel="0" collapsed="false">
      <c r="A86" s="2" t="s">
        <v>46</v>
      </c>
      <c r="B86" s="2" t="s">
        <v>47</v>
      </c>
      <c r="C86" s="14" t="n">
        <v>1</v>
      </c>
      <c r="D86" s="14" t="n">
        <v>1</v>
      </c>
      <c r="E86" s="2" t="s">
        <v>288</v>
      </c>
      <c r="F86" s="15" t="n">
        <v>8</v>
      </c>
      <c r="G86" s="15" t="n">
        <v>7</v>
      </c>
      <c r="H86" s="15" t="n">
        <v>8</v>
      </c>
      <c r="I86" s="15" t="n">
        <v>3</v>
      </c>
      <c r="J86" s="15" t="n">
        <v>8</v>
      </c>
      <c r="K86" s="15" t="n">
        <v>7</v>
      </c>
      <c r="L86" s="15" t="n">
        <v>6</v>
      </c>
      <c r="M86" s="4" t="n">
        <f aca="false">ROUND(F86*Rubric!$B$4+G86*Rubric!$B$5+H86*Rubric!$B$6+I86*Rubric!$B$7+J86*Rubric!$B$8+K86*Rubric!$B$9+L86*Rubric!$B$10-IF(OR(H86&lt;Rubric!$B$12,K86&lt;Rubric!$B$12),Rubric!$B$13,0),2)</f>
        <v>6.95</v>
      </c>
      <c r="N86" s="14" t="n">
        <v>80</v>
      </c>
      <c r="O86" s="2" t="s">
        <v>289</v>
      </c>
    </row>
    <row r="87" customFormat="false" ht="23.85" hidden="false" customHeight="false" outlineLevel="0" collapsed="false">
      <c r="A87" s="2" t="s">
        <v>46</v>
      </c>
      <c r="B87" s="2" t="s">
        <v>47</v>
      </c>
      <c r="C87" s="14" t="n">
        <v>2</v>
      </c>
      <c r="D87" s="14" t="n">
        <v>1</v>
      </c>
      <c r="E87" s="2" t="s">
        <v>168</v>
      </c>
      <c r="F87" s="15" t="n">
        <v>8</v>
      </c>
      <c r="G87" s="15" t="n">
        <v>8</v>
      </c>
      <c r="H87" s="15" t="n">
        <v>7</v>
      </c>
      <c r="I87" s="15" t="n">
        <v>3</v>
      </c>
      <c r="J87" s="15" t="n">
        <v>8</v>
      </c>
      <c r="K87" s="15" t="n">
        <v>7</v>
      </c>
      <c r="L87" s="15" t="n">
        <v>8</v>
      </c>
      <c r="M87" s="4" t="n">
        <f aca="false">ROUND(F87*Rubric!$B$4+G87*Rubric!$B$5+H87*Rubric!$B$6+I87*Rubric!$B$7+J87*Rubric!$B$8+K87*Rubric!$B$9+L87*Rubric!$B$10-IF(OR(H87&lt;Rubric!$B$12,K87&lt;Rubric!$B$12),Rubric!$B$13,0),2)</f>
        <v>7.15</v>
      </c>
      <c r="N87" s="14" t="n">
        <v>80</v>
      </c>
      <c r="O87" s="2" t="s">
        <v>290</v>
      </c>
    </row>
    <row r="88" customFormat="false" ht="23.85" hidden="false" customHeight="false" outlineLevel="0" collapsed="false">
      <c r="A88" s="2" t="s">
        <v>46</v>
      </c>
      <c r="B88" s="2" t="s">
        <v>47</v>
      </c>
      <c r="C88" s="14" t="n">
        <v>0</v>
      </c>
      <c r="D88" s="14" t="n">
        <v>2</v>
      </c>
      <c r="E88" s="2" t="s">
        <v>291</v>
      </c>
      <c r="F88" s="15" t="n">
        <v>8</v>
      </c>
      <c r="G88" s="15" t="n">
        <v>8</v>
      </c>
      <c r="H88" s="15" t="n">
        <v>6</v>
      </c>
      <c r="I88" s="15" t="n">
        <v>6</v>
      </c>
      <c r="J88" s="15" t="n">
        <v>9</v>
      </c>
      <c r="K88" s="15" t="n">
        <v>5</v>
      </c>
      <c r="L88" s="15" t="n">
        <v>8</v>
      </c>
      <c r="M88" s="4" t="n">
        <f aca="false">ROUND(F88*Rubric!$B$4+G88*Rubric!$B$5+H88*Rubric!$B$6+I88*Rubric!$B$7+J88*Rubric!$B$8+K88*Rubric!$B$9+L88*Rubric!$B$10-IF(OR(H88&lt;Rubric!$B$12,K88&lt;Rubric!$B$12),Rubric!$B$13,0),2)</f>
        <v>6.1</v>
      </c>
      <c r="N88" s="14" t="n">
        <v>81</v>
      </c>
      <c r="O88" s="2" t="s">
        <v>208</v>
      </c>
    </row>
    <row r="89" customFormat="false" ht="23.85" hidden="false" customHeight="false" outlineLevel="0" collapsed="false">
      <c r="A89" s="2" t="s">
        <v>46</v>
      </c>
      <c r="B89" s="2" t="s">
        <v>47</v>
      </c>
      <c r="C89" s="14" t="n">
        <v>1</v>
      </c>
      <c r="D89" s="14" t="n">
        <v>2</v>
      </c>
      <c r="E89" s="2" t="s">
        <v>169</v>
      </c>
      <c r="F89" s="15" t="n">
        <v>8</v>
      </c>
      <c r="G89" s="15" t="n">
        <v>8</v>
      </c>
      <c r="H89" s="15" t="n">
        <v>7</v>
      </c>
      <c r="I89" s="15" t="n">
        <v>9</v>
      </c>
      <c r="J89" s="15" t="n">
        <v>9</v>
      </c>
      <c r="K89" s="15" t="n">
        <v>7</v>
      </c>
      <c r="L89" s="15" t="n">
        <v>9</v>
      </c>
      <c r="M89" s="4" t="n">
        <f aca="false">ROUND(F89*Rubric!$B$4+G89*Rubric!$B$5+H89*Rubric!$B$6+I89*Rubric!$B$7+J89*Rubric!$B$8+K89*Rubric!$B$9+L89*Rubric!$B$10-IF(OR(H89&lt;Rubric!$B$12,K89&lt;Rubric!$B$12),Rubric!$B$13,0),2)</f>
        <v>8</v>
      </c>
      <c r="N89" s="14" t="n">
        <v>81</v>
      </c>
      <c r="O89" s="2" t="s">
        <v>292</v>
      </c>
    </row>
    <row r="90" customFormat="false" ht="23.85" hidden="false" customHeight="false" outlineLevel="0" collapsed="false">
      <c r="A90" s="2" t="s">
        <v>46</v>
      </c>
      <c r="B90" s="2" t="s">
        <v>47</v>
      </c>
      <c r="C90" s="14" t="n">
        <v>0</v>
      </c>
      <c r="D90" s="14" t="n">
        <v>3</v>
      </c>
      <c r="E90" s="2" t="s">
        <v>170</v>
      </c>
      <c r="F90" s="15" t="n">
        <v>9</v>
      </c>
      <c r="G90" s="15" t="n">
        <v>9</v>
      </c>
      <c r="H90" s="15" t="n">
        <v>7</v>
      </c>
      <c r="I90" s="15" t="n">
        <v>10</v>
      </c>
      <c r="J90" s="15" t="n">
        <v>10</v>
      </c>
      <c r="K90" s="15" t="n">
        <v>8</v>
      </c>
      <c r="L90" s="15" t="n">
        <v>10</v>
      </c>
      <c r="M90" s="4" t="n">
        <f aca="false">ROUND(F90*Rubric!$B$4+G90*Rubric!$B$5+H90*Rubric!$B$6+I90*Rubric!$B$7+J90*Rubric!$B$8+K90*Rubric!$B$9+L90*Rubric!$B$10-IF(OR(H90&lt;Rubric!$B$12,K90&lt;Rubric!$B$12),Rubric!$B$13,0),2)</f>
        <v>8.8</v>
      </c>
      <c r="N90" s="14" t="n">
        <v>82</v>
      </c>
      <c r="O90" s="2" t="s">
        <v>208</v>
      </c>
    </row>
    <row r="91" customFormat="false" ht="23.85" hidden="false" customHeight="false" outlineLevel="0" collapsed="false">
      <c r="A91" s="2" t="s">
        <v>46</v>
      </c>
      <c r="B91" s="2" t="s">
        <v>47</v>
      </c>
      <c r="C91" s="14" t="n">
        <v>0</v>
      </c>
      <c r="D91" s="14" t="n">
        <v>4</v>
      </c>
      <c r="E91" s="2" t="s">
        <v>293</v>
      </c>
      <c r="F91" s="15" t="n">
        <v>8</v>
      </c>
      <c r="G91" s="15" t="n">
        <v>8</v>
      </c>
      <c r="H91" s="15" t="n">
        <v>7</v>
      </c>
      <c r="I91" s="15" t="n">
        <v>10</v>
      </c>
      <c r="J91" s="15" t="n">
        <v>9</v>
      </c>
      <c r="K91" s="15" t="n">
        <v>6</v>
      </c>
      <c r="L91" s="15" t="n">
        <v>8</v>
      </c>
      <c r="M91" s="4" t="n">
        <f aca="false">ROUND(F91*Rubric!$B$4+G91*Rubric!$B$5+H91*Rubric!$B$6+I91*Rubric!$B$7+J91*Rubric!$B$8+K91*Rubric!$B$9+L91*Rubric!$B$10-IF(OR(H91&lt;Rubric!$B$12,K91&lt;Rubric!$B$12),Rubric!$B$13,0),2)</f>
        <v>6.85</v>
      </c>
      <c r="N91" s="14" t="n">
        <v>83</v>
      </c>
      <c r="O91" s="2" t="s">
        <v>208</v>
      </c>
    </row>
    <row r="92" customFormat="false" ht="23.85" hidden="false" customHeight="false" outlineLevel="0" collapsed="false">
      <c r="A92" s="2" t="s">
        <v>46</v>
      </c>
      <c r="B92" s="2" t="s">
        <v>47</v>
      </c>
      <c r="C92" s="14" t="n">
        <v>1</v>
      </c>
      <c r="D92" s="14" t="n">
        <v>4</v>
      </c>
      <c r="E92" s="2" t="s">
        <v>171</v>
      </c>
      <c r="F92" s="15" t="n">
        <v>7</v>
      </c>
      <c r="G92" s="15" t="n">
        <v>8</v>
      </c>
      <c r="H92" s="15" t="n">
        <v>8</v>
      </c>
      <c r="I92" s="15" t="n">
        <v>10</v>
      </c>
      <c r="J92" s="15" t="n">
        <v>9</v>
      </c>
      <c r="K92" s="15" t="n">
        <v>8</v>
      </c>
      <c r="L92" s="15" t="n">
        <v>9</v>
      </c>
      <c r="M92" s="4" t="n">
        <f aca="false">ROUND(F92*Rubric!$B$4+G92*Rubric!$B$5+H92*Rubric!$B$6+I92*Rubric!$B$7+J92*Rubric!$B$8+K92*Rubric!$B$9+L92*Rubric!$B$10-IF(OR(H92&lt;Rubric!$B$12,K92&lt;Rubric!$B$12),Rubric!$B$13,0),2)</f>
        <v>8.35</v>
      </c>
      <c r="N92" s="14" t="n">
        <v>83</v>
      </c>
      <c r="O92" s="2" t="s">
        <v>294</v>
      </c>
    </row>
    <row r="93" customFormat="false" ht="23.85" hidden="false" customHeight="false" outlineLevel="0" collapsed="false">
      <c r="A93" s="2" t="s">
        <v>46</v>
      </c>
      <c r="B93" s="2" t="s">
        <v>47</v>
      </c>
      <c r="C93" s="14" t="n">
        <v>0</v>
      </c>
      <c r="D93" s="14" t="n">
        <v>5</v>
      </c>
      <c r="E93" s="2" t="s">
        <v>295</v>
      </c>
      <c r="F93" s="15" t="n">
        <v>8</v>
      </c>
      <c r="G93" s="15" t="n">
        <v>7</v>
      </c>
      <c r="H93" s="15" t="n">
        <v>8</v>
      </c>
      <c r="I93" s="15" t="n">
        <v>4</v>
      </c>
      <c r="J93" s="15" t="n">
        <v>9</v>
      </c>
      <c r="K93" s="15" t="n">
        <v>7</v>
      </c>
      <c r="L93" s="15" t="n">
        <v>7</v>
      </c>
      <c r="M93" s="4" t="n">
        <f aca="false">ROUND(F93*Rubric!$B$4+G93*Rubric!$B$5+H93*Rubric!$B$6+I93*Rubric!$B$7+J93*Rubric!$B$8+K93*Rubric!$B$9+L93*Rubric!$B$10-IF(OR(H93&lt;Rubric!$B$12,K93&lt;Rubric!$B$12),Rubric!$B$13,0),2)</f>
        <v>7.3</v>
      </c>
      <c r="N93" s="14" t="n">
        <v>84</v>
      </c>
      <c r="O93" s="2" t="s">
        <v>208</v>
      </c>
    </row>
    <row r="94" customFormat="false" ht="23.85" hidden="false" customHeight="false" outlineLevel="0" collapsed="false">
      <c r="A94" s="2" t="s">
        <v>46</v>
      </c>
      <c r="B94" s="2" t="s">
        <v>47</v>
      </c>
      <c r="C94" s="14" t="n">
        <v>3</v>
      </c>
      <c r="D94" s="14" t="n">
        <v>5</v>
      </c>
      <c r="E94" s="2" t="s">
        <v>172</v>
      </c>
      <c r="F94" s="15" t="n">
        <v>8</v>
      </c>
      <c r="G94" s="15" t="n">
        <v>9</v>
      </c>
      <c r="H94" s="15" t="n">
        <v>8</v>
      </c>
      <c r="I94" s="15" t="n">
        <v>5</v>
      </c>
      <c r="J94" s="15" t="n">
        <v>9</v>
      </c>
      <c r="K94" s="15" t="n">
        <v>8</v>
      </c>
      <c r="L94" s="15" t="n">
        <v>8</v>
      </c>
      <c r="M94" s="4" t="n">
        <f aca="false">ROUND(F94*Rubric!$B$4+G94*Rubric!$B$5+H94*Rubric!$B$6+I94*Rubric!$B$7+J94*Rubric!$B$8+K94*Rubric!$B$9+L94*Rubric!$B$10-IF(OR(H94&lt;Rubric!$B$12,K94&lt;Rubric!$B$12),Rubric!$B$13,0),2)</f>
        <v>8.05</v>
      </c>
      <c r="N94" s="14" t="n">
        <v>84</v>
      </c>
      <c r="O94" s="2" t="s">
        <v>296</v>
      </c>
    </row>
    <row r="95" customFormat="false" ht="23.85" hidden="false" customHeight="false" outlineLevel="0" collapsed="false">
      <c r="A95" s="2" t="s">
        <v>51</v>
      </c>
      <c r="B95" s="2" t="s">
        <v>52</v>
      </c>
      <c r="C95" s="14" t="n">
        <v>0</v>
      </c>
      <c r="D95" s="14" t="n">
        <v>1</v>
      </c>
      <c r="E95" s="2" t="s">
        <v>173</v>
      </c>
      <c r="F95" s="15" t="n">
        <v>9</v>
      </c>
      <c r="G95" s="15" t="n">
        <v>9</v>
      </c>
      <c r="H95" s="15" t="n">
        <v>7</v>
      </c>
      <c r="I95" s="15" t="n">
        <v>4</v>
      </c>
      <c r="J95" s="15" t="n">
        <v>8</v>
      </c>
      <c r="K95" s="15" t="n">
        <v>7</v>
      </c>
      <c r="L95" s="15" t="n">
        <v>8</v>
      </c>
      <c r="M95" s="4" t="n">
        <f aca="false">ROUND(F95*Rubric!$B$4+G95*Rubric!$B$5+H95*Rubric!$B$6+I95*Rubric!$B$7+J95*Rubric!$B$8+K95*Rubric!$B$9+L95*Rubric!$B$10-IF(OR(H95&lt;Rubric!$B$12,K95&lt;Rubric!$B$12),Rubric!$B$13,0),2)</f>
        <v>7.55</v>
      </c>
      <c r="N95" s="14" t="n">
        <v>90</v>
      </c>
      <c r="O95" s="2" t="s">
        <v>208</v>
      </c>
    </row>
    <row r="96" customFormat="false" ht="23.85" hidden="false" customHeight="false" outlineLevel="0" collapsed="false">
      <c r="A96" s="2" t="s">
        <v>51</v>
      </c>
      <c r="B96" s="2" t="s">
        <v>52</v>
      </c>
      <c r="C96" s="14" t="n">
        <v>0</v>
      </c>
      <c r="D96" s="14" t="n">
        <v>2</v>
      </c>
      <c r="E96" s="2" t="s">
        <v>297</v>
      </c>
      <c r="F96" s="15" t="n">
        <v>8</v>
      </c>
      <c r="G96" s="15" t="n">
        <v>7</v>
      </c>
      <c r="H96" s="15" t="n">
        <v>8</v>
      </c>
      <c r="I96" s="15" t="n">
        <v>3</v>
      </c>
      <c r="J96" s="15" t="n">
        <v>7</v>
      </c>
      <c r="K96" s="15" t="n">
        <v>7</v>
      </c>
      <c r="L96" s="15" t="n">
        <v>5</v>
      </c>
      <c r="M96" s="4" t="n">
        <f aca="false">ROUND(F96*Rubric!$B$4+G96*Rubric!$B$5+H96*Rubric!$B$6+I96*Rubric!$B$7+J96*Rubric!$B$8+K96*Rubric!$B$9+L96*Rubric!$B$10-IF(OR(H96&lt;Rubric!$B$12,K96&lt;Rubric!$B$12),Rubric!$B$13,0),2)</f>
        <v>6.7</v>
      </c>
      <c r="N96" s="14" t="n">
        <v>91</v>
      </c>
      <c r="O96" s="2" t="s">
        <v>208</v>
      </c>
    </row>
    <row r="97" customFormat="false" ht="23.85" hidden="false" customHeight="false" outlineLevel="0" collapsed="false">
      <c r="A97" s="2" t="s">
        <v>51</v>
      </c>
      <c r="B97" s="2" t="s">
        <v>52</v>
      </c>
      <c r="C97" s="14" t="n">
        <v>1</v>
      </c>
      <c r="D97" s="14" t="n">
        <v>2</v>
      </c>
      <c r="E97" s="2" t="s">
        <v>298</v>
      </c>
      <c r="F97" s="15" t="n">
        <v>8</v>
      </c>
      <c r="G97" s="15" t="n">
        <v>7</v>
      </c>
      <c r="H97" s="15" t="n">
        <v>8</v>
      </c>
      <c r="I97" s="15" t="n">
        <v>3</v>
      </c>
      <c r="J97" s="15" t="n">
        <v>7</v>
      </c>
      <c r="K97" s="15" t="n">
        <v>7</v>
      </c>
      <c r="L97" s="15" t="n">
        <v>6</v>
      </c>
      <c r="M97" s="4" t="n">
        <f aca="false">ROUND(F97*Rubric!$B$4+G97*Rubric!$B$5+H97*Rubric!$B$6+I97*Rubric!$B$7+J97*Rubric!$B$8+K97*Rubric!$B$9+L97*Rubric!$B$10-IF(OR(H97&lt;Rubric!$B$12,K97&lt;Rubric!$B$12),Rubric!$B$13,0),2)</f>
        <v>6.8</v>
      </c>
      <c r="N97" s="14" t="n">
        <v>91</v>
      </c>
      <c r="O97" s="2" t="s">
        <v>299</v>
      </c>
    </row>
    <row r="98" customFormat="false" ht="23.85" hidden="false" customHeight="false" outlineLevel="0" collapsed="false">
      <c r="A98" s="2" t="s">
        <v>51</v>
      </c>
      <c r="B98" s="2" t="s">
        <v>52</v>
      </c>
      <c r="C98" s="14" t="n">
        <v>2</v>
      </c>
      <c r="D98" s="14" t="n">
        <v>2</v>
      </c>
      <c r="E98" s="2" t="s">
        <v>174</v>
      </c>
      <c r="F98" s="15" t="n">
        <v>7</v>
      </c>
      <c r="G98" s="15" t="n">
        <v>8</v>
      </c>
      <c r="H98" s="15" t="n">
        <v>8</v>
      </c>
      <c r="I98" s="15" t="n">
        <v>7</v>
      </c>
      <c r="J98" s="15" t="n">
        <v>8</v>
      </c>
      <c r="K98" s="15" t="n">
        <v>8</v>
      </c>
      <c r="L98" s="15" t="n">
        <v>8</v>
      </c>
      <c r="M98" s="4" t="n">
        <f aca="false">ROUND(F98*Rubric!$B$4+G98*Rubric!$B$5+H98*Rubric!$B$6+I98*Rubric!$B$7+J98*Rubric!$B$8+K98*Rubric!$B$9+L98*Rubric!$B$10-IF(OR(H98&lt;Rubric!$B$12,K98&lt;Rubric!$B$12),Rubric!$B$13,0),2)</f>
        <v>7.8</v>
      </c>
      <c r="N98" s="14" t="n">
        <v>91</v>
      </c>
      <c r="O98" s="2" t="s">
        <v>300</v>
      </c>
    </row>
    <row r="99" customFormat="false" ht="23.85" hidden="false" customHeight="false" outlineLevel="0" collapsed="false">
      <c r="A99" s="2" t="s">
        <v>51</v>
      </c>
      <c r="B99" s="2" t="s">
        <v>52</v>
      </c>
      <c r="C99" s="14" t="n">
        <v>0</v>
      </c>
      <c r="D99" s="14" t="n">
        <v>3</v>
      </c>
      <c r="E99" s="2" t="s">
        <v>175</v>
      </c>
      <c r="F99" s="15" t="n">
        <v>8</v>
      </c>
      <c r="G99" s="15" t="n">
        <v>8</v>
      </c>
      <c r="H99" s="15" t="n">
        <v>7</v>
      </c>
      <c r="I99" s="15" t="n">
        <v>10</v>
      </c>
      <c r="J99" s="15" t="n">
        <v>10</v>
      </c>
      <c r="K99" s="15" t="n">
        <v>7</v>
      </c>
      <c r="L99" s="15" t="n">
        <v>9</v>
      </c>
      <c r="M99" s="4" t="n">
        <f aca="false">ROUND(F99*Rubric!$B$4+G99*Rubric!$B$5+H99*Rubric!$B$6+I99*Rubric!$B$7+J99*Rubric!$B$8+K99*Rubric!$B$9+L99*Rubric!$B$10-IF(OR(H99&lt;Rubric!$B$12,K99&lt;Rubric!$B$12),Rubric!$B$13,0),2)</f>
        <v>8.25</v>
      </c>
      <c r="N99" s="14" t="n">
        <v>92</v>
      </c>
      <c r="O99" s="2" t="s">
        <v>208</v>
      </c>
    </row>
    <row r="100" customFormat="false" ht="23.85" hidden="false" customHeight="false" outlineLevel="0" collapsed="false">
      <c r="A100" s="2" t="s">
        <v>51</v>
      </c>
      <c r="B100" s="2" t="s">
        <v>52</v>
      </c>
      <c r="C100" s="14" t="n">
        <v>0</v>
      </c>
      <c r="D100" s="14" t="n">
        <v>4</v>
      </c>
      <c r="E100" s="2" t="s">
        <v>301</v>
      </c>
      <c r="F100" s="15" t="n">
        <v>7</v>
      </c>
      <c r="G100" s="15" t="n">
        <v>6</v>
      </c>
      <c r="H100" s="15" t="n">
        <v>7</v>
      </c>
      <c r="I100" s="15" t="n">
        <v>3</v>
      </c>
      <c r="J100" s="15" t="n">
        <v>7</v>
      </c>
      <c r="K100" s="15" t="n">
        <v>7</v>
      </c>
      <c r="L100" s="15" t="n">
        <v>6</v>
      </c>
      <c r="M100" s="4" t="n">
        <f aca="false">ROUND(F100*Rubric!$B$4+G100*Rubric!$B$5+H100*Rubric!$B$6+I100*Rubric!$B$7+J100*Rubric!$B$8+K100*Rubric!$B$9+L100*Rubric!$B$10-IF(OR(H100&lt;Rubric!$B$12,K100&lt;Rubric!$B$12),Rubric!$B$13,0),2)</f>
        <v>6.3</v>
      </c>
      <c r="N100" s="14" t="n">
        <v>93</v>
      </c>
      <c r="O100" s="2" t="s">
        <v>208</v>
      </c>
    </row>
    <row r="101" customFormat="false" ht="23.85" hidden="false" customHeight="false" outlineLevel="0" collapsed="false">
      <c r="A101" s="2" t="s">
        <v>51</v>
      </c>
      <c r="B101" s="2" t="s">
        <v>52</v>
      </c>
      <c r="C101" s="14" t="n">
        <v>1</v>
      </c>
      <c r="D101" s="14" t="n">
        <v>4</v>
      </c>
      <c r="E101" s="2" t="s">
        <v>302</v>
      </c>
      <c r="F101" s="15" t="n">
        <v>8</v>
      </c>
      <c r="G101" s="15" t="n">
        <v>7</v>
      </c>
      <c r="H101" s="15" t="n">
        <v>8</v>
      </c>
      <c r="I101" s="15" t="n">
        <v>4</v>
      </c>
      <c r="J101" s="15" t="n">
        <v>7</v>
      </c>
      <c r="K101" s="15" t="n">
        <v>7</v>
      </c>
      <c r="L101" s="15" t="n">
        <v>8</v>
      </c>
      <c r="M101" s="4" t="n">
        <f aca="false">ROUND(F101*Rubric!$B$4+G101*Rubric!$B$5+H101*Rubric!$B$6+I101*Rubric!$B$7+J101*Rubric!$B$8+K101*Rubric!$B$9+L101*Rubric!$B$10-IF(OR(H101&lt;Rubric!$B$12,K101&lt;Rubric!$B$12),Rubric!$B$13,0),2)</f>
        <v>7.1</v>
      </c>
      <c r="N101" s="14" t="n">
        <v>93</v>
      </c>
      <c r="O101" s="2" t="s">
        <v>303</v>
      </c>
    </row>
    <row r="102" customFormat="false" ht="23.85" hidden="false" customHeight="false" outlineLevel="0" collapsed="false">
      <c r="A102" s="2" t="s">
        <v>51</v>
      </c>
      <c r="B102" s="2" t="s">
        <v>52</v>
      </c>
      <c r="C102" s="14" t="n">
        <v>2</v>
      </c>
      <c r="D102" s="14" t="n">
        <v>4</v>
      </c>
      <c r="E102" s="2" t="s">
        <v>176</v>
      </c>
      <c r="F102" s="15" t="n">
        <v>9</v>
      </c>
      <c r="G102" s="15" t="n">
        <v>8</v>
      </c>
      <c r="H102" s="15" t="n">
        <v>8</v>
      </c>
      <c r="I102" s="15" t="n">
        <v>4</v>
      </c>
      <c r="J102" s="15" t="n">
        <v>7</v>
      </c>
      <c r="K102" s="15" t="n">
        <v>8</v>
      </c>
      <c r="L102" s="15" t="n">
        <v>8</v>
      </c>
      <c r="M102" s="4" t="n">
        <f aca="false">ROUND(F102*Rubric!$B$4+G102*Rubric!$B$5+H102*Rubric!$B$6+I102*Rubric!$B$7+J102*Rubric!$B$8+K102*Rubric!$B$9+L102*Rubric!$B$10-IF(OR(H102&lt;Rubric!$B$12,K102&lt;Rubric!$B$12),Rubric!$B$13,0),2)</f>
        <v>7.55</v>
      </c>
      <c r="N102" s="14" t="n">
        <v>93</v>
      </c>
      <c r="O102" s="2" t="s">
        <v>304</v>
      </c>
    </row>
    <row r="103" customFormat="false" ht="23.85" hidden="false" customHeight="false" outlineLevel="0" collapsed="false">
      <c r="A103" s="2" t="s">
        <v>51</v>
      </c>
      <c r="B103" s="2" t="s">
        <v>52</v>
      </c>
      <c r="C103" s="14" t="n">
        <v>0</v>
      </c>
      <c r="D103" s="14" t="n">
        <v>5</v>
      </c>
      <c r="E103" s="2" t="s">
        <v>305</v>
      </c>
      <c r="F103" s="15" t="n">
        <v>8</v>
      </c>
      <c r="G103" s="15" t="n">
        <v>7</v>
      </c>
      <c r="H103" s="15" t="n">
        <v>8</v>
      </c>
      <c r="I103" s="15" t="n">
        <v>3</v>
      </c>
      <c r="J103" s="15" t="n">
        <v>6</v>
      </c>
      <c r="K103" s="15" t="n">
        <v>7</v>
      </c>
      <c r="L103" s="15" t="n">
        <v>6</v>
      </c>
      <c r="M103" s="4" t="n">
        <f aca="false">ROUND(F103*Rubric!$B$4+G103*Rubric!$B$5+H103*Rubric!$B$6+I103*Rubric!$B$7+J103*Rubric!$B$8+K103*Rubric!$B$9+L103*Rubric!$B$10-IF(OR(H103&lt;Rubric!$B$12,K103&lt;Rubric!$B$12),Rubric!$B$13,0),2)</f>
        <v>6.65</v>
      </c>
      <c r="N103" s="14" t="n">
        <v>94</v>
      </c>
      <c r="O103" s="2" t="s">
        <v>208</v>
      </c>
    </row>
    <row r="104" customFormat="false" ht="23.85" hidden="false" customHeight="false" outlineLevel="0" collapsed="false">
      <c r="A104" s="2" t="s">
        <v>51</v>
      </c>
      <c r="B104" s="2" t="s">
        <v>52</v>
      </c>
      <c r="C104" s="14" t="n">
        <v>1</v>
      </c>
      <c r="D104" s="14" t="n">
        <v>5</v>
      </c>
      <c r="E104" s="2" t="s">
        <v>177</v>
      </c>
      <c r="F104" s="15" t="n">
        <v>9</v>
      </c>
      <c r="G104" s="15" t="n">
        <v>8</v>
      </c>
      <c r="H104" s="15" t="n">
        <v>8</v>
      </c>
      <c r="I104" s="15" t="n">
        <v>3</v>
      </c>
      <c r="J104" s="15" t="n">
        <v>7</v>
      </c>
      <c r="K104" s="15" t="n">
        <v>8</v>
      </c>
      <c r="L104" s="15" t="n">
        <v>9</v>
      </c>
      <c r="M104" s="4" t="n">
        <f aca="false">ROUND(F104*Rubric!$B$4+G104*Rubric!$B$5+H104*Rubric!$B$6+I104*Rubric!$B$7+J104*Rubric!$B$8+K104*Rubric!$B$9+L104*Rubric!$B$10-IF(OR(H104&lt;Rubric!$B$12,K104&lt;Rubric!$B$12),Rubric!$B$13,0),2)</f>
        <v>7.55</v>
      </c>
      <c r="N104" s="14" t="n">
        <v>94</v>
      </c>
      <c r="O104" s="2" t="s">
        <v>306</v>
      </c>
    </row>
    <row r="105" customFormat="false" ht="23.85" hidden="false" customHeight="false" outlineLevel="0" collapsed="false">
      <c r="A105" s="2" t="s">
        <v>55</v>
      </c>
      <c r="B105" s="2" t="s">
        <v>56</v>
      </c>
      <c r="C105" s="14" t="n">
        <v>0</v>
      </c>
      <c r="D105" s="14" t="n">
        <v>1</v>
      </c>
      <c r="E105" s="2" t="s">
        <v>307</v>
      </c>
      <c r="F105" s="15" t="n">
        <v>8</v>
      </c>
      <c r="G105" s="15" t="n">
        <v>8</v>
      </c>
      <c r="H105" s="15" t="n">
        <v>7</v>
      </c>
      <c r="I105" s="15" t="n">
        <v>10</v>
      </c>
      <c r="J105" s="15" t="n">
        <v>10</v>
      </c>
      <c r="K105" s="15" t="n">
        <v>6</v>
      </c>
      <c r="L105" s="15" t="n">
        <v>8</v>
      </c>
      <c r="M105" s="4" t="n">
        <f aca="false">ROUND(F105*Rubric!$B$4+G105*Rubric!$B$5+H105*Rubric!$B$6+I105*Rubric!$B$7+J105*Rubric!$B$8+K105*Rubric!$B$9+L105*Rubric!$B$10-IF(OR(H105&lt;Rubric!$B$12,K105&lt;Rubric!$B$12),Rubric!$B$13,0),2)</f>
        <v>7</v>
      </c>
      <c r="N105" s="14" t="n">
        <v>100</v>
      </c>
      <c r="O105" s="2" t="s">
        <v>208</v>
      </c>
    </row>
    <row r="106" customFormat="false" ht="23.85" hidden="false" customHeight="false" outlineLevel="0" collapsed="false">
      <c r="A106" s="2" t="s">
        <v>55</v>
      </c>
      <c r="B106" s="2" t="s">
        <v>56</v>
      </c>
      <c r="C106" s="14" t="n">
        <v>2</v>
      </c>
      <c r="D106" s="14" t="n">
        <v>1</v>
      </c>
      <c r="E106" s="2" t="s">
        <v>178</v>
      </c>
      <c r="F106" s="15" t="n">
        <v>8</v>
      </c>
      <c r="G106" s="15" t="n">
        <v>8</v>
      </c>
      <c r="H106" s="15" t="n">
        <v>7</v>
      </c>
      <c r="I106" s="15" t="n">
        <v>10</v>
      </c>
      <c r="J106" s="15" t="n">
        <v>10</v>
      </c>
      <c r="K106" s="15" t="n">
        <v>7</v>
      </c>
      <c r="L106" s="15" t="n">
        <v>9</v>
      </c>
      <c r="M106" s="4" t="n">
        <f aca="false">ROUND(F106*Rubric!$B$4+G106*Rubric!$B$5+H106*Rubric!$B$6+I106*Rubric!$B$7+J106*Rubric!$B$8+K106*Rubric!$B$9+L106*Rubric!$B$10-IF(OR(H106&lt;Rubric!$B$12,K106&lt;Rubric!$B$12),Rubric!$B$13,0),2)</f>
        <v>8.25</v>
      </c>
      <c r="N106" s="14" t="n">
        <v>100</v>
      </c>
      <c r="O106" s="2" t="s">
        <v>308</v>
      </c>
    </row>
    <row r="107" customFormat="false" ht="23.85" hidden="false" customHeight="false" outlineLevel="0" collapsed="false">
      <c r="A107" s="2" t="s">
        <v>55</v>
      </c>
      <c r="B107" s="2" t="s">
        <v>56</v>
      </c>
      <c r="C107" s="14" t="n">
        <v>0</v>
      </c>
      <c r="D107" s="14" t="n">
        <v>2</v>
      </c>
      <c r="E107" s="2" t="s">
        <v>179</v>
      </c>
      <c r="F107" s="15" t="n">
        <v>9</v>
      </c>
      <c r="G107" s="15" t="n">
        <v>8</v>
      </c>
      <c r="H107" s="15" t="n">
        <v>8</v>
      </c>
      <c r="I107" s="15" t="n">
        <v>10</v>
      </c>
      <c r="J107" s="15" t="n">
        <v>9</v>
      </c>
      <c r="K107" s="15" t="n">
        <v>8</v>
      </c>
      <c r="L107" s="15" t="n">
        <v>9</v>
      </c>
      <c r="M107" s="4" t="n">
        <f aca="false">ROUND(F107*Rubric!$B$4+G107*Rubric!$B$5+H107*Rubric!$B$6+I107*Rubric!$B$7+J107*Rubric!$B$8+K107*Rubric!$B$9+L107*Rubric!$B$10-IF(OR(H107&lt;Rubric!$B$12,K107&lt;Rubric!$B$12),Rubric!$B$13,0),2)</f>
        <v>8.55</v>
      </c>
      <c r="N107" s="14" t="n">
        <v>101</v>
      </c>
      <c r="O107" s="2" t="s">
        <v>208</v>
      </c>
    </row>
    <row r="108" customFormat="false" ht="23.85" hidden="false" customHeight="false" outlineLevel="0" collapsed="false">
      <c r="A108" s="2" t="s">
        <v>55</v>
      </c>
      <c r="B108" s="2" t="s">
        <v>56</v>
      </c>
      <c r="C108" s="14" t="n">
        <v>0</v>
      </c>
      <c r="D108" s="14" t="n">
        <v>3</v>
      </c>
      <c r="E108" s="2" t="s">
        <v>180</v>
      </c>
      <c r="F108" s="15" t="n">
        <v>9</v>
      </c>
      <c r="G108" s="15" t="n">
        <v>9</v>
      </c>
      <c r="H108" s="15" t="n">
        <v>8</v>
      </c>
      <c r="I108" s="15" t="n">
        <v>3</v>
      </c>
      <c r="J108" s="15" t="n">
        <v>8</v>
      </c>
      <c r="K108" s="15" t="n">
        <v>9</v>
      </c>
      <c r="L108" s="15" t="n">
        <v>8</v>
      </c>
      <c r="M108" s="4" t="n">
        <f aca="false">ROUND(F108*Rubric!$B$4+G108*Rubric!$B$5+H108*Rubric!$B$6+I108*Rubric!$B$7+J108*Rubric!$B$8+K108*Rubric!$B$9+L108*Rubric!$B$10-IF(OR(H108&lt;Rubric!$B$12,K108&lt;Rubric!$B$12),Rubric!$B$13,0),2)</f>
        <v>7.95</v>
      </c>
      <c r="N108" s="14" t="n">
        <v>102</v>
      </c>
      <c r="O108" s="2" t="s">
        <v>208</v>
      </c>
    </row>
    <row r="109" customFormat="false" ht="23.85" hidden="false" customHeight="false" outlineLevel="0" collapsed="false">
      <c r="A109" s="2" t="s">
        <v>55</v>
      </c>
      <c r="B109" s="2" t="s">
        <v>56</v>
      </c>
      <c r="C109" s="14" t="n">
        <v>0</v>
      </c>
      <c r="D109" s="14" t="n">
        <v>4</v>
      </c>
      <c r="E109" s="2" t="s">
        <v>309</v>
      </c>
      <c r="F109" s="15" t="n">
        <v>8</v>
      </c>
      <c r="G109" s="15" t="n">
        <v>7</v>
      </c>
      <c r="H109" s="15" t="n">
        <v>8</v>
      </c>
      <c r="I109" s="15" t="n">
        <v>5</v>
      </c>
      <c r="J109" s="15" t="n">
        <v>8</v>
      </c>
      <c r="K109" s="15" t="n">
        <v>7</v>
      </c>
      <c r="L109" s="15" t="n">
        <v>8</v>
      </c>
      <c r="M109" s="4" t="n">
        <f aca="false">ROUND(F109*Rubric!$B$4+G109*Rubric!$B$5+H109*Rubric!$B$6+I109*Rubric!$B$7+J109*Rubric!$B$8+K109*Rubric!$B$9+L109*Rubric!$B$10-IF(OR(H109&lt;Rubric!$B$12,K109&lt;Rubric!$B$12),Rubric!$B$13,0),2)</f>
        <v>7.35</v>
      </c>
      <c r="N109" s="14" t="n">
        <v>103</v>
      </c>
      <c r="O109" s="2" t="s">
        <v>208</v>
      </c>
    </row>
    <row r="110" customFormat="false" ht="23.85" hidden="false" customHeight="false" outlineLevel="0" collapsed="false">
      <c r="A110" s="2" t="s">
        <v>55</v>
      </c>
      <c r="B110" s="2" t="s">
        <v>56</v>
      </c>
      <c r="C110" s="14" t="n">
        <v>3</v>
      </c>
      <c r="D110" s="14" t="n">
        <v>4</v>
      </c>
      <c r="E110" s="2" t="s">
        <v>181</v>
      </c>
      <c r="F110" s="15" t="n">
        <v>9</v>
      </c>
      <c r="G110" s="15" t="n">
        <v>8</v>
      </c>
      <c r="H110" s="15" t="n">
        <v>8</v>
      </c>
      <c r="I110" s="15" t="n">
        <v>5</v>
      </c>
      <c r="J110" s="15" t="n">
        <v>8</v>
      </c>
      <c r="K110" s="15" t="n">
        <v>7</v>
      </c>
      <c r="L110" s="15" t="n">
        <v>8</v>
      </c>
      <c r="M110" s="4" t="n">
        <f aca="false">ROUND(F110*Rubric!$B$4+G110*Rubric!$B$5+H110*Rubric!$B$6+I110*Rubric!$B$7+J110*Rubric!$B$8+K110*Rubric!$B$9+L110*Rubric!$B$10-IF(OR(H110&lt;Rubric!$B$12,K110&lt;Rubric!$B$12),Rubric!$B$13,0),2)</f>
        <v>7.65</v>
      </c>
      <c r="N110" s="14" t="n">
        <v>103</v>
      </c>
      <c r="O110" s="2" t="s">
        <v>310</v>
      </c>
    </row>
    <row r="111" customFormat="false" ht="23.85" hidden="false" customHeight="false" outlineLevel="0" collapsed="false">
      <c r="A111" s="2" t="s">
        <v>55</v>
      </c>
      <c r="B111" s="2" t="s">
        <v>56</v>
      </c>
      <c r="C111" s="14" t="n">
        <v>0</v>
      </c>
      <c r="D111" s="14" t="n">
        <v>5</v>
      </c>
      <c r="E111" s="2" t="s">
        <v>311</v>
      </c>
      <c r="F111" s="15" t="n">
        <v>7</v>
      </c>
      <c r="G111" s="15" t="n">
        <v>6</v>
      </c>
      <c r="H111" s="15" t="n">
        <v>8</v>
      </c>
      <c r="I111" s="15" t="n">
        <v>3</v>
      </c>
      <c r="J111" s="15" t="n">
        <v>6</v>
      </c>
      <c r="K111" s="15" t="n">
        <v>6</v>
      </c>
      <c r="L111" s="15" t="n">
        <v>5</v>
      </c>
      <c r="M111" s="4" t="n">
        <f aca="false">ROUND(F111*Rubric!$B$4+G111*Rubric!$B$5+H111*Rubric!$B$6+I111*Rubric!$B$7+J111*Rubric!$B$8+K111*Rubric!$B$9+L111*Rubric!$B$10-IF(OR(H111&lt;Rubric!$B$12,K111&lt;Rubric!$B$12),Rubric!$B$13,0),2)</f>
        <v>5.1</v>
      </c>
      <c r="N111" s="14" t="n">
        <v>104</v>
      </c>
      <c r="O111" s="2" t="s">
        <v>208</v>
      </c>
    </row>
    <row r="112" customFormat="false" ht="23.85" hidden="false" customHeight="false" outlineLevel="0" collapsed="false">
      <c r="A112" s="2" t="s">
        <v>55</v>
      </c>
      <c r="B112" s="2" t="s">
        <v>56</v>
      </c>
      <c r="C112" s="14" t="n">
        <v>1</v>
      </c>
      <c r="D112" s="14" t="n">
        <v>5</v>
      </c>
      <c r="E112" s="2" t="s">
        <v>312</v>
      </c>
      <c r="F112" s="15" t="n">
        <v>8</v>
      </c>
      <c r="G112" s="15" t="n">
        <v>7</v>
      </c>
      <c r="H112" s="15" t="n">
        <v>8</v>
      </c>
      <c r="I112" s="15" t="n">
        <v>3</v>
      </c>
      <c r="J112" s="15" t="n">
        <v>7</v>
      </c>
      <c r="K112" s="15" t="n">
        <v>8</v>
      </c>
      <c r="L112" s="15" t="n">
        <v>7</v>
      </c>
      <c r="M112" s="4" t="n">
        <f aca="false">ROUND(F112*Rubric!$B$4+G112*Rubric!$B$5+H112*Rubric!$B$6+I112*Rubric!$B$7+J112*Rubric!$B$8+K112*Rubric!$B$9+L112*Rubric!$B$10-IF(OR(H112&lt;Rubric!$B$12,K112&lt;Rubric!$B$12),Rubric!$B$13,0),2)</f>
        <v>7.05</v>
      </c>
      <c r="N112" s="14" t="n">
        <v>104</v>
      </c>
      <c r="O112" s="2" t="s">
        <v>313</v>
      </c>
    </row>
    <row r="113" customFormat="false" ht="23.85" hidden="false" customHeight="false" outlineLevel="0" collapsed="false">
      <c r="A113" s="2" t="s">
        <v>55</v>
      </c>
      <c r="B113" s="2" t="s">
        <v>56</v>
      </c>
      <c r="C113" s="14" t="n">
        <v>2</v>
      </c>
      <c r="D113" s="14" t="n">
        <v>5</v>
      </c>
      <c r="E113" s="2" t="s">
        <v>182</v>
      </c>
      <c r="F113" s="15" t="n">
        <v>7</v>
      </c>
      <c r="G113" s="15" t="n">
        <v>7</v>
      </c>
      <c r="H113" s="15" t="n">
        <v>8</v>
      </c>
      <c r="I113" s="15" t="n">
        <v>8</v>
      </c>
      <c r="J113" s="15" t="n">
        <v>8</v>
      </c>
      <c r="K113" s="15" t="n">
        <v>8</v>
      </c>
      <c r="L113" s="15" t="n">
        <v>8</v>
      </c>
      <c r="M113" s="4" t="n">
        <f aca="false">ROUND(F113*Rubric!$B$4+G113*Rubric!$B$5+H113*Rubric!$B$6+I113*Rubric!$B$7+J113*Rubric!$B$8+K113*Rubric!$B$9+L113*Rubric!$B$10-IF(OR(H113&lt;Rubric!$B$12,K113&lt;Rubric!$B$12),Rubric!$B$13,0),2)</f>
        <v>7.7</v>
      </c>
      <c r="N113" s="14" t="n">
        <v>104</v>
      </c>
      <c r="O113" s="2" t="s">
        <v>314</v>
      </c>
    </row>
    <row r="114" customFormat="false" ht="23.85" hidden="false" customHeight="false" outlineLevel="0" collapsed="false">
      <c r="A114" s="2" t="s">
        <v>60</v>
      </c>
      <c r="B114" s="2" t="s">
        <v>61</v>
      </c>
      <c r="C114" s="14" t="n">
        <v>0</v>
      </c>
      <c r="D114" s="14" t="n">
        <v>1</v>
      </c>
      <c r="E114" s="2" t="s">
        <v>315</v>
      </c>
      <c r="F114" s="15" t="n">
        <v>8</v>
      </c>
      <c r="G114" s="15" t="n">
        <v>8</v>
      </c>
      <c r="H114" s="15" t="n">
        <v>7</v>
      </c>
      <c r="I114" s="15" t="n">
        <v>3</v>
      </c>
      <c r="J114" s="15" t="n">
        <v>8</v>
      </c>
      <c r="K114" s="15" t="n">
        <v>7</v>
      </c>
      <c r="L114" s="15" t="n">
        <v>7</v>
      </c>
      <c r="M114" s="4" t="n">
        <f aca="false">ROUND(F114*Rubric!$B$4+G114*Rubric!$B$5+H114*Rubric!$B$6+I114*Rubric!$B$7+J114*Rubric!$B$8+K114*Rubric!$B$9+L114*Rubric!$B$10-IF(OR(H114&lt;Rubric!$B$12,K114&lt;Rubric!$B$12),Rubric!$B$13,0),2)</f>
        <v>7.05</v>
      </c>
      <c r="N114" s="14" t="n">
        <v>110</v>
      </c>
      <c r="O114" s="2" t="s">
        <v>208</v>
      </c>
    </row>
    <row r="115" customFormat="false" ht="23.85" hidden="false" customHeight="false" outlineLevel="0" collapsed="false">
      <c r="A115" s="2" t="s">
        <v>60</v>
      </c>
      <c r="B115" s="2" t="s">
        <v>61</v>
      </c>
      <c r="C115" s="14" t="n">
        <v>2</v>
      </c>
      <c r="D115" s="14" t="n">
        <v>1</v>
      </c>
      <c r="E115" s="2" t="s">
        <v>183</v>
      </c>
      <c r="F115" s="15" t="n">
        <v>9</v>
      </c>
      <c r="G115" s="15" t="n">
        <v>8</v>
      </c>
      <c r="H115" s="15" t="n">
        <v>8</v>
      </c>
      <c r="I115" s="15" t="n">
        <v>3</v>
      </c>
      <c r="J115" s="15" t="n">
        <v>8</v>
      </c>
      <c r="K115" s="15" t="n">
        <v>8</v>
      </c>
      <c r="L115" s="15" t="n">
        <v>7</v>
      </c>
      <c r="M115" s="4" t="n">
        <f aca="false">ROUND(F115*Rubric!$B$4+G115*Rubric!$B$5+H115*Rubric!$B$6+I115*Rubric!$B$7+J115*Rubric!$B$8+K115*Rubric!$B$9+L115*Rubric!$B$10-IF(OR(H115&lt;Rubric!$B$12,K115&lt;Rubric!$B$12),Rubric!$B$13,0),2)</f>
        <v>7.5</v>
      </c>
      <c r="N115" s="14" t="n">
        <v>110</v>
      </c>
      <c r="O115" s="2" t="s">
        <v>316</v>
      </c>
    </row>
    <row r="116" customFormat="false" ht="23.85" hidden="false" customHeight="false" outlineLevel="0" collapsed="false">
      <c r="A116" s="2" t="s">
        <v>60</v>
      </c>
      <c r="B116" s="2" t="s">
        <v>61</v>
      </c>
      <c r="C116" s="14" t="n">
        <v>0</v>
      </c>
      <c r="D116" s="14" t="n">
        <v>2</v>
      </c>
      <c r="E116" s="2" t="s">
        <v>184</v>
      </c>
      <c r="F116" s="15" t="n">
        <v>9</v>
      </c>
      <c r="G116" s="15" t="n">
        <v>9</v>
      </c>
      <c r="H116" s="15" t="n">
        <v>8</v>
      </c>
      <c r="I116" s="15" t="n">
        <v>3</v>
      </c>
      <c r="J116" s="15" t="n">
        <v>8</v>
      </c>
      <c r="K116" s="15" t="n">
        <v>9</v>
      </c>
      <c r="L116" s="15" t="n">
        <v>8</v>
      </c>
      <c r="M116" s="4" t="n">
        <f aca="false">ROUND(F116*Rubric!$B$4+G116*Rubric!$B$5+H116*Rubric!$B$6+I116*Rubric!$B$7+J116*Rubric!$B$8+K116*Rubric!$B$9+L116*Rubric!$B$10-IF(OR(H116&lt;Rubric!$B$12,K116&lt;Rubric!$B$12),Rubric!$B$13,0),2)</f>
        <v>7.95</v>
      </c>
      <c r="N116" s="14" t="n">
        <v>111</v>
      </c>
      <c r="O116" s="2" t="s">
        <v>208</v>
      </c>
    </row>
    <row r="117" customFormat="false" ht="23.85" hidden="false" customHeight="false" outlineLevel="0" collapsed="false">
      <c r="A117" s="2" t="s">
        <v>60</v>
      </c>
      <c r="B117" s="2" t="s">
        <v>61</v>
      </c>
      <c r="C117" s="14" t="n">
        <v>0</v>
      </c>
      <c r="D117" s="14" t="n">
        <v>3</v>
      </c>
      <c r="E117" s="2" t="s">
        <v>317</v>
      </c>
      <c r="F117" s="15" t="n">
        <v>8</v>
      </c>
      <c r="G117" s="15" t="n">
        <v>8</v>
      </c>
      <c r="H117" s="15" t="n">
        <v>6</v>
      </c>
      <c r="I117" s="15" t="n">
        <v>3</v>
      </c>
      <c r="J117" s="15" t="n">
        <v>8</v>
      </c>
      <c r="K117" s="15" t="n">
        <v>6</v>
      </c>
      <c r="L117" s="15" t="n">
        <v>7</v>
      </c>
      <c r="M117" s="4" t="n">
        <f aca="false">ROUND(F117*Rubric!$B$4+G117*Rubric!$B$5+H117*Rubric!$B$6+I117*Rubric!$B$7+J117*Rubric!$B$8+K117*Rubric!$B$9+L117*Rubric!$B$10-IF(OR(H117&lt;Rubric!$B$12,K117&lt;Rubric!$B$12),Rubric!$B$13,0),2)</f>
        <v>5.7</v>
      </c>
      <c r="N117" s="14" t="n">
        <v>112</v>
      </c>
      <c r="O117" s="2" t="s">
        <v>208</v>
      </c>
    </row>
    <row r="118" customFormat="false" ht="23.85" hidden="false" customHeight="false" outlineLevel="0" collapsed="false">
      <c r="A118" s="2" t="s">
        <v>60</v>
      </c>
      <c r="B118" s="2" t="s">
        <v>61</v>
      </c>
      <c r="C118" s="14" t="n">
        <v>1</v>
      </c>
      <c r="D118" s="14" t="n">
        <v>3</v>
      </c>
      <c r="E118" s="2" t="s">
        <v>318</v>
      </c>
      <c r="F118" s="15" t="n">
        <v>8</v>
      </c>
      <c r="G118" s="15" t="n">
        <v>7</v>
      </c>
      <c r="H118" s="15" t="n">
        <v>8</v>
      </c>
      <c r="I118" s="15" t="n">
        <v>3</v>
      </c>
      <c r="J118" s="15" t="n">
        <v>8</v>
      </c>
      <c r="K118" s="15" t="n">
        <v>8</v>
      </c>
      <c r="L118" s="15" t="n">
        <v>8</v>
      </c>
      <c r="M118" s="4" t="n">
        <f aca="false">ROUND(F118*Rubric!$B$4+G118*Rubric!$B$5+H118*Rubric!$B$6+I118*Rubric!$B$7+J118*Rubric!$B$8+K118*Rubric!$B$9+L118*Rubric!$B$10-IF(OR(H118&lt;Rubric!$B$12,K118&lt;Rubric!$B$12),Rubric!$B$13,0),2)</f>
        <v>7.3</v>
      </c>
      <c r="N118" s="14" t="n">
        <v>112</v>
      </c>
      <c r="O118" s="2" t="s">
        <v>319</v>
      </c>
    </row>
    <row r="119" customFormat="false" ht="23.85" hidden="false" customHeight="false" outlineLevel="0" collapsed="false">
      <c r="A119" s="2" t="s">
        <v>60</v>
      </c>
      <c r="B119" s="2" t="s">
        <v>61</v>
      </c>
      <c r="C119" s="14" t="n">
        <v>3</v>
      </c>
      <c r="D119" s="14" t="n">
        <v>3</v>
      </c>
      <c r="E119" s="2" t="s">
        <v>185</v>
      </c>
      <c r="F119" s="15" t="n">
        <v>9</v>
      </c>
      <c r="G119" s="15" t="n">
        <v>8</v>
      </c>
      <c r="H119" s="15" t="n">
        <v>8</v>
      </c>
      <c r="I119" s="15" t="n">
        <v>3</v>
      </c>
      <c r="J119" s="15" t="n">
        <v>8</v>
      </c>
      <c r="K119" s="15" t="n">
        <v>8</v>
      </c>
      <c r="L119" s="15" t="n">
        <v>8</v>
      </c>
      <c r="M119" s="4" t="n">
        <f aca="false">ROUND(F119*Rubric!$B$4+G119*Rubric!$B$5+H119*Rubric!$B$6+I119*Rubric!$B$7+J119*Rubric!$B$8+K119*Rubric!$B$9+L119*Rubric!$B$10-IF(OR(H119&lt;Rubric!$B$12,K119&lt;Rubric!$B$12),Rubric!$B$13,0),2)</f>
        <v>7.6</v>
      </c>
      <c r="N119" s="14" t="n">
        <v>112</v>
      </c>
      <c r="O119" s="2" t="s">
        <v>320</v>
      </c>
    </row>
    <row r="120" customFormat="false" ht="23.85" hidden="false" customHeight="false" outlineLevel="0" collapsed="false">
      <c r="A120" s="2" t="s">
        <v>60</v>
      </c>
      <c r="B120" s="2" t="s">
        <v>61</v>
      </c>
      <c r="C120" s="14" t="n">
        <v>0</v>
      </c>
      <c r="D120" s="14" t="n">
        <v>4</v>
      </c>
      <c r="E120" s="2" t="s">
        <v>321</v>
      </c>
      <c r="F120" s="15" t="n">
        <v>8</v>
      </c>
      <c r="G120" s="15" t="n">
        <v>6</v>
      </c>
      <c r="H120" s="15" t="n">
        <v>8</v>
      </c>
      <c r="I120" s="15" t="n">
        <v>8</v>
      </c>
      <c r="J120" s="15" t="n">
        <v>6</v>
      </c>
      <c r="K120" s="15" t="n">
        <v>7</v>
      </c>
      <c r="L120" s="15" t="n">
        <v>6</v>
      </c>
      <c r="M120" s="4" t="n">
        <f aca="false">ROUND(F120*Rubric!$B$4+G120*Rubric!$B$5+H120*Rubric!$B$6+I120*Rubric!$B$7+J120*Rubric!$B$8+K120*Rubric!$B$9+L120*Rubric!$B$10-IF(OR(H120&lt;Rubric!$B$12,K120&lt;Rubric!$B$12),Rubric!$B$13,0),2)</f>
        <v>6.95</v>
      </c>
      <c r="N120" s="14" t="n">
        <v>113</v>
      </c>
      <c r="O120" s="2" t="s">
        <v>208</v>
      </c>
    </row>
    <row r="121" customFormat="false" ht="23.85" hidden="false" customHeight="false" outlineLevel="0" collapsed="false">
      <c r="A121" s="2" t="s">
        <v>60</v>
      </c>
      <c r="B121" s="2" t="s">
        <v>61</v>
      </c>
      <c r="C121" s="14" t="n">
        <v>2</v>
      </c>
      <c r="D121" s="14" t="n">
        <v>4</v>
      </c>
      <c r="E121" s="2" t="s">
        <v>322</v>
      </c>
      <c r="F121" s="15" t="n">
        <v>8</v>
      </c>
      <c r="G121" s="15" t="n">
        <v>7</v>
      </c>
      <c r="H121" s="15" t="n">
        <v>8</v>
      </c>
      <c r="I121" s="15" t="n">
        <v>8</v>
      </c>
      <c r="J121" s="15" t="n">
        <v>7</v>
      </c>
      <c r="K121" s="15" t="n">
        <v>7</v>
      </c>
      <c r="L121" s="15" t="n">
        <v>7</v>
      </c>
      <c r="M121" s="4" t="n">
        <f aca="false">ROUND(F121*Rubric!$B$4+G121*Rubric!$B$5+H121*Rubric!$B$6+I121*Rubric!$B$7+J121*Rubric!$B$8+K121*Rubric!$B$9+L121*Rubric!$B$10-IF(OR(H121&lt;Rubric!$B$12,K121&lt;Rubric!$B$12),Rubric!$B$13,0),2)</f>
        <v>7.4</v>
      </c>
      <c r="N121" s="14" t="n">
        <v>113</v>
      </c>
      <c r="O121" s="2" t="s">
        <v>323</v>
      </c>
    </row>
    <row r="122" customFormat="false" ht="23.85" hidden="false" customHeight="false" outlineLevel="0" collapsed="false">
      <c r="A122" s="2" t="s">
        <v>60</v>
      </c>
      <c r="B122" s="2" t="s">
        <v>61</v>
      </c>
      <c r="C122" s="14" t="n">
        <v>3</v>
      </c>
      <c r="D122" s="14" t="n">
        <v>4</v>
      </c>
      <c r="E122" s="2" t="s">
        <v>186</v>
      </c>
      <c r="F122" s="15" t="n">
        <v>9</v>
      </c>
      <c r="G122" s="15" t="n">
        <v>7</v>
      </c>
      <c r="H122" s="15" t="n">
        <v>8</v>
      </c>
      <c r="I122" s="15" t="n">
        <v>8</v>
      </c>
      <c r="J122" s="15" t="n">
        <v>7</v>
      </c>
      <c r="K122" s="15" t="n">
        <v>7</v>
      </c>
      <c r="L122" s="15" t="n">
        <v>7</v>
      </c>
      <c r="M122" s="4" t="n">
        <f aca="false">ROUND(F122*Rubric!$B$4+G122*Rubric!$B$5+H122*Rubric!$B$6+I122*Rubric!$B$7+J122*Rubric!$B$8+K122*Rubric!$B$9+L122*Rubric!$B$10-IF(OR(H122&lt;Rubric!$B$12,K122&lt;Rubric!$B$12),Rubric!$B$13,0),2)</f>
        <v>7.5</v>
      </c>
      <c r="N122" s="14" t="n">
        <v>113</v>
      </c>
      <c r="O122" s="2" t="s">
        <v>213</v>
      </c>
    </row>
    <row r="123" customFormat="false" ht="23.85" hidden="false" customHeight="false" outlineLevel="0" collapsed="false">
      <c r="A123" s="2" t="s">
        <v>60</v>
      </c>
      <c r="B123" s="2" t="s">
        <v>61</v>
      </c>
      <c r="C123" s="14" t="n">
        <v>0</v>
      </c>
      <c r="D123" s="14" t="n">
        <v>5</v>
      </c>
      <c r="E123" s="2" t="s">
        <v>324</v>
      </c>
      <c r="F123" s="15" t="n">
        <v>8</v>
      </c>
      <c r="G123" s="15" t="n">
        <v>7</v>
      </c>
      <c r="H123" s="15" t="n">
        <v>8</v>
      </c>
      <c r="I123" s="15" t="n">
        <v>2</v>
      </c>
      <c r="J123" s="15" t="n">
        <v>8</v>
      </c>
      <c r="K123" s="15" t="n">
        <v>7</v>
      </c>
      <c r="L123" s="15" t="n">
        <v>6</v>
      </c>
      <c r="M123" s="4" t="n">
        <f aca="false">ROUND(F123*Rubric!$B$4+G123*Rubric!$B$5+H123*Rubric!$B$6+I123*Rubric!$B$7+J123*Rubric!$B$8+K123*Rubric!$B$9+L123*Rubric!$B$10-IF(OR(H123&lt;Rubric!$B$12,K123&lt;Rubric!$B$12),Rubric!$B$13,0),2)</f>
        <v>6.85</v>
      </c>
      <c r="N123" s="14" t="n">
        <v>114</v>
      </c>
      <c r="O123" s="2" t="s">
        <v>208</v>
      </c>
    </row>
    <row r="124" customFormat="false" ht="23.85" hidden="false" customHeight="false" outlineLevel="0" collapsed="false">
      <c r="A124" s="2" t="s">
        <v>60</v>
      </c>
      <c r="B124" s="2" t="s">
        <v>61</v>
      </c>
      <c r="C124" s="14" t="n">
        <v>1</v>
      </c>
      <c r="D124" s="14" t="n">
        <v>5</v>
      </c>
      <c r="E124" s="2" t="s">
        <v>325</v>
      </c>
      <c r="F124" s="15" t="n">
        <v>8</v>
      </c>
      <c r="G124" s="15" t="n">
        <v>7</v>
      </c>
      <c r="H124" s="15" t="n">
        <v>8</v>
      </c>
      <c r="I124" s="15" t="n">
        <v>3</v>
      </c>
      <c r="J124" s="15" t="n">
        <v>8</v>
      </c>
      <c r="K124" s="15" t="n">
        <v>8</v>
      </c>
      <c r="L124" s="15" t="n">
        <v>7</v>
      </c>
      <c r="M124" s="4" t="n">
        <f aca="false">ROUND(F124*Rubric!$B$4+G124*Rubric!$B$5+H124*Rubric!$B$6+I124*Rubric!$B$7+J124*Rubric!$B$8+K124*Rubric!$B$9+L124*Rubric!$B$10-IF(OR(H124&lt;Rubric!$B$12,K124&lt;Rubric!$B$12),Rubric!$B$13,0),2)</f>
        <v>7.2</v>
      </c>
      <c r="N124" s="14" t="n">
        <v>114</v>
      </c>
      <c r="O124" s="2" t="s">
        <v>326</v>
      </c>
    </row>
    <row r="125" customFormat="false" ht="23.85" hidden="false" customHeight="false" outlineLevel="0" collapsed="false">
      <c r="A125" s="2" t="s">
        <v>60</v>
      </c>
      <c r="B125" s="2" t="s">
        <v>61</v>
      </c>
      <c r="C125" s="14" t="n">
        <v>2</v>
      </c>
      <c r="D125" s="14" t="n">
        <v>5</v>
      </c>
      <c r="E125" s="2" t="s">
        <v>187</v>
      </c>
      <c r="F125" s="15" t="n">
        <v>8</v>
      </c>
      <c r="G125" s="15" t="n">
        <v>8</v>
      </c>
      <c r="H125" s="15" t="n">
        <v>8</v>
      </c>
      <c r="I125" s="15" t="n">
        <v>3</v>
      </c>
      <c r="J125" s="15" t="n">
        <v>8</v>
      </c>
      <c r="K125" s="15" t="n">
        <v>8</v>
      </c>
      <c r="L125" s="15" t="n">
        <v>8</v>
      </c>
      <c r="M125" s="4" t="n">
        <f aca="false">ROUND(F125*Rubric!$B$4+G125*Rubric!$B$5+H125*Rubric!$B$6+I125*Rubric!$B$7+J125*Rubric!$B$8+K125*Rubric!$B$9+L125*Rubric!$B$10-IF(OR(H125&lt;Rubric!$B$12,K125&lt;Rubric!$B$12),Rubric!$B$13,0),2)</f>
        <v>7.5</v>
      </c>
      <c r="N125" s="14" t="n">
        <v>114</v>
      </c>
      <c r="O125" s="2" t="s">
        <v>327</v>
      </c>
    </row>
    <row r="126" customFormat="false" ht="23.85" hidden="false" customHeight="false" outlineLevel="0" collapsed="false">
      <c r="A126" s="2" t="s">
        <v>65</v>
      </c>
      <c r="B126" s="2" t="s">
        <v>66</v>
      </c>
      <c r="C126" s="14" t="n">
        <v>0</v>
      </c>
      <c r="D126" s="14" t="n">
        <v>1</v>
      </c>
      <c r="E126" s="2" t="s">
        <v>328</v>
      </c>
      <c r="F126" s="15" t="n">
        <v>8</v>
      </c>
      <c r="G126" s="15" t="n">
        <v>8</v>
      </c>
      <c r="H126" s="15" t="n">
        <v>7</v>
      </c>
      <c r="I126" s="15" t="n">
        <v>3</v>
      </c>
      <c r="J126" s="15" t="n">
        <v>8</v>
      </c>
      <c r="K126" s="15" t="n">
        <v>7</v>
      </c>
      <c r="L126" s="15" t="n">
        <v>7</v>
      </c>
      <c r="M126" s="4" t="n">
        <f aca="false">ROUND(F126*Rubric!$B$4+G126*Rubric!$B$5+H126*Rubric!$B$6+I126*Rubric!$B$7+J126*Rubric!$B$8+K126*Rubric!$B$9+L126*Rubric!$B$10-IF(OR(H126&lt;Rubric!$B$12,K126&lt;Rubric!$B$12),Rubric!$B$13,0),2)</f>
        <v>7.05</v>
      </c>
      <c r="N126" s="14" t="n">
        <v>120</v>
      </c>
      <c r="O126" s="2" t="s">
        <v>208</v>
      </c>
    </row>
    <row r="127" customFormat="false" ht="23.85" hidden="false" customHeight="false" outlineLevel="0" collapsed="false">
      <c r="A127" s="2" t="s">
        <v>65</v>
      </c>
      <c r="B127" s="2" t="s">
        <v>66</v>
      </c>
      <c r="C127" s="14" t="n">
        <v>2</v>
      </c>
      <c r="D127" s="14" t="n">
        <v>1</v>
      </c>
      <c r="E127" s="2" t="s">
        <v>188</v>
      </c>
      <c r="F127" s="15" t="n">
        <v>8</v>
      </c>
      <c r="G127" s="15" t="n">
        <v>8</v>
      </c>
      <c r="H127" s="15" t="n">
        <v>8</v>
      </c>
      <c r="I127" s="15" t="n">
        <v>3</v>
      </c>
      <c r="J127" s="15" t="n">
        <v>8</v>
      </c>
      <c r="K127" s="15" t="n">
        <v>8</v>
      </c>
      <c r="L127" s="15" t="n">
        <v>9</v>
      </c>
      <c r="M127" s="4" t="n">
        <f aca="false">ROUND(F127*Rubric!$B$4+G127*Rubric!$B$5+H127*Rubric!$B$6+I127*Rubric!$B$7+J127*Rubric!$B$8+K127*Rubric!$B$9+L127*Rubric!$B$10-IF(OR(H127&lt;Rubric!$B$12,K127&lt;Rubric!$B$12),Rubric!$B$13,0),2)</f>
        <v>7.6</v>
      </c>
      <c r="N127" s="14" t="n">
        <v>120</v>
      </c>
      <c r="O127" s="2" t="s">
        <v>329</v>
      </c>
    </row>
    <row r="128" customFormat="false" ht="23.85" hidden="false" customHeight="false" outlineLevel="0" collapsed="false">
      <c r="A128" s="2" t="s">
        <v>65</v>
      </c>
      <c r="B128" s="2" t="s">
        <v>66</v>
      </c>
      <c r="C128" s="14" t="n">
        <v>0</v>
      </c>
      <c r="D128" s="14" t="n">
        <v>2</v>
      </c>
      <c r="E128" s="2" t="s">
        <v>189</v>
      </c>
      <c r="F128" s="15" t="n">
        <v>9</v>
      </c>
      <c r="G128" s="15" t="n">
        <v>9</v>
      </c>
      <c r="H128" s="15" t="n">
        <v>7</v>
      </c>
      <c r="I128" s="15" t="n">
        <v>3</v>
      </c>
      <c r="J128" s="15" t="n">
        <v>9</v>
      </c>
      <c r="K128" s="15" t="n">
        <v>8</v>
      </c>
      <c r="L128" s="15" t="n">
        <v>8</v>
      </c>
      <c r="M128" s="4" t="n">
        <f aca="false">ROUND(F128*Rubric!$B$4+G128*Rubric!$B$5+H128*Rubric!$B$6+I128*Rubric!$B$7+J128*Rubric!$B$8+K128*Rubric!$B$9+L128*Rubric!$B$10-IF(OR(H128&lt;Rubric!$B$12,K128&lt;Rubric!$B$12),Rubric!$B$13,0),2)</f>
        <v>7.75</v>
      </c>
      <c r="N128" s="14" t="n">
        <v>121</v>
      </c>
      <c r="O128" s="2" t="s">
        <v>208</v>
      </c>
    </row>
    <row r="129" customFormat="false" ht="23.85" hidden="false" customHeight="false" outlineLevel="0" collapsed="false">
      <c r="A129" s="2" t="s">
        <v>65</v>
      </c>
      <c r="B129" s="2" t="s">
        <v>66</v>
      </c>
      <c r="C129" s="14" t="n">
        <v>0</v>
      </c>
      <c r="D129" s="14" t="n">
        <v>3</v>
      </c>
      <c r="E129" s="2" t="s">
        <v>330</v>
      </c>
      <c r="F129" s="15" t="n">
        <v>8</v>
      </c>
      <c r="G129" s="15" t="n">
        <v>7</v>
      </c>
      <c r="H129" s="15" t="n">
        <v>8</v>
      </c>
      <c r="I129" s="15" t="n">
        <v>3</v>
      </c>
      <c r="J129" s="15" t="n">
        <v>7</v>
      </c>
      <c r="K129" s="15" t="n">
        <v>7</v>
      </c>
      <c r="L129" s="15" t="n">
        <v>5</v>
      </c>
      <c r="M129" s="4" t="n">
        <f aca="false">ROUND(F129*Rubric!$B$4+G129*Rubric!$B$5+H129*Rubric!$B$6+I129*Rubric!$B$7+J129*Rubric!$B$8+K129*Rubric!$B$9+L129*Rubric!$B$10-IF(OR(H129&lt;Rubric!$B$12,K129&lt;Rubric!$B$12),Rubric!$B$13,0),2)</f>
        <v>6.7</v>
      </c>
      <c r="N129" s="14" t="n">
        <v>122</v>
      </c>
      <c r="O129" s="2" t="s">
        <v>208</v>
      </c>
    </row>
    <row r="130" customFormat="false" ht="23.85" hidden="false" customHeight="false" outlineLevel="0" collapsed="false">
      <c r="A130" s="2" t="s">
        <v>65</v>
      </c>
      <c r="B130" s="2" t="s">
        <v>66</v>
      </c>
      <c r="C130" s="14" t="n">
        <v>1</v>
      </c>
      <c r="D130" s="14" t="n">
        <v>3</v>
      </c>
      <c r="E130" s="2" t="s">
        <v>331</v>
      </c>
      <c r="F130" s="15" t="n">
        <v>8</v>
      </c>
      <c r="G130" s="15" t="n">
        <v>7</v>
      </c>
      <c r="H130" s="15" t="n">
        <v>7</v>
      </c>
      <c r="I130" s="15" t="n">
        <v>3</v>
      </c>
      <c r="J130" s="15" t="n">
        <v>7</v>
      </c>
      <c r="K130" s="15" t="n">
        <v>7</v>
      </c>
      <c r="L130" s="15" t="n">
        <v>8</v>
      </c>
      <c r="M130" s="4" t="n">
        <f aca="false">ROUND(F130*Rubric!$B$4+G130*Rubric!$B$5+H130*Rubric!$B$6+I130*Rubric!$B$7+J130*Rubric!$B$8+K130*Rubric!$B$9+L130*Rubric!$B$10-IF(OR(H130&lt;Rubric!$B$12,K130&lt;Rubric!$B$12),Rubric!$B$13,0),2)</f>
        <v>6.8</v>
      </c>
      <c r="N130" s="14" t="n">
        <v>122</v>
      </c>
      <c r="O130" s="2" t="s">
        <v>332</v>
      </c>
    </row>
    <row r="131" customFormat="false" ht="23.85" hidden="false" customHeight="false" outlineLevel="0" collapsed="false">
      <c r="A131" s="2" t="s">
        <v>65</v>
      </c>
      <c r="B131" s="2" t="s">
        <v>66</v>
      </c>
      <c r="C131" s="14" t="n">
        <v>2</v>
      </c>
      <c r="D131" s="14" t="n">
        <v>3</v>
      </c>
      <c r="E131" s="2" t="s">
        <v>333</v>
      </c>
      <c r="F131" s="15" t="n">
        <v>8</v>
      </c>
      <c r="G131" s="15" t="n">
        <v>7</v>
      </c>
      <c r="H131" s="15" t="n">
        <v>8</v>
      </c>
      <c r="I131" s="15" t="n">
        <v>3</v>
      </c>
      <c r="J131" s="15" t="n">
        <v>7</v>
      </c>
      <c r="K131" s="15" t="n">
        <v>8</v>
      </c>
      <c r="L131" s="15" t="n">
        <v>9</v>
      </c>
      <c r="M131" s="4" t="n">
        <f aca="false">ROUND(F131*Rubric!$B$4+G131*Rubric!$B$5+H131*Rubric!$B$6+I131*Rubric!$B$7+J131*Rubric!$B$8+K131*Rubric!$B$9+L131*Rubric!$B$10-IF(OR(H131&lt;Rubric!$B$12,K131&lt;Rubric!$B$12),Rubric!$B$13,0),2)</f>
        <v>7.25</v>
      </c>
      <c r="N131" s="14" t="n">
        <v>122</v>
      </c>
      <c r="O131" s="2" t="s">
        <v>334</v>
      </c>
    </row>
    <row r="132" customFormat="false" ht="23.85" hidden="false" customHeight="false" outlineLevel="0" collapsed="false">
      <c r="A132" s="2" t="s">
        <v>65</v>
      </c>
      <c r="B132" s="2" t="s">
        <v>66</v>
      </c>
      <c r="C132" s="14" t="n">
        <v>3</v>
      </c>
      <c r="D132" s="14" t="n">
        <v>3</v>
      </c>
      <c r="E132" s="2" t="s">
        <v>190</v>
      </c>
      <c r="F132" s="15" t="n">
        <v>8</v>
      </c>
      <c r="G132" s="15" t="n">
        <v>8</v>
      </c>
      <c r="H132" s="15" t="n">
        <v>8</v>
      </c>
      <c r="I132" s="15" t="n">
        <v>3</v>
      </c>
      <c r="J132" s="15" t="n">
        <v>7</v>
      </c>
      <c r="K132" s="15" t="n">
        <v>8</v>
      </c>
      <c r="L132" s="15" t="n">
        <v>9</v>
      </c>
      <c r="M132" s="4" t="n">
        <f aca="false">ROUND(F132*Rubric!$B$4+G132*Rubric!$B$5+H132*Rubric!$B$6+I132*Rubric!$B$7+J132*Rubric!$B$8+K132*Rubric!$B$9+L132*Rubric!$B$10-IF(OR(H132&lt;Rubric!$B$12,K132&lt;Rubric!$B$12),Rubric!$B$13,0),2)</f>
        <v>7.45</v>
      </c>
      <c r="N132" s="14" t="n">
        <v>122</v>
      </c>
      <c r="O132" s="2" t="s">
        <v>335</v>
      </c>
    </row>
    <row r="133" customFormat="false" ht="23.85" hidden="false" customHeight="false" outlineLevel="0" collapsed="false">
      <c r="A133" s="2" t="s">
        <v>65</v>
      </c>
      <c r="B133" s="2" t="s">
        <v>66</v>
      </c>
      <c r="C133" s="14" t="n">
        <v>0</v>
      </c>
      <c r="D133" s="14" t="n">
        <v>4</v>
      </c>
      <c r="E133" s="2" t="s">
        <v>336</v>
      </c>
      <c r="F133" s="15" t="n">
        <v>8</v>
      </c>
      <c r="G133" s="15" t="n">
        <v>8</v>
      </c>
      <c r="H133" s="15" t="n">
        <v>7</v>
      </c>
      <c r="I133" s="15" t="n">
        <v>3</v>
      </c>
      <c r="J133" s="15" t="n">
        <v>8</v>
      </c>
      <c r="K133" s="15" t="n">
        <v>7</v>
      </c>
      <c r="L133" s="15" t="n">
        <v>7</v>
      </c>
      <c r="M133" s="4" t="n">
        <f aca="false">ROUND(F133*Rubric!$B$4+G133*Rubric!$B$5+H133*Rubric!$B$6+I133*Rubric!$B$7+J133*Rubric!$B$8+K133*Rubric!$B$9+L133*Rubric!$B$10-IF(OR(H133&lt;Rubric!$B$12,K133&lt;Rubric!$B$12),Rubric!$B$13,0),2)</f>
        <v>7.05</v>
      </c>
      <c r="N133" s="14" t="n">
        <v>123</v>
      </c>
      <c r="O133" s="2" t="s">
        <v>208</v>
      </c>
    </row>
    <row r="134" customFormat="false" ht="23.85" hidden="false" customHeight="false" outlineLevel="0" collapsed="false">
      <c r="A134" s="2" t="s">
        <v>65</v>
      </c>
      <c r="B134" s="2" t="s">
        <v>66</v>
      </c>
      <c r="C134" s="14" t="n">
        <v>2</v>
      </c>
      <c r="D134" s="14" t="n">
        <v>4</v>
      </c>
      <c r="E134" s="2" t="s">
        <v>337</v>
      </c>
      <c r="F134" s="15" t="n">
        <v>9</v>
      </c>
      <c r="G134" s="15" t="n">
        <v>8</v>
      </c>
      <c r="H134" s="15" t="n">
        <v>7</v>
      </c>
      <c r="I134" s="15" t="n">
        <v>3</v>
      </c>
      <c r="J134" s="15" t="n">
        <v>8</v>
      </c>
      <c r="K134" s="15" t="n">
        <v>7</v>
      </c>
      <c r="L134" s="15" t="n">
        <v>8</v>
      </c>
      <c r="M134" s="4" t="n">
        <f aca="false">ROUND(F134*Rubric!$B$4+G134*Rubric!$B$5+H134*Rubric!$B$6+I134*Rubric!$B$7+J134*Rubric!$B$8+K134*Rubric!$B$9+L134*Rubric!$B$10-IF(OR(H134&lt;Rubric!$B$12,K134&lt;Rubric!$B$12),Rubric!$B$13,0),2)</f>
        <v>7.25</v>
      </c>
      <c r="N134" s="14" t="n">
        <v>123</v>
      </c>
      <c r="O134" s="2" t="s">
        <v>338</v>
      </c>
    </row>
    <row r="135" customFormat="false" ht="23.85" hidden="false" customHeight="false" outlineLevel="0" collapsed="false">
      <c r="A135" s="2" t="s">
        <v>65</v>
      </c>
      <c r="B135" s="2" t="s">
        <v>66</v>
      </c>
      <c r="C135" s="14" t="n">
        <v>3</v>
      </c>
      <c r="D135" s="14" t="n">
        <v>4</v>
      </c>
      <c r="E135" s="2" t="s">
        <v>191</v>
      </c>
      <c r="F135" s="15" t="n">
        <v>8</v>
      </c>
      <c r="G135" s="15" t="n">
        <v>8</v>
      </c>
      <c r="H135" s="15" t="n">
        <v>8</v>
      </c>
      <c r="I135" s="15" t="n">
        <v>3</v>
      </c>
      <c r="J135" s="15" t="n">
        <v>8</v>
      </c>
      <c r="K135" s="15" t="n">
        <v>8</v>
      </c>
      <c r="L135" s="15" t="n">
        <v>8</v>
      </c>
      <c r="M135" s="4" t="n">
        <f aca="false">ROUND(F135*Rubric!$B$4+G135*Rubric!$B$5+H135*Rubric!$B$6+I135*Rubric!$B$7+J135*Rubric!$B$8+K135*Rubric!$B$9+L135*Rubric!$B$10-IF(OR(H135&lt;Rubric!$B$12,K135&lt;Rubric!$B$12),Rubric!$B$13,0),2)</f>
        <v>7.5</v>
      </c>
      <c r="N135" s="14" t="n">
        <v>123</v>
      </c>
      <c r="O135" s="2" t="s">
        <v>339</v>
      </c>
    </row>
    <row r="136" customFormat="false" ht="23.85" hidden="false" customHeight="false" outlineLevel="0" collapsed="false">
      <c r="A136" s="2" t="s">
        <v>65</v>
      </c>
      <c r="B136" s="2" t="s">
        <v>66</v>
      </c>
      <c r="C136" s="14" t="n">
        <v>0</v>
      </c>
      <c r="D136" s="14" t="n">
        <v>5</v>
      </c>
      <c r="E136" s="2" t="s">
        <v>340</v>
      </c>
      <c r="F136" s="15" t="n">
        <v>7</v>
      </c>
      <c r="G136" s="15" t="n">
        <v>7</v>
      </c>
      <c r="H136" s="15" t="n">
        <v>7</v>
      </c>
      <c r="I136" s="15" t="n">
        <v>9</v>
      </c>
      <c r="J136" s="15" t="n">
        <v>7</v>
      </c>
      <c r="K136" s="15" t="n">
        <v>7</v>
      </c>
      <c r="L136" s="15" t="n">
        <v>7</v>
      </c>
      <c r="M136" s="4" t="n">
        <f aca="false">ROUND(F136*Rubric!$B$4+G136*Rubric!$B$5+H136*Rubric!$B$6+I136*Rubric!$B$7+J136*Rubric!$B$8+K136*Rubric!$B$9+L136*Rubric!$B$10-IF(OR(H136&lt;Rubric!$B$12,K136&lt;Rubric!$B$12),Rubric!$B$13,0),2)</f>
        <v>7.2</v>
      </c>
      <c r="N136" s="14" t="n">
        <v>124</v>
      </c>
      <c r="O136" s="2" t="s">
        <v>208</v>
      </c>
    </row>
    <row r="137" customFormat="false" ht="23.85" hidden="false" customHeight="false" outlineLevel="0" collapsed="false">
      <c r="A137" s="2" t="s">
        <v>65</v>
      </c>
      <c r="B137" s="2" t="s">
        <v>66</v>
      </c>
      <c r="C137" s="14" t="n">
        <v>2</v>
      </c>
      <c r="D137" s="14" t="n">
        <v>5</v>
      </c>
      <c r="E137" s="2" t="s">
        <v>192</v>
      </c>
      <c r="F137" s="15" t="n">
        <v>8</v>
      </c>
      <c r="G137" s="15" t="n">
        <v>8</v>
      </c>
      <c r="H137" s="15" t="n">
        <v>8</v>
      </c>
      <c r="I137" s="15" t="n">
        <v>9</v>
      </c>
      <c r="J137" s="15" t="n">
        <v>7</v>
      </c>
      <c r="K137" s="15" t="n">
        <v>8</v>
      </c>
      <c r="L137" s="15" t="n">
        <v>8</v>
      </c>
      <c r="M137" s="4" t="n">
        <f aca="false">ROUND(F137*Rubric!$B$4+G137*Rubric!$B$5+H137*Rubric!$B$6+I137*Rubric!$B$7+J137*Rubric!$B$8+K137*Rubric!$B$9+L137*Rubric!$B$10-IF(OR(H137&lt;Rubric!$B$12,K137&lt;Rubric!$B$12),Rubric!$B$13,0),2)</f>
        <v>7.95</v>
      </c>
      <c r="N137" s="14" t="n">
        <v>124</v>
      </c>
      <c r="O137" s="2" t="s">
        <v>341</v>
      </c>
    </row>
    <row r="138" customFormat="false" ht="23.85" hidden="false" customHeight="false" outlineLevel="0" collapsed="false">
      <c r="A138" s="2" t="s">
        <v>70</v>
      </c>
      <c r="B138" s="2" t="s">
        <v>71</v>
      </c>
      <c r="C138" s="14" t="n">
        <v>0</v>
      </c>
      <c r="D138" s="14" t="n">
        <v>1</v>
      </c>
      <c r="E138" s="2" t="s">
        <v>342</v>
      </c>
      <c r="F138" s="15" t="n">
        <v>8</v>
      </c>
      <c r="G138" s="15" t="n">
        <v>8</v>
      </c>
      <c r="H138" s="15" t="n">
        <v>7</v>
      </c>
      <c r="I138" s="15" t="n">
        <v>3</v>
      </c>
      <c r="J138" s="15" t="n">
        <v>9</v>
      </c>
      <c r="K138" s="15" t="n">
        <v>7</v>
      </c>
      <c r="L138" s="15" t="n">
        <v>7</v>
      </c>
      <c r="M138" s="4" t="n">
        <f aca="false">ROUND(F138*Rubric!$B$4+G138*Rubric!$B$5+H138*Rubric!$B$6+I138*Rubric!$B$7+J138*Rubric!$B$8+K138*Rubric!$B$9+L138*Rubric!$B$10-IF(OR(H138&lt;Rubric!$B$12,K138&lt;Rubric!$B$12),Rubric!$B$13,0),2)</f>
        <v>7.2</v>
      </c>
      <c r="N138" s="14" t="n">
        <v>130</v>
      </c>
      <c r="O138" s="2" t="s">
        <v>208</v>
      </c>
    </row>
    <row r="139" customFormat="false" ht="23.85" hidden="false" customHeight="false" outlineLevel="0" collapsed="false">
      <c r="A139" s="2" t="s">
        <v>70</v>
      </c>
      <c r="B139" s="2" t="s">
        <v>71</v>
      </c>
      <c r="C139" s="14" t="n">
        <v>2</v>
      </c>
      <c r="D139" s="14" t="n">
        <v>1</v>
      </c>
      <c r="E139" s="2" t="s">
        <v>193</v>
      </c>
      <c r="F139" s="15" t="n">
        <v>8</v>
      </c>
      <c r="G139" s="15" t="n">
        <v>9</v>
      </c>
      <c r="H139" s="15" t="n">
        <v>7</v>
      </c>
      <c r="I139" s="15" t="n">
        <v>3</v>
      </c>
      <c r="J139" s="15" t="n">
        <v>9</v>
      </c>
      <c r="K139" s="15" t="n">
        <v>8</v>
      </c>
      <c r="L139" s="15" t="n">
        <v>8</v>
      </c>
      <c r="M139" s="4" t="n">
        <f aca="false">ROUND(F139*Rubric!$B$4+G139*Rubric!$B$5+H139*Rubric!$B$6+I139*Rubric!$B$7+J139*Rubric!$B$8+K139*Rubric!$B$9+L139*Rubric!$B$10-IF(OR(H139&lt;Rubric!$B$12,K139&lt;Rubric!$B$12),Rubric!$B$13,0),2)</f>
        <v>7.65</v>
      </c>
      <c r="N139" s="14" t="n">
        <v>130</v>
      </c>
      <c r="O139" s="2" t="s">
        <v>343</v>
      </c>
    </row>
    <row r="140" customFormat="false" ht="23.85" hidden="false" customHeight="false" outlineLevel="0" collapsed="false">
      <c r="A140" s="2" t="s">
        <v>70</v>
      </c>
      <c r="B140" s="2" t="s">
        <v>71</v>
      </c>
      <c r="C140" s="14" t="n">
        <v>0</v>
      </c>
      <c r="D140" s="14" t="n">
        <v>2</v>
      </c>
      <c r="E140" s="2" t="s">
        <v>344</v>
      </c>
      <c r="F140" s="15" t="n">
        <v>8</v>
      </c>
      <c r="G140" s="15" t="n">
        <v>7</v>
      </c>
      <c r="H140" s="15" t="n">
        <v>8</v>
      </c>
      <c r="I140" s="15" t="n">
        <v>3</v>
      </c>
      <c r="J140" s="15" t="n">
        <v>8</v>
      </c>
      <c r="K140" s="15" t="n">
        <v>8</v>
      </c>
      <c r="L140" s="15" t="n">
        <v>6</v>
      </c>
      <c r="M140" s="4" t="n">
        <f aca="false">ROUND(F140*Rubric!$B$4+G140*Rubric!$B$5+H140*Rubric!$B$6+I140*Rubric!$B$7+J140*Rubric!$B$8+K140*Rubric!$B$9+L140*Rubric!$B$10-IF(OR(H140&lt;Rubric!$B$12,K140&lt;Rubric!$B$12),Rubric!$B$13,0),2)</f>
        <v>7.1</v>
      </c>
      <c r="N140" s="14" t="n">
        <v>131</v>
      </c>
      <c r="O140" s="2" t="s">
        <v>208</v>
      </c>
    </row>
    <row r="141" customFormat="false" ht="23.85" hidden="false" customHeight="false" outlineLevel="0" collapsed="false">
      <c r="A141" s="2" t="s">
        <v>70</v>
      </c>
      <c r="B141" s="2" t="s">
        <v>71</v>
      </c>
      <c r="C141" s="14" t="n">
        <v>2</v>
      </c>
      <c r="D141" s="14" t="n">
        <v>2</v>
      </c>
      <c r="E141" s="2" t="s">
        <v>194</v>
      </c>
      <c r="F141" s="15" t="n">
        <v>8</v>
      </c>
      <c r="G141" s="15" t="n">
        <v>8</v>
      </c>
      <c r="H141" s="15" t="n">
        <v>8</v>
      </c>
      <c r="I141" s="15" t="n">
        <v>3</v>
      </c>
      <c r="J141" s="15" t="n">
        <v>8</v>
      </c>
      <c r="K141" s="15" t="n">
        <v>8</v>
      </c>
      <c r="L141" s="15" t="n">
        <v>7</v>
      </c>
      <c r="M141" s="4" t="n">
        <f aca="false">ROUND(F141*Rubric!$B$4+G141*Rubric!$B$5+H141*Rubric!$B$6+I141*Rubric!$B$7+J141*Rubric!$B$8+K141*Rubric!$B$9+L141*Rubric!$B$10-IF(OR(H141&lt;Rubric!$B$12,K141&lt;Rubric!$B$12),Rubric!$B$13,0),2)</f>
        <v>7.4</v>
      </c>
      <c r="N141" s="14" t="n">
        <v>131</v>
      </c>
      <c r="O141" s="2" t="s">
        <v>345</v>
      </c>
    </row>
    <row r="142" customFormat="false" ht="23.85" hidden="false" customHeight="false" outlineLevel="0" collapsed="false">
      <c r="A142" s="2" t="s">
        <v>70</v>
      </c>
      <c r="B142" s="2" t="s">
        <v>71</v>
      </c>
      <c r="C142" s="14" t="n">
        <v>3</v>
      </c>
      <c r="D142" s="14" t="n">
        <v>2</v>
      </c>
      <c r="E142" s="2" t="s">
        <v>194</v>
      </c>
      <c r="F142" s="15" t="n">
        <v>9</v>
      </c>
      <c r="G142" s="15" t="n">
        <v>8</v>
      </c>
      <c r="H142" s="15" t="n">
        <v>8</v>
      </c>
      <c r="I142" s="15" t="n">
        <v>3</v>
      </c>
      <c r="J142" s="15" t="n">
        <v>8</v>
      </c>
      <c r="K142" s="15" t="n">
        <v>8</v>
      </c>
      <c r="L142" s="15" t="n">
        <v>7</v>
      </c>
      <c r="M142" s="4" t="n">
        <f aca="false">ROUND(F142*Rubric!$B$4+G142*Rubric!$B$5+H142*Rubric!$B$6+I142*Rubric!$B$7+J142*Rubric!$B$8+K142*Rubric!$B$9+L142*Rubric!$B$10-IF(OR(H142&lt;Rubric!$B$12,K142&lt;Rubric!$B$12),Rubric!$B$13,0),2)</f>
        <v>7.5</v>
      </c>
      <c r="N142" s="14" t="n">
        <v>131</v>
      </c>
      <c r="O142" s="2" t="s">
        <v>213</v>
      </c>
    </row>
    <row r="143" customFormat="false" ht="23.85" hidden="false" customHeight="false" outlineLevel="0" collapsed="false">
      <c r="A143" s="2" t="s">
        <v>70</v>
      </c>
      <c r="B143" s="2" t="s">
        <v>71</v>
      </c>
      <c r="C143" s="14" t="n">
        <v>0</v>
      </c>
      <c r="D143" s="14" t="n">
        <v>3</v>
      </c>
      <c r="E143" s="2" t="s">
        <v>195</v>
      </c>
      <c r="F143" s="15" t="n">
        <v>9</v>
      </c>
      <c r="G143" s="15" t="n">
        <v>9</v>
      </c>
      <c r="H143" s="15" t="n">
        <v>7</v>
      </c>
      <c r="I143" s="15" t="n">
        <v>3</v>
      </c>
      <c r="J143" s="15" t="n">
        <v>9</v>
      </c>
      <c r="K143" s="15" t="n">
        <v>8</v>
      </c>
      <c r="L143" s="15" t="n">
        <v>8</v>
      </c>
      <c r="M143" s="4" t="n">
        <f aca="false">ROUND(F143*Rubric!$B$4+G143*Rubric!$B$5+H143*Rubric!$B$6+I143*Rubric!$B$7+J143*Rubric!$B$8+K143*Rubric!$B$9+L143*Rubric!$B$10-IF(OR(H143&lt;Rubric!$B$12,K143&lt;Rubric!$B$12),Rubric!$B$13,0),2)</f>
        <v>7.75</v>
      </c>
      <c r="N143" s="14" t="n">
        <v>132</v>
      </c>
      <c r="O143" s="2" t="s">
        <v>208</v>
      </c>
    </row>
    <row r="144" customFormat="false" ht="23.85" hidden="false" customHeight="false" outlineLevel="0" collapsed="false">
      <c r="A144" s="2" t="s">
        <v>70</v>
      </c>
      <c r="B144" s="2" t="s">
        <v>71</v>
      </c>
      <c r="C144" s="14" t="n">
        <v>0</v>
      </c>
      <c r="D144" s="14" t="n">
        <v>4</v>
      </c>
      <c r="E144" s="2" t="s">
        <v>346</v>
      </c>
      <c r="F144" s="15" t="n">
        <v>8</v>
      </c>
      <c r="G144" s="15" t="n">
        <v>8</v>
      </c>
      <c r="H144" s="15" t="n">
        <v>8</v>
      </c>
      <c r="I144" s="15" t="n">
        <v>3</v>
      </c>
      <c r="J144" s="15" t="n">
        <v>8</v>
      </c>
      <c r="K144" s="15" t="n">
        <v>8</v>
      </c>
      <c r="L144" s="15" t="n">
        <v>6</v>
      </c>
      <c r="M144" s="4" t="n">
        <f aca="false">ROUND(F144*Rubric!$B$4+G144*Rubric!$B$5+H144*Rubric!$B$6+I144*Rubric!$B$7+J144*Rubric!$B$8+K144*Rubric!$B$9+L144*Rubric!$B$10-IF(OR(H144&lt;Rubric!$B$12,K144&lt;Rubric!$B$12),Rubric!$B$13,0),2)</f>
        <v>7.3</v>
      </c>
      <c r="N144" s="14" t="n">
        <v>133</v>
      </c>
      <c r="O144" s="2" t="s">
        <v>208</v>
      </c>
    </row>
    <row r="145" customFormat="false" ht="23.85" hidden="false" customHeight="false" outlineLevel="0" collapsed="false">
      <c r="A145" s="2" t="s">
        <v>70</v>
      </c>
      <c r="B145" s="2" t="s">
        <v>71</v>
      </c>
      <c r="C145" s="14" t="n">
        <v>3</v>
      </c>
      <c r="D145" s="14" t="n">
        <v>4</v>
      </c>
      <c r="E145" s="2" t="s">
        <v>196</v>
      </c>
      <c r="F145" s="15" t="n">
        <v>8</v>
      </c>
      <c r="G145" s="15" t="n">
        <v>8</v>
      </c>
      <c r="H145" s="15" t="n">
        <v>8</v>
      </c>
      <c r="I145" s="15" t="n">
        <v>3</v>
      </c>
      <c r="J145" s="15" t="n">
        <v>8</v>
      </c>
      <c r="K145" s="15" t="n">
        <v>8</v>
      </c>
      <c r="L145" s="15" t="n">
        <v>7</v>
      </c>
      <c r="M145" s="4" t="n">
        <f aca="false">ROUND(F145*Rubric!$B$4+G145*Rubric!$B$5+H145*Rubric!$B$6+I145*Rubric!$B$7+J145*Rubric!$B$8+K145*Rubric!$B$9+L145*Rubric!$B$10-IF(OR(H145&lt;Rubric!$B$12,K145&lt;Rubric!$B$12),Rubric!$B$13,0),2)</f>
        <v>7.4</v>
      </c>
      <c r="N145" s="14" t="n">
        <v>133</v>
      </c>
      <c r="O145" s="2" t="s">
        <v>347</v>
      </c>
    </row>
    <row r="146" customFormat="false" ht="23.85" hidden="false" customHeight="false" outlineLevel="0" collapsed="false">
      <c r="A146" s="2" t="s">
        <v>70</v>
      </c>
      <c r="B146" s="2" t="s">
        <v>71</v>
      </c>
      <c r="C146" s="14" t="n">
        <v>0</v>
      </c>
      <c r="D146" s="14" t="n">
        <v>5</v>
      </c>
      <c r="E146" s="2" t="s">
        <v>197</v>
      </c>
      <c r="F146" s="15" t="n">
        <v>8</v>
      </c>
      <c r="G146" s="15" t="n">
        <v>8</v>
      </c>
      <c r="H146" s="15" t="n">
        <v>7</v>
      </c>
      <c r="I146" s="15" t="n">
        <v>9</v>
      </c>
      <c r="J146" s="15" t="n">
        <v>8</v>
      </c>
      <c r="K146" s="15" t="n">
        <v>8</v>
      </c>
      <c r="L146" s="15" t="n">
        <v>9</v>
      </c>
      <c r="M146" s="4" t="n">
        <f aca="false">ROUND(F146*Rubric!$B$4+G146*Rubric!$B$5+H146*Rubric!$B$6+I146*Rubric!$B$7+J146*Rubric!$B$8+K146*Rubric!$B$9+L146*Rubric!$B$10-IF(OR(H146&lt;Rubric!$B$12,K146&lt;Rubric!$B$12),Rubric!$B$13,0),2)</f>
        <v>8</v>
      </c>
      <c r="N146" s="14" t="n">
        <v>134</v>
      </c>
      <c r="O146" s="2" t="s">
        <v>208</v>
      </c>
    </row>
  </sheetData>
  <autoFilter ref="A1:O1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7" t="s">
        <v>127</v>
      </c>
      <c r="B1" s="17" t="s">
        <v>348</v>
      </c>
      <c r="C1" s="17" t="s">
        <v>349</v>
      </c>
      <c r="D1" s="17" t="s">
        <v>350</v>
      </c>
      <c r="E1" s="17" t="s">
        <v>351</v>
      </c>
    </row>
    <row r="2" customFormat="false" ht="15" hidden="false" customHeight="false" outlineLevel="0" collapsed="false">
      <c r="A2" s="18" t="n">
        <v>0</v>
      </c>
      <c r="B2" s="19" t="n">
        <f aca="false">SUMIFS('Revision Log'!$M$2:$M$146,'Revision Log'!$N$2:$N$146,$A2,'Revision Log'!$C$2:$C$146,0)</f>
        <v>7.2</v>
      </c>
      <c r="C2" s="19" t="n">
        <f aca="false">SUMIFS('Revision Log'!$M$2:$M$146,'Revision Log'!$N$2:$N$146,$A2,'Revision Log'!$C$2:$C$146,0)</f>
        <v>7.2</v>
      </c>
      <c r="D2" s="19" t="n">
        <f aca="false">SUMIFS('Revision Log'!$M$2:$M$146,'Revision Log'!$N$2:$N$146,$A2,'Revision Log'!$C$2:$C$146,2)</f>
        <v>7.5</v>
      </c>
      <c r="E2" s="19" t="n">
        <f aca="false">SUMIFS('Revision Log'!$M$2:$M$146,'Revision Log'!$N$2:$N$146,$A2,'Revision Log'!$C$2:$C$146,2)</f>
        <v>7.5</v>
      </c>
    </row>
    <row r="3" customFormat="false" ht="15" hidden="false" customHeight="false" outlineLevel="0" collapsed="false">
      <c r="A3" s="18" t="n">
        <v>1</v>
      </c>
      <c r="B3" s="19" t="n">
        <f aca="false">SUMIFS('Revision Log'!$M$2:$M$146,'Revision Log'!$N$2:$N$146,$A3,'Revision Log'!$C$2:$C$146,0)</f>
        <v>8.05</v>
      </c>
      <c r="C3" s="19" t="n">
        <f aca="false">SUMIFS('Revision Log'!$M$2:$M$146,'Revision Log'!$N$2:$N$146,$A3,'Revision Log'!$C$2:$C$146,0)</f>
        <v>8.05</v>
      </c>
      <c r="D3" s="19" t="n">
        <f aca="false">SUMIFS('Revision Log'!$M$2:$M$146,'Revision Log'!$N$2:$N$146,$A3,'Revision Log'!$C$2:$C$146,0)</f>
        <v>8.05</v>
      </c>
      <c r="E3" s="19" t="n">
        <f aca="false">SUMIFS('Revision Log'!$M$2:$M$146,'Revision Log'!$N$2:$N$146,$A3,'Revision Log'!$C$2:$C$146,0)</f>
        <v>8.05</v>
      </c>
    </row>
    <row r="4" customFormat="false" ht="15" hidden="false" customHeight="false" outlineLevel="0" collapsed="false">
      <c r="A4" s="18" t="n">
        <v>2</v>
      </c>
      <c r="B4" s="19" t="n">
        <f aca="false">SUMIFS('Revision Log'!$M$2:$M$146,'Revision Log'!$N$2:$N$146,$A4,'Revision Log'!$C$2:$C$146,0)</f>
        <v>7.25</v>
      </c>
      <c r="C4" s="19" t="n">
        <f aca="false">SUMIFS('Revision Log'!$M$2:$M$146,'Revision Log'!$N$2:$N$146,$A4,'Revision Log'!$C$2:$C$146,0)</f>
        <v>7.25</v>
      </c>
      <c r="D4" s="19" t="n">
        <f aca="false">SUMIFS('Revision Log'!$M$2:$M$146,'Revision Log'!$N$2:$N$146,$A4,'Revision Log'!$C$2:$C$146,2)</f>
        <v>7.35</v>
      </c>
      <c r="E4" s="19" t="n">
        <f aca="false">SUMIFS('Revision Log'!$M$2:$M$146,'Revision Log'!$N$2:$N$146,$A4,'Revision Log'!$C$2:$C$146,3)</f>
        <v>7.45</v>
      </c>
    </row>
    <row r="5" customFormat="false" ht="15" hidden="false" customHeight="false" outlineLevel="0" collapsed="false">
      <c r="A5" s="18" t="n">
        <v>3</v>
      </c>
      <c r="B5" s="19" t="n">
        <f aca="false">SUMIFS('Revision Log'!$M$2:$M$146,'Revision Log'!$N$2:$N$146,$A5,'Revision Log'!$C$2:$C$146,0)</f>
        <v>6.95</v>
      </c>
      <c r="C5" s="19" t="n">
        <f aca="false">SUMIFS('Revision Log'!$M$2:$M$146,'Revision Log'!$N$2:$N$146,$A5,'Revision Log'!$C$2:$C$146,0)</f>
        <v>6.95</v>
      </c>
      <c r="D5" s="19" t="n">
        <f aca="false">SUMIFS('Revision Log'!$M$2:$M$146,'Revision Log'!$N$2:$N$146,$A5,'Revision Log'!$C$2:$C$146,2)</f>
        <v>7.25</v>
      </c>
      <c r="E5" s="19" t="n">
        <f aca="false">SUMIFS('Revision Log'!$M$2:$M$146,'Revision Log'!$N$2:$N$146,$A5,'Revision Log'!$C$2:$C$146,3)</f>
        <v>7.35</v>
      </c>
    </row>
    <row r="6" customFormat="false" ht="15" hidden="false" customHeight="false" outlineLevel="0" collapsed="false">
      <c r="A6" s="18" t="n">
        <v>4</v>
      </c>
      <c r="B6" s="19" t="n">
        <f aca="false">SUMIFS('Revision Log'!$M$2:$M$146,'Revision Log'!$N$2:$N$146,$A6,'Revision Log'!$C$2:$C$146,0)</f>
        <v>7.4</v>
      </c>
      <c r="C6" s="19" t="n">
        <f aca="false">SUMIFS('Revision Log'!$M$2:$M$146,'Revision Log'!$N$2:$N$146,$A6,'Revision Log'!$C$2:$C$146,0)</f>
        <v>7.4</v>
      </c>
      <c r="D6" s="19" t="n">
        <f aca="false">SUMIFS('Revision Log'!$M$2:$M$146,'Revision Log'!$N$2:$N$146,$A6,'Revision Log'!$C$2:$C$146,0)</f>
        <v>7.4</v>
      </c>
      <c r="E6" s="19" t="n">
        <f aca="false">SUMIFS('Revision Log'!$M$2:$M$146,'Revision Log'!$N$2:$N$146,$A6,'Revision Log'!$C$2:$C$146,3)</f>
        <v>7.65</v>
      </c>
    </row>
    <row r="7" customFormat="false" ht="15" hidden="false" customHeight="false" outlineLevel="0" collapsed="false">
      <c r="A7" s="18" t="n">
        <v>10</v>
      </c>
      <c r="B7" s="19" t="n">
        <f aca="false">SUMIFS('Revision Log'!$M$2:$M$146,'Revision Log'!$N$2:$N$146,$A7,'Revision Log'!$C$2:$C$146,0)</f>
        <v>5.75</v>
      </c>
      <c r="C7" s="19" t="n">
        <f aca="false">SUMIFS('Revision Log'!$M$2:$M$146,'Revision Log'!$N$2:$N$146,$A7,'Revision Log'!$C$2:$C$146,1)</f>
        <v>7</v>
      </c>
      <c r="D7" s="19" t="n">
        <f aca="false">SUMIFS('Revision Log'!$M$2:$M$146,'Revision Log'!$N$2:$N$146,$A7,'Revision Log'!$C$2:$C$146,2)</f>
        <v>7.35</v>
      </c>
      <c r="E7" s="19" t="n">
        <f aca="false">SUMIFS('Revision Log'!$M$2:$M$146,'Revision Log'!$N$2:$N$146,$A7,'Revision Log'!$C$2:$C$146,2)</f>
        <v>7.35</v>
      </c>
    </row>
    <row r="8" customFormat="false" ht="15" hidden="false" customHeight="false" outlineLevel="0" collapsed="false">
      <c r="A8" s="18" t="n">
        <v>11</v>
      </c>
      <c r="B8" s="19" t="n">
        <f aca="false">SUMIFS('Revision Log'!$M$2:$M$146,'Revision Log'!$N$2:$N$146,$A8,'Revision Log'!$C$2:$C$146,0)</f>
        <v>8.2</v>
      </c>
      <c r="C8" s="19" t="n">
        <f aca="false">SUMIFS('Revision Log'!$M$2:$M$146,'Revision Log'!$N$2:$N$146,$A8,'Revision Log'!$C$2:$C$146,0)</f>
        <v>8.2</v>
      </c>
      <c r="D8" s="19" t="n">
        <f aca="false">SUMIFS('Revision Log'!$M$2:$M$146,'Revision Log'!$N$2:$N$146,$A8,'Revision Log'!$C$2:$C$146,0)</f>
        <v>8.2</v>
      </c>
      <c r="E8" s="19" t="n">
        <f aca="false">SUMIFS('Revision Log'!$M$2:$M$146,'Revision Log'!$N$2:$N$146,$A8,'Revision Log'!$C$2:$C$146,0)</f>
        <v>8.2</v>
      </c>
    </row>
    <row r="9" customFormat="false" ht="15" hidden="false" customHeight="false" outlineLevel="0" collapsed="false">
      <c r="A9" s="18" t="n">
        <v>12</v>
      </c>
      <c r="B9" s="19" t="n">
        <f aca="false">SUMIFS('Revision Log'!$M$2:$M$146,'Revision Log'!$N$2:$N$146,$A9,'Revision Log'!$C$2:$C$146,0)</f>
        <v>7.85</v>
      </c>
      <c r="C9" s="19" t="n">
        <f aca="false">SUMIFS('Revision Log'!$M$2:$M$146,'Revision Log'!$N$2:$N$146,$A9,'Revision Log'!$C$2:$C$146,0)</f>
        <v>7.85</v>
      </c>
      <c r="D9" s="19" t="n">
        <f aca="false">SUMIFS('Revision Log'!$M$2:$M$146,'Revision Log'!$N$2:$N$146,$A9,'Revision Log'!$C$2:$C$146,0)</f>
        <v>7.85</v>
      </c>
      <c r="E9" s="19" t="n">
        <f aca="false">SUMIFS('Revision Log'!$M$2:$M$146,'Revision Log'!$N$2:$N$146,$A9,'Revision Log'!$C$2:$C$146,0)</f>
        <v>7.85</v>
      </c>
    </row>
    <row r="10" customFormat="false" ht="15" hidden="false" customHeight="false" outlineLevel="0" collapsed="false">
      <c r="A10" s="18" t="n">
        <v>13</v>
      </c>
      <c r="B10" s="19" t="n">
        <f aca="false">SUMIFS('Revision Log'!$M$2:$M$146,'Revision Log'!$N$2:$N$146,$A10,'Revision Log'!$C$2:$C$146,0)</f>
        <v>7.5</v>
      </c>
      <c r="C10" s="19" t="n">
        <f aca="false">SUMIFS('Revision Log'!$M$2:$M$146,'Revision Log'!$N$2:$N$146,$A10,'Revision Log'!$C$2:$C$146,0)</f>
        <v>7.5</v>
      </c>
      <c r="D10" s="19" t="n">
        <f aca="false">SUMIFS('Revision Log'!$M$2:$M$146,'Revision Log'!$N$2:$N$146,$A10,'Revision Log'!$C$2:$C$146,0)</f>
        <v>7.5</v>
      </c>
      <c r="E10" s="19" t="n">
        <f aca="false">SUMIFS('Revision Log'!$M$2:$M$146,'Revision Log'!$N$2:$N$146,$A10,'Revision Log'!$C$2:$C$146,3)</f>
        <v>7.6</v>
      </c>
    </row>
    <row r="11" customFormat="false" ht="15" hidden="false" customHeight="false" outlineLevel="0" collapsed="false">
      <c r="A11" s="18" t="n">
        <v>14</v>
      </c>
      <c r="B11" s="19" t="n">
        <f aca="false">SUMIFS('Revision Log'!$M$2:$M$146,'Revision Log'!$N$2:$N$146,$A11,'Revision Log'!$C$2:$C$146,0)</f>
        <v>7.85</v>
      </c>
      <c r="C11" s="19" t="n">
        <f aca="false">SUMIFS('Revision Log'!$M$2:$M$146,'Revision Log'!$N$2:$N$146,$A11,'Revision Log'!$C$2:$C$146,0)</f>
        <v>7.85</v>
      </c>
      <c r="D11" s="19" t="n">
        <f aca="false">SUMIFS('Revision Log'!$M$2:$M$146,'Revision Log'!$N$2:$N$146,$A11,'Revision Log'!$C$2:$C$146,0)</f>
        <v>7.85</v>
      </c>
      <c r="E11" s="19" t="n">
        <f aca="false">SUMIFS('Revision Log'!$M$2:$M$146,'Revision Log'!$N$2:$N$146,$A11,'Revision Log'!$C$2:$C$146,0)</f>
        <v>7.85</v>
      </c>
    </row>
    <row r="12" customFormat="false" ht="15" hidden="false" customHeight="false" outlineLevel="0" collapsed="false">
      <c r="A12" s="18" t="n">
        <v>20</v>
      </c>
      <c r="B12" s="19" t="n">
        <f aca="false">SUMIFS('Revision Log'!$M$2:$M$146,'Revision Log'!$N$2:$N$146,$A12,'Revision Log'!$C$2:$C$146,0)</f>
        <v>7.05</v>
      </c>
      <c r="C12" s="19" t="n">
        <f aca="false">SUMIFS('Revision Log'!$M$2:$M$146,'Revision Log'!$N$2:$N$146,$A12,'Revision Log'!$C$2:$C$146,0)</f>
        <v>7.05</v>
      </c>
      <c r="D12" s="19" t="n">
        <f aca="false">SUMIFS('Revision Log'!$M$2:$M$146,'Revision Log'!$N$2:$N$146,$A12,'Revision Log'!$C$2:$C$146,2)</f>
        <v>7.35</v>
      </c>
      <c r="E12" s="19" t="n">
        <f aca="false">SUMIFS('Revision Log'!$M$2:$M$146,'Revision Log'!$N$2:$N$146,$A12,'Revision Log'!$C$2:$C$146,2)</f>
        <v>7.35</v>
      </c>
    </row>
    <row r="13" customFormat="false" ht="15" hidden="false" customHeight="false" outlineLevel="0" collapsed="false">
      <c r="A13" s="18" t="n">
        <v>21</v>
      </c>
      <c r="B13" s="19" t="n">
        <f aca="false">SUMIFS('Revision Log'!$M$2:$M$146,'Revision Log'!$N$2:$N$146,$A13,'Revision Log'!$C$2:$C$146,0)</f>
        <v>6.95</v>
      </c>
      <c r="C13" s="19" t="n">
        <f aca="false">SUMIFS('Revision Log'!$M$2:$M$146,'Revision Log'!$N$2:$N$146,$A13,'Revision Log'!$C$2:$C$146,0)</f>
        <v>6.95</v>
      </c>
      <c r="D13" s="19" t="n">
        <f aca="false">SUMIFS('Revision Log'!$M$2:$M$146,'Revision Log'!$N$2:$N$146,$A13,'Revision Log'!$C$2:$C$146,2)</f>
        <v>7.4</v>
      </c>
      <c r="E13" s="19" t="n">
        <f aca="false">SUMIFS('Revision Log'!$M$2:$M$146,'Revision Log'!$N$2:$N$146,$A13,'Revision Log'!$C$2:$C$146,2)</f>
        <v>7.4</v>
      </c>
    </row>
    <row r="14" customFormat="false" ht="15" hidden="false" customHeight="false" outlineLevel="0" collapsed="false">
      <c r="A14" s="18" t="n">
        <v>22</v>
      </c>
      <c r="B14" s="19" t="n">
        <f aca="false">SUMIFS('Revision Log'!$M$2:$M$146,'Revision Log'!$N$2:$N$146,$A14,'Revision Log'!$C$2:$C$146,0)</f>
        <v>6.85</v>
      </c>
      <c r="C14" s="19" t="n">
        <f aca="false">SUMIFS('Revision Log'!$M$2:$M$146,'Revision Log'!$N$2:$N$146,$A14,'Revision Log'!$C$2:$C$146,1)</f>
        <v>7.1</v>
      </c>
      <c r="D14" s="19" t="n">
        <f aca="false">SUMIFS('Revision Log'!$M$2:$M$146,'Revision Log'!$N$2:$N$146,$A14,'Revision Log'!$C$2:$C$146,2)</f>
        <v>7.4</v>
      </c>
      <c r="E14" s="19" t="n">
        <f aca="false">SUMIFS('Revision Log'!$M$2:$M$146,'Revision Log'!$N$2:$N$146,$A14,'Revision Log'!$C$2:$C$146,2)</f>
        <v>7.4</v>
      </c>
    </row>
    <row r="15" customFormat="false" ht="15" hidden="false" customHeight="false" outlineLevel="0" collapsed="false">
      <c r="A15" s="18" t="n">
        <v>23</v>
      </c>
      <c r="B15" s="19" t="n">
        <f aca="false">SUMIFS('Revision Log'!$M$2:$M$146,'Revision Log'!$N$2:$N$146,$A15,'Revision Log'!$C$2:$C$146,0)</f>
        <v>6.1</v>
      </c>
      <c r="C15" s="19" t="n">
        <f aca="false">SUMIFS('Revision Log'!$M$2:$M$146,'Revision Log'!$N$2:$N$146,$A15,'Revision Log'!$C$2:$C$146,1)</f>
        <v>6.6</v>
      </c>
      <c r="D15" s="19" t="n">
        <f aca="false">SUMIFS('Revision Log'!$M$2:$M$146,'Revision Log'!$N$2:$N$146,$A15,'Revision Log'!$C$2:$C$146,2)</f>
        <v>6.8</v>
      </c>
      <c r="E15" s="19" t="n">
        <f aca="false">SUMIFS('Revision Log'!$M$2:$M$146,'Revision Log'!$N$2:$N$146,$A15,'Revision Log'!$C$2:$C$146,3)</f>
        <v>7.35</v>
      </c>
    </row>
    <row r="16" customFormat="false" ht="15" hidden="false" customHeight="false" outlineLevel="0" collapsed="false">
      <c r="A16" s="18" t="n">
        <v>24</v>
      </c>
      <c r="B16" s="19" t="n">
        <f aca="false">SUMIFS('Revision Log'!$M$2:$M$146,'Revision Log'!$N$2:$N$146,$A16,'Revision Log'!$C$2:$C$146,0)</f>
        <v>5.7</v>
      </c>
      <c r="C16" s="19" t="n">
        <f aca="false">SUMIFS('Revision Log'!$M$2:$M$146,'Revision Log'!$N$2:$N$146,$A16,'Revision Log'!$C$2:$C$146,1)</f>
        <v>7.2</v>
      </c>
      <c r="D16" s="19" t="n">
        <f aca="false">SUMIFS('Revision Log'!$M$2:$M$146,'Revision Log'!$N$2:$N$146,$A16,'Revision Log'!$C$2:$C$146,2)</f>
        <v>7.35</v>
      </c>
      <c r="E16" s="19" t="n">
        <f aca="false">SUMIFS('Revision Log'!$M$2:$M$146,'Revision Log'!$N$2:$N$146,$A16,'Revision Log'!$C$2:$C$146,2)</f>
        <v>7.35</v>
      </c>
    </row>
    <row r="17" customFormat="false" ht="15" hidden="false" customHeight="false" outlineLevel="0" collapsed="false">
      <c r="A17" s="18" t="n">
        <v>30</v>
      </c>
      <c r="B17" s="19" t="n">
        <f aca="false">SUMIFS('Revision Log'!$M$2:$M$146,'Revision Log'!$N$2:$N$146,$A17,'Revision Log'!$C$2:$C$146,0)</f>
        <v>7.55</v>
      </c>
      <c r="C17" s="19" t="n">
        <f aca="false">SUMIFS('Revision Log'!$M$2:$M$146,'Revision Log'!$N$2:$N$146,$A17,'Revision Log'!$C$2:$C$146,0)</f>
        <v>7.55</v>
      </c>
      <c r="D17" s="19" t="n">
        <f aca="false">SUMIFS('Revision Log'!$M$2:$M$146,'Revision Log'!$N$2:$N$146,$A17,'Revision Log'!$C$2:$C$146,0)</f>
        <v>7.55</v>
      </c>
      <c r="E17" s="19" t="n">
        <f aca="false">SUMIFS('Revision Log'!$M$2:$M$146,'Revision Log'!$N$2:$N$146,$A17,'Revision Log'!$C$2:$C$146,0)</f>
        <v>7.55</v>
      </c>
    </row>
    <row r="18" customFormat="false" ht="15" hidden="false" customHeight="false" outlineLevel="0" collapsed="false">
      <c r="A18" s="18" t="n">
        <v>31</v>
      </c>
      <c r="B18" s="19" t="n">
        <f aca="false">SUMIFS('Revision Log'!$M$2:$M$146,'Revision Log'!$N$2:$N$146,$A18,'Revision Log'!$C$2:$C$146,0)</f>
        <v>7.65</v>
      </c>
      <c r="C18" s="19" t="n">
        <f aca="false">SUMIFS('Revision Log'!$M$2:$M$146,'Revision Log'!$N$2:$N$146,$A18,'Revision Log'!$C$2:$C$146,0)</f>
        <v>7.65</v>
      </c>
      <c r="D18" s="19" t="n">
        <f aca="false">SUMIFS('Revision Log'!$M$2:$M$146,'Revision Log'!$N$2:$N$146,$A18,'Revision Log'!$C$2:$C$146,0)</f>
        <v>7.65</v>
      </c>
      <c r="E18" s="19" t="n">
        <f aca="false">SUMIFS('Revision Log'!$M$2:$M$146,'Revision Log'!$N$2:$N$146,$A18,'Revision Log'!$C$2:$C$146,0)</f>
        <v>7.65</v>
      </c>
    </row>
    <row r="19" customFormat="false" ht="15" hidden="false" customHeight="false" outlineLevel="0" collapsed="false">
      <c r="A19" s="18" t="n">
        <v>32</v>
      </c>
      <c r="B19" s="19" t="n">
        <f aca="false">SUMIFS('Revision Log'!$M$2:$M$146,'Revision Log'!$N$2:$N$146,$A19,'Revision Log'!$C$2:$C$146,0)</f>
        <v>8.1</v>
      </c>
      <c r="C19" s="19" t="n">
        <f aca="false">SUMIFS('Revision Log'!$M$2:$M$146,'Revision Log'!$N$2:$N$146,$A19,'Revision Log'!$C$2:$C$146,0)</f>
        <v>8.1</v>
      </c>
      <c r="D19" s="19" t="n">
        <f aca="false">SUMIFS('Revision Log'!$M$2:$M$146,'Revision Log'!$N$2:$N$146,$A19,'Revision Log'!$C$2:$C$146,0)</f>
        <v>8.1</v>
      </c>
      <c r="E19" s="19" t="n">
        <f aca="false">SUMIFS('Revision Log'!$M$2:$M$146,'Revision Log'!$N$2:$N$146,$A19,'Revision Log'!$C$2:$C$146,0)</f>
        <v>8.1</v>
      </c>
    </row>
    <row r="20" customFormat="false" ht="15" hidden="false" customHeight="false" outlineLevel="0" collapsed="false">
      <c r="A20" s="18" t="n">
        <v>33</v>
      </c>
      <c r="B20" s="19" t="n">
        <f aca="false">SUMIFS('Revision Log'!$M$2:$M$146,'Revision Log'!$N$2:$N$146,$A20,'Revision Log'!$C$2:$C$146,0)</f>
        <v>7.2</v>
      </c>
      <c r="C20" s="19" t="n">
        <f aca="false">SUMIFS('Revision Log'!$M$2:$M$146,'Revision Log'!$N$2:$N$146,$A20,'Revision Log'!$C$2:$C$146,0)</f>
        <v>7.2</v>
      </c>
      <c r="D20" s="19" t="n">
        <f aca="false">SUMIFS('Revision Log'!$M$2:$M$146,'Revision Log'!$N$2:$N$146,$A20,'Revision Log'!$C$2:$C$146,2)</f>
        <v>7.4</v>
      </c>
      <c r="E20" s="19" t="n">
        <f aca="false">SUMIFS('Revision Log'!$M$2:$M$146,'Revision Log'!$N$2:$N$146,$A20,'Revision Log'!$C$2:$C$146,2)</f>
        <v>7.4</v>
      </c>
    </row>
    <row r="21" customFormat="false" ht="15" hidden="false" customHeight="false" outlineLevel="0" collapsed="false">
      <c r="A21" s="18" t="n">
        <v>34</v>
      </c>
      <c r="B21" s="19" t="n">
        <f aca="false">SUMIFS('Revision Log'!$M$2:$M$146,'Revision Log'!$N$2:$N$146,$A21,'Revision Log'!$C$2:$C$146,0)</f>
        <v>8</v>
      </c>
      <c r="C21" s="19" t="n">
        <f aca="false">SUMIFS('Revision Log'!$M$2:$M$146,'Revision Log'!$N$2:$N$146,$A21,'Revision Log'!$C$2:$C$146,0)</f>
        <v>8</v>
      </c>
      <c r="D21" s="19" t="n">
        <f aca="false">SUMIFS('Revision Log'!$M$2:$M$146,'Revision Log'!$N$2:$N$146,$A21,'Revision Log'!$C$2:$C$146,0)</f>
        <v>8</v>
      </c>
      <c r="E21" s="19" t="n">
        <f aca="false">SUMIFS('Revision Log'!$M$2:$M$146,'Revision Log'!$N$2:$N$146,$A21,'Revision Log'!$C$2:$C$146,0)</f>
        <v>8</v>
      </c>
    </row>
    <row r="22" customFormat="false" ht="15" hidden="false" customHeight="false" outlineLevel="0" collapsed="false">
      <c r="A22" s="18" t="n">
        <v>40</v>
      </c>
      <c r="B22" s="19" t="n">
        <f aca="false">SUMIFS('Revision Log'!$M$2:$M$146,'Revision Log'!$N$2:$N$146,$A22,'Revision Log'!$C$2:$C$146,0)</f>
        <v>6.95</v>
      </c>
      <c r="C22" s="19" t="n">
        <f aca="false">SUMIFS('Revision Log'!$M$2:$M$146,'Revision Log'!$N$2:$N$146,$A22,'Revision Log'!$C$2:$C$146,0)</f>
        <v>6.95</v>
      </c>
      <c r="D22" s="19" t="n">
        <f aca="false">SUMIFS('Revision Log'!$M$2:$M$146,'Revision Log'!$N$2:$N$146,$A22,'Revision Log'!$C$2:$C$146,2)</f>
        <v>7.4</v>
      </c>
      <c r="E22" s="19" t="n">
        <f aca="false">SUMIFS('Revision Log'!$M$2:$M$146,'Revision Log'!$N$2:$N$146,$A22,'Revision Log'!$C$2:$C$146,3)</f>
        <v>7.5</v>
      </c>
    </row>
    <row r="23" customFormat="false" ht="15" hidden="false" customHeight="false" outlineLevel="0" collapsed="false">
      <c r="A23" s="18" t="n">
        <v>41</v>
      </c>
      <c r="B23" s="19" t="n">
        <f aca="false">SUMIFS('Revision Log'!$M$2:$M$146,'Revision Log'!$N$2:$N$146,$A23,'Revision Log'!$C$2:$C$146,0)</f>
        <v>5.35</v>
      </c>
      <c r="C23" s="19" t="n">
        <f aca="false">SUMIFS('Revision Log'!$M$2:$M$146,'Revision Log'!$N$2:$N$146,$A23,'Revision Log'!$C$2:$C$146,1)</f>
        <v>6.9</v>
      </c>
      <c r="D23" s="19" t="n">
        <f aca="false">SUMIFS('Revision Log'!$M$2:$M$146,'Revision Log'!$N$2:$N$146,$A23,'Revision Log'!$C$2:$C$146,2)</f>
        <v>7.15</v>
      </c>
      <c r="E23" s="19" t="n">
        <f aca="false">SUMIFS('Revision Log'!$M$2:$M$146,'Revision Log'!$N$2:$N$146,$A23,'Revision Log'!$C$2:$C$146,3)</f>
        <v>7.35</v>
      </c>
    </row>
    <row r="24" customFormat="false" ht="15" hidden="false" customHeight="false" outlineLevel="0" collapsed="false">
      <c r="A24" s="18" t="n">
        <v>42</v>
      </c>
      <c r="B24" s="19" t="n">
        <f aca="false">SUMIFS('Revision Log'!$M$2:$M$146,'Revision Log'!$N$2:$N$146,$A24,'Revision Log'!$C$2:$C$146,0)</f>
        <v>7.05</v>
      </c>
      <c r="C24" s="19" t="n">
        <f aca="false">SUMIFS('Revision Log'!$M$2:$M$146,'Revision Log'!$N$2:$N$146,$A24,'Revision Log'!$C$2:$C$146,0)</f>
        <v>7.05</v>
      </c>
      <c r="D24" s="19" t="n">
        <f aca="false">SUMIFS('Revision Log'!$M$2:$M$146,'Revision Log'!$N$2:$N$146,$A24,'Revision Log'!$C$2:$C$146,2)</f>
        <v>7.15</v>
      </c>
      <c r="E24" s="19" t="n">
        <f aca="false">SUMIFS('Revision Log'!$M$2:$M$146,'Revision Log'!$N$2:$N$146,$A24,'Revision Log'!$C$2:$C$146,3)</f>
        <v>7.25</v>
      </c>
    </row>
    <row r="25" customFormat="false" ht="15" hidden="false" customHeight="false" outlineLevel="0" collapsed="false">
      <c r="A25" s="18" t="n">
        <v>43</v>
      </c>
      <c r="B25" s="19" t="n">
        <f aca="false">SUMIFS('Revision Log'!$M$2:$M$146,'Revision Log'!$N$2:$N$146,$A25,'Revision Log'!$C$2:$C$146,0)</f>
        <v>7.3</v>
      </c>
      <c r="C25" s="19" t="n">
        <f aca="false">SUMIFS('Revision Log'!$M$2:$M$146,'Revision Log'!$N$2:$N$146,$A25,'Revision Log'!$C$2:$C$146,0)</f>
        <v>7.3</v>
      </c>
      <c r="D25" s="19" t="n">
        <f aca="false">SUMIFS('Revision Log'!$M$2:$M$146,'Revision Log'!$N$2:$N$146,$A25,'Revision Log'!$C$2:$C$146,0)</f>
        <v>7.3</v>
      </c>
      <c r="E25" s="19" t="n">
        <f aca="false">SUMIFS('Revision Log'!$M$2:$M$146,'Revision Log'!$N$2:$N$146,$A25,'Revision Log'!$C$2:$C$146,3)</f>
        <v>7.4</v>
      </c>
    </row>
    <row r="26" customFormat="false" ht="15" hidden="false" customHeight="false" outlineLevel="0" collapsed="false">
      <c r="A26" s="18" t="n">
        <v>44</v>
      </c>
      <c r="B26" s="19" t="n">
        <f aca="false">SUMIFS('Revision Log'!$M$2:$M$146,'Revision Log'!$N$2:$N$146,$A26,'Revision Log'!$C$2:$C$146,0)</f>
        <v>7.35</v>
      </c>
      <c r="C26" s="19" t="n">
        <f aca="false">SUMIFS('Revision Log'!$M$2:$M$146,'Revision Log'!$N$2:$N$146,$A26,'Revision Log'!$C$2:$C$146,0)</f>
        <v>7.35</v>
      </c>
      <c r="D26" s="19" t="n">
        <f aca="false">SUMIFS('Revision Log'!$M$2:$M$146,'Revision Log'!$N$2:$N$146,$A26,'Revision Log'!$C$2:$C$146,0)</f>
        <v>7.35</v>
      </c>
      <c r="E26" s="19" t="n">
        <f aca="false">SUMIFS('Revision Log'!$M$2:$M$146,'Revision Log'!$N$2:$N$146,$A26,'Revision Log'!$C$2:$C$146,3)</f>
        <v>7.7</v>
      </c>
    </row>
    <row r="27" customFormat="false" ht="15" hidden="false" customHeight="false" outlineLevel="0" collapsed="false">
      <c r="A27" s="18" t="n">
        <v>50</v>
      </c>
      <c r="B27" s="19" t="n">
        <f aca="false">SUMIFS('Revision Log'!$M$2:$M$146,'Revision Log'!$N$2:$N$146,$A27,'Revision Log'!$C$2:$C$146,0)</f>
        <v>7.5</v>
      </c>
      <c r="C27" s="19" t="n">
        <f aca="false">SUMIFS('Revision Log'!$M$2:$M$146,'Revision Log'!$N$2:$N$146,$A27,'Revision Log'!$C$2:$C$146,0)</f>
        <v>7.5</v>
      </c>
      <c r="D27" s="19" t="n">
        <f aca="false">SUMIFS('Revision Log'!$M$2:$M$146,'Revision Log'!$N$2:$N$146,$A27,'Revision Log'!$C$2:$C$146,0)</f>
        <v>7.5</v>
      </c>
      <c r="E27" s="19" t="n">
        <f aca="false">SUMIFS('Revision Log'!$M$2:$M$146,'Revision Log'!$N$2:$N$146,$A27,'Revision Log'!$C$2:$C$146,3)</f>
        <v>7.6</v>
      </c>
    </row>
    <row r="28" customFormat="false" ht="15" hidden="false" customHeight="false" outlineLevel="0" collapsed="false">
      <c r="A28" s="18" t="n">
        <v>51</v>
      </c>
      <c r="B28" s="19" t="n">
        <f aca="false">SUMIFS('Revision Log'!$M$2:$M$146,'Revision Log'!$N$2:$N$146,$A28,'Revision Log'!$C$2:$C$146,0)</f>
        <v>7.75</v>
      </c>
      <c r="C28" s="19" t="n">
        <f aca="false">SUMIFS('Revision Log'!$M$2:$M$146,'Revision Log'!$N$2:$N$146,$A28,'Revision Log'!$C$2:$C$146,0)</f>
        <v>7.75</v>
      </c>
      <c r="D28" s="19" t="n">
        <f aca="false">SUMIFS('Revision Log'!$M$2:$M$146,'Revision Log'!$N$2:$N$146,$A28,'Revision Log'!$C$2:$C$146,0)</f>
        <v>7.75</v>
      </c>
      <c r="E28" s="19" t="n">
        <f aca="false">SUMIFS('Revision Log'!$M$2:$M$146,'Revision Log'!$N$2:$N$146,$A28,'Revision Log'!$C$2:$C$146,0)</f>
        <v>7.75</v>
      </c>
    </row>
    <row r="29" customFormat="false" ht="15" hidden="false" customHeight="false" outlineLevel="0" collapsed="false">
      <c r="A29" s="18" t="n">
        <v>52</v>
      </c>
      <c r="B29" s="19" t="n">
        <f aca="false">SUMIFS('Revision Log'!$M$2:$M$146,'Revision Log'!$N$2:$N$146,$A29,'Revision Log'!$C$2:$C$146,0)</f>
        <v>7.15</v>
      </c>
      <c r="C29" s="19" t="n">
        <f aca="false">SUMIFS('Revision Log'!$M$2:$M$146,'Revision Log'!$N$2:$N$146,$A29,'Revision Log'!$C$2:$C$146,0)</f>
        <v>7.15</v>
      </c>
      <c r="D29" s="19" t="n">
        <f aca="false">SUMIFS('Revision Log'!$M$2:$M$146,'Revision Log'!$N$2:$N$146,$A29,'Revision Log'!$C$2:$C$146,2)</f>
        <v>7.5</v>
      </c>
      <c r="E29" s="19" t="n">
        <f aca="false">SUMIFS('Revision Log'!$M$2:$M$146,'Revision Log'!$N$2:$N$146,$A29,'Revision Log'!$C$2:$C$146,2)</f>
        <v>7.5</v>
      </c>
    </row>
    <row r="30" customFormat="false" ht="15" hidden="false" customHeight="false" outlineLevel="0" collapsed="false">
      <c r="A30" s="18" t="n">
        <v>53</v>
      </c>
      <c r="B30" s="19" t="n">
        <f aca="false">SUMIFS('Revision Log'!$M$2:$M$146,'Revision Log'!$N$2:$N$146,$A30,'Revision Log'!$C$2:$C$146,0)</f>
        <v>6.75</v>
      </c>
      <c r="C30" s="19" t="n">
        <f aca="false">SUMIFS('Revision Log'!$M$2:$M$146,'Revision Log'!$N$2:$N$146,$A30,'Revision Log'!$C$2:$C$146,1)</f>
        <v>8.1</v>
      </c>
      <c r="D30" s="19" t="n">
        <f aca="false">SUMIFS('Revision Log'!$M$2:$M$146,'Revision Log'!$N$2:$N$146,$A30,'Revision Log'!$C$2:$C$146,1)</f>
        <v>8.1</v>
      </c>
      <c r="E30" s="19" t="n">
        <f aca="false">SUMIFS('Revision Log'!$M$2:$M$146,'Revision Log'!$N$2:$N$146,$A30,'Revision Log'!$C$2:$C$146,1)</f>
        <v>8.1</v>
      </c>
    </row>
    <row r="31" customFormat="false" ht="15" hidden="false" customHeight="false" outlineLevel="0" collapsed="false">
      <c r="A31" s="18" t="n">
        <v>54</v>
      </c>
      <c r="B31" s="19" t="n">
        <f aca="false">SUMIFS('Revision Log'!$M$2:$M$146,'Revision Log'!$N$2:$N$146,$A31,'Revision Log'!$C$2:$C$146,0)</f>
        <v>6.6</v>
      </c>
      <c r="C31" s="19" t="n">
        <f aca="false">SUMIFS('Revision Log'!$M$2:$M$146,'Revision Log'!$N$2:$N$146,$A31,'Revision Log'!$C$2:$C$146,1)</f>
        <v>6.9</v>
      </c>
      <c r="D31" s="19" t="n">
        <f aca="false">SUMIFS('Revision Log'!$M$2:$M$146,'Revision Log'!$N$2:$N$146,$A31,'Revision Log'!$C$2:$C$146,2)</f>
        <v>7.3</v>
      </c>
      <c r="E31" s="19" t="n">
        <f aca="false">SUMIFS('Revision Log'!$M$2:$M$146,'Revision Log'!$N$2:$N$146,$A31,'Revision Log'!$C$2:$C$146,3)</f>
        <v>7.5</v>
      </c>
    </row>
    <row r="32" customFormat="false" ht="15" hidden="false" customHeight="false" outlineLevel="0" collapsed="false">
      <c r="A32" s="18" t="n">
        <v>60</v>
      </c>
      <c r="B32" s="19" t="n">
        <f aca="false">SUMIFS('Revision Log'!$M$2:$M$146,'Revision Log'!$N$2:$N$146,$A32,'Revision Log'!$C$2:$C$146,0)</f>
        <v>5.3</v>
      </c>
      <c r="C32" s="19" t="n">
        <f aca="false">SUMIFS('Revision Log'!$M$2:$M$146,'Revision Log'!$N$2:$N$146,$A32,'Revision Log'!$C$2:$C$146,1)</f>
        <v>7.1</v>
      </c>
      <c r="D32" s="19" t="n">
        <f aca="false">SUMIFS('Revision Log'!$M$2:$M$146,'Revision Log'!$N$2:$N$146,$A32,'Revision Log'!$C$2:$C$146,2)</f>
        <v>7.2</v>
      </c>
      <c r="E32" s="19" t="n">
        <f aca="false">SUMIFS('Revision Log'!$M$2:$M$146,'Revision Log'!$N$2:$N$146,$A32,'Revision Log'!$C$2:$C$146,3)</f>
        <v>7.6</v>
      </c>
    </row>
    <row r="33" customFormat="false" ht="15" hidden="false" customHeight="false" outlineLevel="0" collapsed="false">
      <c r="A33" s="18" t="n">
        <v>61</v>
      </c>
      <c r="B33" s="19" t="n">
        <f aca="false">SUMIFS('Revision Log'!$M$2:$M$146,'Revision Log'!$N$2:$N$146,$A33,'Revision Log'!$C$2:$C$146,0)</f>
        <v>7.5</v>
      </c>
      <c r="C33" s="19" t="n">
        <f aca="false">SUMIFS('Revision Log'!$M$2:$M$146,'Revision Log'!$N$2:$N$146,$A33,'Revision Log'!$C$2:$C$146,0)</f>
        <v>7.5</v>
      </c>
      <c r="D33" s="19" t="n">
        <f aca="false">SUMIFS('Revision Log'!$M$2:$M$146,'Revision Log'!$N$2:$N$146,$A33,'Revision Log'!$C$2:$C$146,0)</f>
        <v>7.5</v>
      </c>
      <c r="E33" s="19" t="n">
        <f aca="false">SUMIFS('Revision Log'!$M$2:$M$146,'Revision Log'!$N$2:$N$146,$A33,'Revision Log'!$C$2:$C$146,3)</f>
        <v>7.6</v>
      </c>
    </row>
    <row r="34" customFormat="false" ht="15" hidden="false" customHeight="false" outlineLevel="0" collapsed="false">
      <c r="A34" s="18" t="n">
        <v>62</v>
      </c>
      <c r="B34" s="19" t="n">
        <f aca="false">SUMIFS('Revision Log'!$M$2:$M$146,'Revision Log'!$N$2:$N$146,$A34,'Revision Log'!$C$2:$C$146,0)</f>
        <v>7.6</v>
      </c>
      <c r="C34" s="19" t="n">
        <f aca="false">SUMIFS('Revision Log'!$M$2:$M$146,'Revision Log'!$N$2:$N$146,$A34,'Revision Log'!$C$2:$C$146,0)</f>
        <v>7.6</v>
      </c>
      <c r="D34" s="19" t="n">
        <f aca="false">SUMIFS('Revision Log'!$M$2:$M$146,'Revision Log'!$N$2:$N$146,$A34,'Revision Log'!$C$2:$C$146,0)</f>
        <v>7.6</v>
      </c>
      <c r="E34" s="19" t="n">
        <f aca="false">SUMIFS('Revision Log'!$M$2:$M$146,'Revision Log'!$N$2:$N$146,$A34,'Revision Log'!$C$2:$C$146,0)</f>
        <v>7.6</v>
      </c>
    </row>
    <row r="35" customFormat="false" ht="15" hidden="false" customHeight="false" outlineLevel="0" collapsed="false">
      <c r="A35" s="18" t="n">
        <v>63</v>
      </c>
      <c r="B35" s="19" t="n">
        <f aca="false">SUMIFS('Revision Log'!$M$2:$M$146,'Revision Log'!$N$2:$N$146,$A35,'Revision Log'!$C$2:$C$146,0)</f>
        <v>6.8</v>
      </c>
      <c r="C35" s="19" t="n">
        <f aca="false">SUMIFS('Revision Log'!$M$2:$M$146,'Revision Log'!$N$2:$N$146,$A35,'Revision Log'!$C$2:$C$146,1)</f>
        <v>6.8</v>
      </c>
      <c r="D35" s="19" t="n">
        <f aca="false">SUMIFS('Revision Log'!$M$2:$M$146,'Revision Log'!$N$2:$N$146,$A35,'Revision Log'!$C$2:$C$146,2)</f>
        <v>7.5</v>
      </c>
      <c r="E35" s="19" t="n">
        <f aca="false">SUMIFS('Revision Log'!$M$2:$M$146,'Revision Log'!$N$2:$N$146,$A35,'Revision Log'!$C$2:$C$146,2)</f>
        <v>7.5</v>
      </c>
    </row>
    <row r="36" customFormat="false" ht="15" hidden="false" customHeight="false" outlineLevel="0" collapsed="false">
      <c r="A36" s="18" t="n">
        <v>64</v>
      </c>
      <c r="B36" s="19" t="n">
        <f aca="false">SUMIFS('Revision Log'!$M$2:$M$146,'Revision Log'!$N$2:$N$146,$A36,'Revision Log'!$C$2:$C$146,0)</f>
        <v>7.05</v>
      </c>
      <c r="C36" s="19" t="n">
        <f aca="false">SUMIFS('Revision Log'!$M$2:$M$146,'Revision Log'!$N$2:$N$146,$A36,'Revision Log'!$C$2:$C$146,0)</f>
        <v>7.05</v>
      </c>
      <c r="D36" s="19" t="n">
        <f aca="false">SUMIFS('Revision Log'!$M$2:$M$146,'Revision Log'!$N$2:$N$146,$A36,'Revision Log'!$C$2:$C$146,2)</f>
        <v>7.65</v>
      </c>
      <c r="E36" s="19" t="n">
        <f aca="false">SUMIFS('Revision Log'!$M$2:$M$146,'Revision Log'!$N$2:$N$146,$A36,'Revision Log'!$C$2:$C$146,2)</f>
        <v>7.65</v>
      </c>
    </row>
    <row r="37" customFormat="false" ht="15" hidden="false" customHeight="false" outlineLevel="0" collapsed="false">
      <c r="A37" s="18" t="n">
        <v>70</v>
      </c>
      <c r="B37" s="19" t="n">
        <f aca="false">SUMIFS('Revision Log'!$M$2:$M$146,'Revision Log'!$N$2:$N$146,$A37,'Revision Log'!$C$2:$C$146,0)</f>
        <v>8.05</v>
      </c>
      <c r="C37" s="19" t="n">
        <f aca="false">SUMIFS('Revision Log'!$M$2:$M$146,'Revision Log'!$N$2:$N$146,$A37,'Revision Log'!$C$2:$C$146,0)</f>
        <v>8.05</v>
      </c>
      <c r="D37" s="19" t="n">
        <f aca="false">SUMIFS('Revision Log'!$M$2:$M$146,'Revision Log'!$N$2:$N$146,$A37,'Revision Log'!$C$2:$C$146,0)</f>
        <v>8.05</v>
      </c>
      <c r="E37" s="19" t="n">
        <f aca="false">SUMIFS('Revision Log'!$M$2:$M$146,'Revision Log'!$N$2:$N$146,$A37,'Revision Log'!$C$2:$C$146,0)</f>
        <v>8.05</v>
      </c>
    </row>
    <row r="38" customFormat="false" ht="15" hidden="false" customHeight="false" outlineLevel="0" collapsed="false">
      <c r="A38" s="18" t="n">
        <v>71</v>
      </c>
      <c r="B38" s="19" t="n">
        <f aca="false">SUMIFS('Revision Log'!$M$2:$M$146,'Revision Log'!$N$2:$N$146,$A38,'Revision Log'!$C$2:$C$146,0)</f>
        <v>7.85</v>
      </c>
      <c r="C38" s="19" t="n">
        <f aca="false">SUMIFS('Revision Log'!$M$2:$M$146,'Revision Log'!$N$2:$N$146,$A38,'Revision Log'!$C$2:$C$146,0)</f>
        <v>7.85</v>
      </c>
      <c r="D38" s="19" t="n">
        <f aca="false">SUMIFS('Revision Log'!$M$2:$M$146,'Revision Log'!$N$2:$N$146,$A38,'Revision Log'!$C$2:$C$146,0)</f>
        <v>7.85</v>
      </c>
      <c r="E38" s="19" t="n">
        <f aca="false">SUMIFS('Revision Log'!$M$2:$M$146,'Revision Log'!$N$2:$N$146,$A38,'Revision Log'!$C$2:$C$146,0)</f>
        <v>7.85</v>
      </c>
    </row>
    <row r="39" customFormat="false" ht="15" hidden="false" customHeight="false" outlineLevel="0" collapsed="false">
      <c r="A39" s="18" t="n">
        <v>72</v>
      </c>
      <c r="B39" s="19" t="n">
        <f aca="false">SUMIFS('Revision Log'!$M$2:$M$146,'Revision Log'!$N$2:$N$146,$A39,'Revision Log'!$C$2:$C$146,0)</f>
        <v>5.2</v>
      </c>
      <c r="C39" s="19" t="n">
        <f aca="false">SUMIFS('Revision Log'!$M$2:$M$146,'Revision Log'!$N$2:$N$146,$A39,'Revision Log'!$C$2:$C$146,1)</f>
        <v>7.5</v>
      </c>
      <c r="D39" s="19" t="n">
        <f aca="false">SUMIFS('Revision Log'!$M$2:$M$146,'Revision Log'!$N$2:$N$146,$A39,'Revision Log'!$C$2:$C$146,1)</f>
        <v>7.5</v>
      </c>
      <c r="E39" s="19" t="n">
        <f aca="false">SUMIFS('Revision Log'!$M$2:$M$146,'Revision Log'!$N$2:$N$146,$A39,'Revision Log'!$C$2:$C$146,1)</f>
        <v>7.5</v>
      </c>
    </row>
    <row r="40" customFormat="false" ht="15" hidden="false" customHeight="false" outlineLevel="0" collapsed="false">
      <c r="A40" s="18" t="n">
        <v>73</v>
      </c>
      <c r="B40" s="19" t="n">
        <f aca="false">SUMIFS('Revision Log'!$M$2:$M$146,'Revision Log'!$N$2:$N$146,$A40,'Revision Log'!$C$2:$C$146,0)</f>
        <v>6.9</v>
      </c>
      <c r="C40" s="19" t="n">
        <f aca="false">SUMIFS('Revision Log'!$M$2:$M$146,'Revision Log'!$N$2:$N$146,$A40,'Revision Log'!$C$2:$C$146,1)</f>
        <v>7.55</v>
      </c>
      <c r="D40" s="19" t="n">
        <f aca="false">SUMIFS('Revision Log'!$M$2:$M$146,'Revision Log'!$N$2:$N$146,$A40,'Revision Log'!$C$2:$C$146,1)</f>
        <v>7.55</v>
      </c>
      <c r="E40" s="19" t="n">
        <f aca="false">SUMIFS('Revision Log'!$M$2:$M$146,'Revision Log'!$N$2:$N$146,$A40,'Revision Log'!$C$2:$C$146,1)</f>
        <v>7.55</v>
      </c>
    </row>
    <row r="41" customFormat="false" ht="15" hidden="false" customHeight="false" outlineLevel="0" collapsed="false">
      <c r="A41" s="18" t="n">
        <v>74</v>
      </c>
      <c r="B41" s="19" t="n">
        <f aca="false">SUMIFS('Revision Log'!$M$2:$M$146,'Revision Log'!$N$2:$N$146,$A41,'Revision Log'!$C$2:$C$146,0)</f>
        <v>8.2</v>
      </c>
      <c r="C41" s="19" t="n">
        <f aca="false">SUMIFS('Revision Log'!$M$2:$M$146,'Revision Log'!$N$2:$N$146,$A41,'Revision Log'!$C$2:$C$146,0)</f>
        <v>8.2</v>
      </c>
      <c r="D41" s="19" t="n">
        <f aca="false">SUMIFS('Revision Log'!$M$2:$M$146,'Revision Log'!$N$2:$N$146,$A41,'Revision Log'!$C$2:$C$146,0)</f>
        <v>8.2</v>
      </c>
      <c r="E41" s="19" t="n">
        <f aca="false">SUMIFS('Revision Log'!$M$2:$M$146,'Revision Log'!$N$2:$N$146,$A41,'Revision Log'!$C$2:$C$146,0)</f>
        <v>8.2</v>
      </c>
    </row>
    <row r="42" customFormat="false" ht="15" hidden="false" customHeight="false" outlineLevel="0" collapsed="false">
      <c r="A42" s="18" t="n">
        <v>80</v>
      </c>
      <c r="B42" s="19" t="n">
        <f aca="false">SUMIFS('Revision Log'!$M$2:$M$146,'Revision Log'!$N$2:$N$146,$A42,'Revision Log'!$C$2:$C$146,0)</f>
        <v>6.85</v>
      </c>
      <c r="C42" s="19" t="n">
        <f aca="false">SUMIFS('Revision Log'!$M$2:$M$146,'Revision Log'!$N$2:$N$146,$A42,'Revision Log'!$C$2:$C$146,1)</f>
        <v>6.95</v>
      </c>
      <c r="D42" s="19" t="n">
        <f aca="false">SUMIFS('Revision Log'!$M$2:$M$146,'Revision Log'!$N$2:$N$146,$A42,'Revision Log'!$C$2:$C$146,2)</f>
        <v>7.15</v>
      </c>
      <c r="E42" s="19" t="n">
        <f aca="false">SUMIFS('Revision Log'!$M$2:$M$146,'Revision Log'!$N$2:$N$146,$A42,'Revision Log'!$C$2:$C$146,2)</f>
        <v>7.15</v>
      </c>
    </row>
    <row r="43" customFormat="false" ht="15" hidden="false" customHeight="false" outlineLevel="0" collapsed="false">
      <c r="A43" s="18" t="n">
        <v>81</v>
      </c>
      <c r="B43" s="19" t="n">
        <f aca="false">SUMIFS('Revision Log'!$M$2:$M$146,'Revision Log'!$N$2:$N$146,$A43,'Revision Log'!$C$2:$C$146,0)</f>
        <v>6.1</v>
      </c>
      <c r="C43" s="19" t="n">
        <f aca="false">SUMIFS('Revision Log'!$M$2:$M$146,'Revision Log'!$N$2:$N$146,$A43,'Revision Log'!$C$2:$C$146,1)</f>
        <v>8</v>
      </c>
      <c r="D43" s="19" t="n">
        <f aca="false">SUMIFS('Revision Log'!$M$2:$M$146,'Revision Log'!$N$2:$N$146,$A43,'Revision Log'!$C$2:$C$146,1)</f>
        <v>8</v>
      </c>
      <c r="E43" s="19" t="n">
        <f aca="false">SUMIFS('Revision Log'!$M$2:$M$146,'Revision Log'!$N$2:$N$146,$A43,'Revision Log'!$C$2:$C$146,1)</f>
        <v>8</v>
      </c>
    </row>
    <row r="44" customFormat="false" ht="15" hidden="false" customHeight="false" outlineLevel="0" collapsed="false">
      <c r="A44" s="18" t="n">
        <v>82</v>
      </c>
      <c r="B44" s="19" t="n">
        <f aca="false">SUMIFS('Revision Log'!$M$2:$M$146,'Revision Log'!$N$2:$N$146,$A44,'Revision Log'!$C$2:$C$146,0)</f>
        <v>8.8</v>
      </c>
      <c r="C44" s="19" t="n">
        <f aca="false">SUMIFS('Revision Log'!$M$2:$M$146,'Revision Log'!$N$2:$N$146,$A44,'Revision Log'!$C$2:$C$146,0)</f>
        <v>8.8</v>
      </c>
      <c r="D44" s="19" t="n">
        <f aca="false">SUMIFS('Revision Log'!$M$2:$M$146,'Revision Log'!$N$2:$N$146,$A44,'Revision Log'!$C$2:$C$146,0)</f>
        <v>8.8</v>
      </c>
      <c r="E44" s="19" t="n">
        <f aca="false">SUMIFS('Revision Log'!$M$2:$M$146,'Revision Log'!$N$2:$N$146,$A44,'Revision Log'!$C$2:$C$146,0)</f>
        <v>8.8</v>
      </c>
    </row>
    <row r="45" customFormat="false" ht="15" hidden="false" customHeight="false" outlineLevel="0" collapsed="false">
      <c r="A45" s="18" t="n">
        <v>83</v>
      </c>
      <c r="B45" s="19" t="n">
        <f aca="false">SUMIFS('Revision Log'!$M$2:$M$146,'Revision Log'!$N$2:$N$146,$A45,'Revision Log'!$C$2:$C$146,0)</f>
        <v>6.85</v>
      </c>
      <c r="C45" s="19" t="n">
        <f aca="false">SUMIFS('Revision Log'!$M$2:$M$146,'Revision Log'!$N$2:$N$146,$A45,'Revision Log'!$C$2:$C$146,1)</f>
        <v>8.35</v>
      </c>
      <c r="D45" s="19" t="n">
        <f aca="false">SUMIFS('Revision Log'!$M$2:$M$146,'Revision Log'!$N$2:$N$146,$A45,'Revision Log'!$C$2:$C$146,1)</f>
        <v>8.35</v>
      </c>
      <c r="E45" s="19" t="n">
        <f aca="false">SUMIFS('Revision Log'!$M$2:$M$146,'Revision Log'!$N$2:$N$146,$A45,'Revision Log'!$C$2:$C$146,1)</f>
        <v>8.35</v>
      </c>
    </row>
    <row r="46" customFormat="false" ht="15" hidden="false" customHeight="false" outlineLevel="0" collapsed="false">
      <c r="A46" s="18" t="n">
        <v>84</v>
      </c>
      <c r="B46" s="19" t="n">
        <f aca="false">SUMIFS('Revision Log'!$M$2:$M$146,'Revision Log'!$N$2:$N$146,$A46,'Revision Log'!$C$2:$C$146,0)</f>
        <v>7.3</v>
      </c>
      <c r="C46" s="19" t="n">
        <f aca="false">SUMIFS('Revision Log'!$M$2:$M$146,'Revision Log'!$N$2:$N$146,$A46,'Revision Log'!$C$2:$C$146,0)</f>
        <v>7.3</v>
      </c>
      <c r="D46" s="19" t="n">
        <f aca="false">SUMIFS('Revision Log'!$M$2:$M$146,'Revision Log'!$N$2:$N$146,$A46,'Revision Log'!$C$2:$C$146,0)</f>
        <v>7.3</v>
      </c>
      <c r="E46" s="19" t="n">
        <f aca="false">SUMIFS('Revision Log'!$M$2:$M$146,'Revision Log'!$N$2:$N$146,$A46,'Revision Log'!$C$2:$C$146,3)</f>
        <v>8.05</v>
      </c>
    </row>
    <row r="47" customFormat="false" ht="15" hidden="false" customHeight="false" outlineLevel="0" collapsed="false">
      <c r="A47" s="18" t="n">
        <v>90</v>
      </c>
      <c r="B47" s="19" t="n">
        <f aca="false">SUMIFS('Revision Log'!$M$2:$M$146,'Revision Log'!$N$2:$N$146,$A47,'Revision Log'!$C$2:$C$146,0)</f>
        <v>7.55</v>
      </c>
      <c r="C47" s="19" t="n">
        <f aca="false">SUMIFS('Revision Log'!$M$2:$M$146,'Revision Log'!$N$2:$N$146,$A47,'Revision Log'!$C$2:$C$146,0)</f>
        <v>7.55</v>
      </c>
      <c r="D47" s="19" t="n">
        <f aca="false">SUMIFS('Revision Log'!$M$2:$M$146,'Revision Log'!$N$2:$N$146,$A47,'Revision Log'!$C$2:$C$146,0)</f>
        <v>7.55</v>
      </c>
      <c r="E47" s="19" t="n">
        <f aca="false">SUMIFS('Revision Log'!$M$2:$M$146,'Revision Log'!$N$2:$N$146,$A47,'Revision Log'!$C$2:$C$146,0)</f>
        <v>7.55</v>
      </c>
    </row>
    <row r="48" customFormat="false" ht="15" hidden="false" customHeight="false" outlineLevel="0" collapsed="false">
      <c r="A48" s="18" t="n">
        <v>91</v>
      </c>
      <c r="B48" s="19" t="n">
        <f aca="false">SUMIFS('Revision Log'!$M$2:$M$146,'Revision Log'!$N$2:$N$146,$A48,'Revision Log'!$C$2:$C$146,0)</f>
        <v>6.7</v>
      </c>
      <c r="C48" s="19" t="n">
        <f aca="false">SUMIFS('Revision Log'!$M$2:$M$146,'Revision Log'!$N$2:$N$146,$A48,'Revision Log'!$C$2:$C$146,1)</f>
        <v>6.8</v>
      </c>
      <c r="D48" s="19" t="n">
        <f aca="false">SUMIFS('Revision Log'!$M$2:$M$146,'Revision Log'!$N$2:$N$146,$A48,'Revision Log'!$C$2:$C$146,2)</f>
        <v>7.8</v>
      </c>
      <c r="E48" s="19" t="n">
        <f aca="false">SUMIFS('Revision Log'!$M$2:$M$146,'Revision Log'!$N$2:$N$146,$A48,'Revision Log'!$C$2:$C$146,2)</f>
        <v>7.8</v>
      </c>
    </row>
    <row r="49" customFormat="false" ht="15" hidden="false" customHeight="false" outlineLevel="0" collapsed="false">
      <c r="A49" s="18" t="n">
        <v>92</v>
      </c>
      <c r="B49" s="19" t="n">
        <f aca="false">SUMIFS('Revision Log'!$M$2:$M$146,'Revision Log'!$N$2:$N$146,$A49,'Revision Log'!$C$2:$C$146,0)</f>
        <v>8.25</v>
      </c>
      <c r="C49" s="19" t="n">
        <f aca="false">SUMIFS('Revision Log'!$M$2:$M$146,'Revision Log'!$N$2:$N$146,$A49,'Revision Log'!$C$2:$C$146,0)</f>
        <v>8.25</v>
      </c>
      <c r="D49" s="19" t="n">
        <f aca="false">SUMIFS('Revision Log'!$M$2:$M$146,'Revision Log'!$N$2:$N$146,$A49,'Revision Log'!$C$2:$C$146,0)</f>
        <v>8.25</v>
      </c>
      <c r="E49" s="19" t="n">
        <f aca="false">SUMIFS('Revision Log'!$M$2:$M$146,'Revision Log'!$N$2:$N$146,$A49,'Revision Log'!$C$2:$C$146,0)</f>
        <v>8.25</v>
      </c>
    </row>
    <row r="50" customFormat="false" ht="15" hidden="false" customHeight="false" outlineLevel="0" collapsed="false">
      <c r="A50" s="18" t="n">
        <v>93</v>
      </c>
      <c r="B50" s="19" t="n">
        <f aca="false">SUMIFS('Revision Log'!$M$2:$M$146,'Revision Log'!$N$2:$N$146,$A50,'Revision Log'!$C$2:$C$146,0)</f>
        <v>6.3</v>
      </c>
      <c r="C50" s="19" t="n">
        <f aca="false">SUMIFS('Revision Log'!$M$2:$M$146,'Revision Log'!$N$2:$N$146,$A50,'Revision Log'!$C$2:$C$146,1)</f>
        <v>7.1</v>
      </c>
      <c r="D50" s="19" t="n">
        <f aca="false">SUMIFS('Revision Log'!$M$2:$M$146,'Revision Log'!$N$2:$N$146,$A50,'Revision Log'!$C$2:$C$146,2)</f>
        <v>7.55</v>
      </c>
      <c r="E50" s="19" t="n">
        <f aca="false">SUMIFS('Revision Log'!$M$2:$M$146,'Revision Log'!$N$2:$N$146,$A50,'Revision Log'!$C$2:$C$146,2)</f>
        <v>7.55</v>
      </c>
    </row>
    <row r="51" customFormat="false" ht="15" hidden="false" customHeight="false" outlineLevel="0" collapsed="false">
      <c r="A51" s="18" t="n">
        <v>94</v>
      </c>
      <c r="B51" s="19" t="n">
        <f aca="false">SUMIFS('Revision Log'!$M$2:$M$146,'Revision Log'!$N$2:$N$146,$A51,'Revision Log'!$C$2:$C$146,0)</f>
        <v>6.65</v>
      </c>
      <c r="C51" s="19" t="n">
        <f aca="false">SUMIFS('Revision Log'!$M$2:$M$146,'Revision Log'!$N$2:$N$146,$A51,'Revision Log'!$C$2:$C$146,1)</f>
        <v>7.55</v>
      </c>
      <c r="D51" s="19" t="n">
        <f aca="false">SUMIFS('Revision Log'!$M$2:$M$146,'Revision Log'!$N$2:$N$146,$A51,'Revision Log'!$C$2:$C$146,1)</f>
        <v>7.55</v>
      </c>
      <c r="E51" s="19" t="n">
        <f aca="false">SUMIFS('Revision Log'!$M$2:$M$146,'Revision Log'!$N$2:$N$146,$A51,'Revision Log'!$C$2:$C$146,1)</f>
        <v>7.55</v>
      </c>
    </row>
    <row r="52" customFormat="false" ht="15" hidden="false" customHeight="false" outlineLevel="0" collapsed="false">
      <c r="A52" s="18" t="n">
        <v>100</v>
      </c>
      <c r="B52" s="19" t="n">
        <f aca="false">SUMIFS('Revision Log'!$M$2:$M$146,'Revision Log'!$N$2:$N$146,$A52,'Revision Log'!$C$2:$C$146,0)</f>
        <v>7</v>
      </c>
      <c r="C52" s="19" t="n">
        <f aca="false">SUMIFS('Revision Log'!$M$2:$M$146,'Revision Log'!$N$2:$N$146,$A52,'Revision Log'!$C$2:$C$146,0)</f>
        <v>7</v>
      </c>
      <c r="D52" s="19" t="n">
        <f aca="false">SUMIFS('Revision Log'!$M$2:$M$146,'Revision Log'!$N$2:$N$146,$A52,'Revision Log'!$C$2:$C$146,2)</f>
        <v>8.25</v>
      </c>
      <c r="E52" s="19" t="n">
        <f aca="false">SUMIFS('Revision Log'!$M$2:$M$146,'Revision Log'!$N$2:$N$146,$A52,'Revision Log'!$C$2:$C$146,2)</f>
        <v>8.25</v>
      </c>
    </row>
    <row r="53" customFormat="false" ht="15" hidden="false" customHeight="false" outlineLevel="0" collapsed="false">
      <c r="A53" s="18" t="n">
        <v>101</v>
      </c>
      <c r="B53" s="19" t="n">
        <f aca="false">SUMIFS('Revision Log'!$M$2:$M$146,'Revision Log'!$N$2:$N$146,$A53,'Revision Log'!$C$2:$C$146,0)</f>
        <v>8.55</v>
      </c>
      <c r="C53" s="19" t="n">
        <f aca="false">SUMIFS('Revision Log'!$M$2:$M$146,'Revision Log'!$N$2:$N$146,$A53,'Revision Log'!$C$2:$C$146,0)</f>
        <v>8.55</v>
      </c>
      <c r="D53" s="19" t="n">
        <f aca="false">SUMIFS('Revision Log'!$M$2:$M$146,'Revision Log'!$N$2:$N$146,$A53,'Revision Log'!$C$2:$C$146,0)</f>
        <v>8.55</v>
      </c>
      <c r="E53" s="19" t="n">
        <f aca="false">SUMIFS('Revision Log'!$M$2:$M$146,'Revision Log'!$N$2:$N$146,$A53,'Revision Log'!$C$2:$C$146,0)</f>
        <v>8.55</v>
      </c>
    </row>
    <row r="54" customFormat="false" ht="15" hidden="false" customHeight="false" outlineLevel="0" collapsed="false">
      <c r="A54" s="18" t="n">
        <v>102</v>
      </c>
      <c r="B54" s="19" t="n">
        <f aca="false">SUMIFS('Revision Log'!$M$2:$M$146,'Revision Log'!$N$2:$N$146,$A54,'Revision Log'!$C$2:$C$146,0)</f>
        <v>7.95</v>
      </c>
      <c r="C54" s="19" t="n">
        <f aca="false">SUMIFS('Revision Log'!$M$2:$M$146,'Revision Log'!$N$2:$N$146,$A54,'Revision Log'!$C$2:$C$146,0)</f>
        <v>7.95</v>
      </c>
      <c r="D54" s="19" t="n">
        <f aca="false">SUMIFS('Revision Log'!$M$2:$M$146,'Revision Log'!$N$2:$N$146,$A54,'Revision Log'!$C$2:$C$146,0)</f>
        <v>7.95</v>
      </c>
      <c r="E54" s="19" t="n">
        <f aca="false">SUMIFS('Revision Log'!$M$2:$M$146,'Revision Log'!$N$2:$N$146,$A54,'Revision Log'!$C$2:$C$146,0)</f>
        <v>7.95</v>
      </c>
    </row>
    <row r="55" customFormat="false" ht="15" hidden="false" customHeight="false" outlineLevel="0" collapsed="false">
      <c r="A55" s="18" t="n">
        <v>103</v>
      </c>
      <c r="B55" s="19" t="n">
        <f aca="false">SUMIFS('Revision Log'!$M$2:$M$146,'Revision Log'!$N$2:$N$146,$A55,'Revision Log'!$C$2:$C$146,0)</f>
        <v>7.35</v>
      </c>
      <c r="C55" s="19" t="n">
        <f aca="false">SUMIFS('Revision Log'!$M$2:$M$146,'Revision Log'!$N$2:$N$146,$A55,'Revision Log'!$C$2:$C$146,0)</f>
        <v>7.35</v>
      </c>
      <c r="D55" s="19" t="n">
        <f aca="false">SUMIFS('Revision Log'!$M$2:$M$146,'Revision Log'!$N$2:$N$146,$A55,'Revision Log'!$C$2:$C$146,0)</f>
        <v>7.35</v>
      </c>
      <c r="E55" s="19" t="n">
        <f aca="false">SUMIFS('Revision Log'!$M$2:$M$146,'Revision Log'!$N$2:$N$146,$A55,'Revision Log'!$C$2:$C$146,3)</f>
        <v>7.65</v>
      </c>
    </row>
    <row r="56" customFormat="false" ht="15" hidden="false" customHeight="false" outlineLevel="0" collapsed="false">
      <c r="A56" s="18" t="n">
        <v>104</v>
      </c>
      <c r="B56" s="19" t="n">
        <f aca="false">SUMIFS('Revision Log'!$M$2:$M$146,'Revision Log'!$N$2:$N$146,$A56,'Revision Log'!$C$2:$C$146,0)</f>
        <v>5.1</v>
      </c>
      <c r="C56" s="19" t="n">
        <f aca="false">SUMIFS('Revision Log'!$M$2:$M$146,'Revision Log'!$N$2:$N$146,$A56,'Revision Log'!$C$2:$C$146,1)</f>
        <v>7.05</v>
      </c>
      <c r="D56" s="19" t="n">
        <f aca="false">SUMIFS('Revision Log'!$M$2:$M$146,'Revision Log'!$N$2:$N$146,$A56,'Revision Log'!$C$2:$C$146,2)</f>
        <v>7.7</v>
      </c>
      <c r="E56" s="19" t="n">
        <f aca="false">SUMIFS('Revision Log'!$M$2:$M$146,'Revision Log'!$N$2:$N$146,$A56,'Revision Log'!$C$2:$C$146,2)</f>
        <v>7.7</v>
      </c>
    </row>
    <row r="57" customFormat="false" ht="15" hidden="false" customHeight="false" outlineLevel="0" collapsed="false">
      <c r="A57" s="18" t="n">
        <v>110</v>
      </c>
      <c r="B57" s="19" t="n">
        <f aca="false">SUMIFS('Revision Log'!$M$2:$M$146,'Revision Log'!$N$2:$N$146,$A57,'Revision Log'!$C$2:$C$146,0)</f>
        <v>7.05</v>
      </c>
      <c r="C57" s="19" t="n">
        <f aca="false">SUMIFS('Revision Log'!$M$2:$M$146,'Revision Log'!$N$2:$N$146,$A57,'Revision Log'!$C$2:$C$146,0)</f>
        <v>7.05</v>
      </c>
      <c r="D57" s="19" t="n">
        <f aca="false">SUMIFS('Revision Log'!$M$2:$M$146,'Revision Log'!$N$2:$N$146,$A57,'Revision Log'!$C$2:$C$146,2)</f>
        <v>7.5</v>
      </c>
      <c r="E57" s="19" t="n">
        <f aca="false">SUMIFS('Revision Log'!$M$2:$M$146,'Revision Log'!$N$2:$N$146,$A57,'Revision Log'!$C$2:$C$146,2)</f>
        <v>7.5</v>
      </c>
    </row>
    <row r="58" customFormat="false" ht="15" hidden="false" customHeight="false" outlineLevel="0" collapsed="false">
      <c r="A58" s="18" t="n">
        <v>111</v>
      </c>
      <c r="B58" s="19" t="n">
        <f aca="false">SUMIFS('Revision Log'!$M$2:$M$146,'Revision Log'!$N$2:$N$146,$A58,'Revision Log'!$C$2:$C$146,0)</f>
        <v>7.95</v>
      </c>
      <c r="C58" s="19" t="n">
        <f aca="false">SUMIFS('Revision Log'!$M$2:$M$146,'Revision Log'!$N$2:$N$146,$A58,'Revision Log'!$C$2:$C$146,0)</f>
        <v>7.95</v>
      </c>
      <c r="D58" s="19" t="n">
        <f aca="false">SUMIFS('Revision Log'!$M$2:$M$146,'Revision Log'!$N$2:$N$146,$A58,'Revision Log'!$C$2:$C$146,0)</f>
        <v>7.95</v>
      </c>
      <c r="E58" s="19" t="n">
        <f aca="false">SUMIFS('Revision Log'!$M$2:$M$146,'Revision Log'!$N$2:$N$146,$A58,'Revision Log'!$C$2:$C$146,0)</f>
        <v>7.95</v>
      </c>
    </row>
    <row r="59" customFormat="false" ht="15" hidden="false" customHeight="false" outlineLevel="0" collapsed="false">
      <c r="A59" s="18" t="n">
        <v>112</v>
      </c>
      <c r="B59" s="19" t="n">
        <f aca="false">SUMIFS('Revision Log'!$M$2:$M$146,'Revision Log'!$N$2:$N$146,$A59,'Revision Log'!$C$2:$C$146,0)</f>
        <v>5.7</v>
      </c>
      <c r="C59" s="19" t="n">
        <f aca="false">SUMIFS('Revision Log'!$M$2:$M$146,'Revision Log'!$N$2:$N$146,$A59,'Revision Log'!$C$2:$C$146,1)</f>
        <v>7.3</v>
      </c>
      <c r="D59" s="19" t="n">
        <f aca="false">SUMIFS('Revision Log'!$M$2:$M$146,'Revision Log'!$N$2:$N$146,$A59,'Revision Log'!$C$2:$C$146,1)</f>
        <v>7.3</v>
      </c>
      <c r="E59" s="19" t="n">
        <f aca="false">SUMIFS('Revision Log'!$M$2:$M$146,'Revision Log'!$N$2:$N$146,$A59,'Revision Log'!$C$2:$C$146,3)</f>
        <v>7.6</v>
      </c>
    </row>
    <row r="60" customFormat="false" ht="15" hidden="false" customHeight="false" outlineLevel="0" collapsed="false">
      <c r="A60" s="18" t="n">
        <v>113</v>
      </c>
      <c r="B60" s="19" t="n">
        <f aca="false">SUMIFS('Revision Log'!$M$2:$M$146,'Revision Log'!$N$2:$N$146,$A60,'Revision Log'!$C$2:$C$146,0)</f>
        <v>6.95</v>
      </c>
      <c r="C60" s="19" t="n">
        <f aca="false">SUMIFS('Revision Log'!$M$2:$M$146,'Revision Log'!$N$2:$N$146,$A60,'Revision Log'!$C$2:$C$146,0)</f>
        <v>6.95</v>
      </c>
      <c r="D60" s="19" t="n">
        <f aca="false">SUMIFS('Revision Log'!$M$2:$M$146,'Revision Log'!$N$2:$N$146,$A60,'Revision Log'!$C$2:$C$146,2)</f>
        <v>7.4</v>
      </c>
      <c r="E60" s="19" t="n">
        <f aca="false">SUMIFS('Revision Log'!$M$2:$M$146,'Revision Log'!$N$2:$N$146,$A60,'Revision Log'!$C$2:$C$146,3)</f>
        <v>7.5</v>
      </c>
    </row>
    <row r="61" customFormat="false" ht="15" hidden="false" customHeight="false" outlineLevel="0" collapsed="false">
      <c r="A61" s="18" t="n">
        <v>114</v>
      </c>
      <c r="B61" s="19" t="n">
        <f aca="false">SUMIFS('Revision Log'!$M$2:$M$146,'Revision Log'!$N$2:$N$146,$A61,'Revision Log'!$C$2:$C$146,0)</f>
        <v>6.85</v>
      </c>
      <c r="C61" s="19" t="n">
        <f aca="false">SUMIFS('Revision Log'!$M$2:$M$146,'Revision Log'!$N$2:$N$146,$A61,'Revision Log'!$C$2:$C$146,1)</f>
        <v>7.2</v>
      </c>
      <c r="D61" s="19" t="n">
        <f aca="false">SUMIFS('Revision Log'!$M$2:$M$146,'Revision Log'!$N$2:$N$146,$A61,'Revision Log'!$C$2:$C$146,2)</f>
        <v>7.5</v>
      </c>
      <c r="E61" s="19" t="n">
        <f aca="false">SUMIFS('Revision Log'!$M$2:$M$146,'Revision Log'!$N$2:$N$146,$A61,'Revision Log'!$C$2:$C$146,2)</f>
        <v>7.5</v>
      </c>
    </row>
    <row r="62" customFormat="false" ht="15" hidden="false" customHeight="false" outlineLevel="0" collapsed="false">
      <c r="A62" s="18" t="n">
        <v>120</v>
      </c>
      <c r="B62" s="19" t="n">
        <f aca="false">SUMIFS('Revision Log'!$M$2:$M$146,'Revision Log'!$N$2:$N$146,$A62,'Revision Log'!$C$2:$C$146,0)</f>
        <v>7.05</v>
      </c>
      <c r="C62" s="19" t="n">
        <f aca="false">SUMIFS('Revision Log'!$M$2:$M$146,'Revision Log'!$N$2:$N$146,$A62,'Revision Log'!$C$2:$C$146,0)</f>
        <v>7.05</v>
      </c>
      <c r="D62" s="19" t="n">
        <f aca="false">SUMIFS('Revision Log'!$M$2:$M$146,'Revision Log'!$N$2:$N$146,$A62,'Revision Log'!$C$2:$C$146,2)</f>
        <v>7.6</v>
      </c>
      <c r="E62" s="19" t="n">
        <f aca="false">SUMIFS('Revision Log'!$M$2:$M$146,'Revision Log'!$N$2:$N$146,$A62,'Revision Log'!$C$2:$C$146,2)</f>
        <v>7.6</v>
      </c>
    </row>
    <row r="63" customFormat="false" ht="15" hidden="false" customHeight="false" outlineLevel="0" collapsed="false">
      <c r="A63" s="18" t="n">
        <v>121</v>
      </c>
      <c r="B63" s="19" t="n">
        <f aca="false">SUMIFS('Revision Log'!$M$2:$M$146,'Revision Log'!$N$2:$N$146,$A63,'Revision Log'!$C$2:$C$146,0)</f>
        <v>7.75</v>
      </c>
      <c r="C63" s="19" t="n">
        <f aca="false">SUMIFS('Revision Log'!$M$2:$M$146,'Revision Log'!$N$2:$N$146,$A63,'Revision Log'!$C$2:$C$146,0)</f>
        <v>7.75</v>
      </c>
      <c r="D63" s="19" t="n">
        <f aca="false">SUMIFS('Revision Log'!$M$2:$M$146,'Revision Log'!$N$2:$N$146,$A63,'Revision Log'!$C$2:$C$146,0)</f>
        <v>7.75</v>
      </c>
      <c r="E63" s="19" t="n">
        <f aca="false">SUMIFS('Revision Log'!$M$2:$M$146,'Revision Log'!$N$2:$N$146,$A63,'Revision Log'!$C$2:$C$146,0)</f>
        <v>7.75</v>
      </c>
    </row>
    <row r="64" customFormat="false" ht="15" hidden="false" customHeight="false" outlineLevel="0" collapsed="false">
      <c r="A64" s="18" t="n">
        <v>122</v>
      </c>
      <c r="B64" s="19" t="n">
        <f aca="false">SUMIFS('Revision Log'!$M$2:$M$146,'Revision Log'!$N$2:$N$146,$A64,'Revision Log'!$C$2:$C$146,0)</f>
        <v>6.7</v>
      </c>
      <c r="C64" s="19" t="n">
        <f aca="false">SUMIFS('Revision Log'!$M$2:$M$146,'Revision Log'!$N$2:$N$146,$A64,'Revision Log'!$C$2:$C$146,1)</f>
        <v>6.8</v>
      </c>
      <c r="D64" s="19" t="n">
        <f aca="false">SUMIFS('Revision Log'!$M$2:$M$146,'Revision Log'!$N$2:$N$146,$A64,'Revision Log'!$C$2:$C$146,2)</f>
        <v>7.25</v>
      </c>
      <c r="E64" s="19" t="n">
        <f aca="false">SUMIFS('Revision Log'!$M$2:$M$146,'Revision Log'!$N$2:$N$146,$A64,'Revision Log'!$C$2:$C$146,3)</f>
        <v>7.45</v>
      </c>
    </row>
    <row r="65" customFormat="false" ht="15" hidden="false" customHeight="false" outlineLevel="0" collapsed="false">
      <c r="A65" s="18" t="n">
        <v>123</v>
      </c>
      <c r="B65" s="19" t="n">
        <f aca="false">SUMIFS('Revision Log'!$M$2:$M$146,'Revision Log'!$N$2:$N$146,$A65,'Revision Log'!$C$2:$C$146,0)</f>
        <v>7.05</v>
      </c>
      <c r="C65" s="19" t="n">
        <f aca="false">SUMIFS('Revision Log'!$M$2:$M$146,'Revision Log'!$N$2:$N$146,$A65,'Revision Log'!$C$2:$C$146,0)</f>
        <v>7.05</v>
      </c>
      <c r="D65" s="19" t="n">
        <f aca="false">SUMIFS('Revision Log'!$M$2:$M$146,'Revision Log'!$N$2:$N$146,$A65,'Revision Log'!$C$2:$C$146,2)</f>
        <v>7.25</v>
      </c>
      <c r="E65" s="19" t="n">
        <f aca="false">SUMIFS('Revision Log'!$M$2:$M$146,'Revision Log'!$N$2:$N$146,$A65,'Revision Log'!$C$2:$C$146,3)</f>
        <v>7.5</v>
      </c>
    </row>
    <row r="66" customFormat="false" ht="15" hidden="false" customHeight="false" outlineLevel="0" collapsed="false">
      <c r="A66" s="18" t="n">
        <v>124</v>
      </c>
      <c r="B66" s="19" t="n">
        <f aca="false">SUMIFS('Revision Log'!$M$2:$M$146,'Revision Log'!$N$2:$N$146,$A66,'Revision Log'!$C$2:$C$146,0)</f>
        <v>7.2</v>
      </c>
      <c r="C66" s="19" t="n">
        <f aca="false">SUMIFS('Revision Log'!$M$2:$M$146,'Revision Log'!$N$2:$N$146,$A66,'Revision Log'!$C$2:$C$146,0)</f>
        <v>7.2</v>
      </c>
      <c r="D66" s="19" t="n">
        <f aca="false">SUMIFS('Revision Log'!$M$2:$M$146,'Revision Log'!$N$2:$N$146,$A66,'Revision Log'!$C$2:$C$146,2)</f>
        <v>7.95</v>
      </c>
      <c r="E66" s="19" t="n">
        <f aca="false">SUMIFS('Revision Log'!$M$2:$M$146,'Revision Log'!$N$2:$N$146,$A66,'Revision Log'!$C$2:$C$146,2)</f>
        <v>7.95</v>
      </c>
    </row>
    <row r="67" customFormat="false" ht="15" hidden="false" customHeight="false" outlineLevel="0" collapsed="false">
      <c r="A67" s="18" t="n">
        <v>130</v>
      </c>
      <c r="B67" s="19" t="n">
        <f aca="false">SUMIFS('Revision Log'!$M$2:$M$146,'Revision Log'!$N$2:$N$146,$A67,'Revision Log'!$C$2:$C$146,0)</f>
        <v>7.2</v>
      </c>
      <c r="C67" s="19" t="n">
        <f aca="false">SUMIFS('Revision Log'!$M$2:$M$146,'Revision Log'!$N$2:$N$146,$A67,'Revision Log'!$C$2:$C$146,0)</f>
        <v>7.2</v>
      </c>
      <c r="D67" s="19" t="n">
        <f aca="false">SUMIFS('Revision Log'!$M$2:$M$146,'Revision Log'!$N$2:$N$146,$A67,'Revision Log'!$C$2:$C$146,2)</f>
        <v>7.65</v>
      </c>
      <c r="E67" s="19" t="n">
        <f aca="false">SUMIFS('Revision Log'!$M$2:$M$146,'Revision Log'!$N$2:$N$146,$A67,'Revision Log'!$C$2:$C$146,2)</f>
        <v>7.65</v>
      </c>
    </row>
    <row r="68" customFormat="false" ht="15" hidden="false" customHeight="false" outlineLevel="0" collapsed="false">
      <c r="A68" s="18" t="n">
        <v>131</v>
      </c>
      <c r="B68" s="19" t="n">
        <f aca="false">SUMIFS('Revision Log'!$M$2:$M$146,'Revision Log'!$N$2:$N$146,$A68,'Revision Log'!$C$2:$C$146,0)</f>
        <v>7.1</v>
      </c>
      <c r="C68" s="19" t="n">
        <f aca="false">SUMIFS('Revision Log'!$M$2:$M$146,'Revision Log'!$N$2:$N$146,$A68,'Revision Log'!$C$2:$C$146,0)</f>
        <v>7.1</v>
      </c>
      <c r="D68" s="19" t="n">
        <f aca="false">SUMIFS('Revision Log'!$M$2:$M$146,'Revision Log'!$N$2:$N$146,$A68,'Revision Log'!$C$2:$C$146,2)</f>
        <v>7.4</v>
      </c>
      <c r="E68" s="19" t="n">
        <f aca="false">SUMIFS('Revision Log'!$M$2:$M$146,'Revision Log'!$N$2:$N$146,$A68,'Revision Log'!$C$2:$C$146,3)</f>
        <v>7.5</v>
      </c>
    </row>
    <row r="69" customFormat="false" ht="15" hidden="false" customHeight="false" outlineLevel="0" collapsed="false">
      <c r="A69" s="18" t="n">
        <v>132</v>
      </c>
      <c r="B69" s="19" t="n">
        <f aca="false">SUMIFS('Revision Log'!$M$2:$M$146,'Revision Log'!$N$2:$N$146,$A69,'Revision Log'!$C$2:$C$146,0)</f>
        <v>7.75</v>
      </c>
      <c r="C69" s="19" t="n">
        <f aca="false">SUMIFS('Revision Log'!$M$2:$M$146,'Revision Log'!$N$2:$N$146,$A69,'Revision Log'!$C$2:$C$146,0)</f>
        <v>7.75</v>
      </c>
      <c r="D69" s="19" t="n">
        <f aca="false">SUMIFS('Revision Log'!$M$2:$M$146,'Revision Log'!$N$2:$N$146,$A69,'Revision Log'!$C$2:$C$146,0)</f>
        <v>7.75</v>
      </c>
      <c r="E69" s="19" t="n">
        <f aca="false">SUMIFS('Revision Log'!$M$2:$M$146,'Revision Log'!$N$2:$N$146,$A69,'Revision Log'!$C$2:$C$146,0)</f>
        <v>7.75</v>
      </c>
    </row>
    <row r="70" customFormat="false" ht="15" hidden="false" customHeight="false" outlineLevel="0" collapsed="false">
      <c r="A70" s="18" t="n">
        <v>133</v>
      </c>
      <c r="B70" s="19" t="n">
        <f aca="false">SUMIFS('Revision Log'!$M$2:$M$146,'Revision Log'!$N$2:$N$146,$A70,'Revision Log'!$C$2:$C$146,0)</f>
        <v>7.3</v>
      </c>
      <c r="C70" s="19" t="n">
        <f aca="false">SUMIFS('Revision Log'!$M$2:$M$146,'Revision Log'!$N$2:$N$146,$A70,'Revision Log'!$C$2:$C$146,0)</f>
        <v>7.3</v>
      </c>
      <c r="D70" s="19" t="n">
        <f aca="false">SUMIFS('Revision Log'!$M$2:$M$146,'Revision Log'!$N$2:$N$146,$A70,'Revision Log'!$C$2:$C$146,0)</f>
        <v>7.3</v>
      </c>
      <c r="E70" s="19" t="n">
        <f aca="false">SUMIFS('Revision Log'!$M$2:$M$146,'Revision Log'!$N$2:$N$146,$A70,'Revision Log'!$C$2:$C$146,3)</f>
        <v>7.4</v>
      </c>
    </row>
    <row r="71" customFormat="false" ht="15" hidden="false" customHeight="false" outlineLevel="0" collapsed="false">
      <c r="A71" s="18" t="n">
        <v>134</v>
      </c>
      <c r="B71" s="19" t="n">
        <f aca="false">SUMIFS('Revision Log'!$M$2:$M$146,'Revision Log'!$N$2:$N$146,$A71,'Revision Log'!$C$2:$C$146,0)</f>
        <v>8</v>
      </c>
      <c r="C71" s="19" t="n">
        <f aca="false">SUMIFS('Revision Log'!$M$2:$M$146,'Revision Log'!$N$2:$N$146,$A71,'Revision Log'!$C$2:$C$146,0)</f>
        <v>8</v>
      </c>
      <c r="D71" s="19" t="n">
        <f aca="false">SUMIFS('Revision Log'!$M$2:$M$146,'Revision Log'!$N$2:$N$146,$A71,'Revision Log'!$C$2:$C$146,0)</f>
        <v>8</v>
      </c>
      <c r="E71" s="19" t="n">
        <f aca="false">SUMIFS('Revision Log'!$M$2:$M$146,'Revision Log'!$N$2:$N$146,$A71,'Revision Log'!$C$2:$C$146,0)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2"/>
    <col collapsed="false" customWidth="true" hidden="false" outlineLevel="0" max="3" min="3" style="0" width="34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" t="s">
        <v>352</v>
      </c>
      <c r="B1" s="1" t="s">
        <v>353</v>
      </c>
      <c r="C1" s="1" t="s">
        <v>354</v>
      </c>
      <c r="D1" s="1" t="s">
        <v>355</v>
      </c>
    </row>
    <row r="2" customFormat="false" ht="23.85" hidden="false" customHeight="false" outlineLevel="0" collapsed="false">
      <c r="A2" s="2" t="s">
        <v>356</v>
      </c>
      <c r="B2" s="2" t="s">
        <v>357</v>
      </c>
      <c r="C2" s="20"/>
      <c r="D2" s="2" t="s">
        <v>358</v>
      </c>
    </row>
    <row r="3" customFormat="false" ht="15" hidden="false" customHeight="false" outlineLevel="0" collapsed="false">
      <c r="A3" s="2" t="s">
        <v>359</v>
      </c>
      <c r="B3" s="2" t="s">
        <v>360</v>
      </c>
      <c r="C3" s="20"/>
      <c r="D3" s="2" t="s">
        <v>361</v>
      </c>
    </row>
    <row r="4" customFormat="false" ht="15" hidden="false" customHeight="false" outlineLevel="0" collapsed="false">
      <c r="A4" s="2" t="s">
        <v>362</v>
      </c>
      <c r="B4" s="2" t="s">
        <v>363</v>
      </c>
      <c r="C4" s="20"/>
      <c r="D4" s="2" t="s">
        <v>364</v>
      </c>
    </row>
    <row r="5" customFormat="false" ht="15" hidden="false" customHeight="false" outlineLevel="0" collapsed="false">
      <c r="A5" s="2" t="s">
        <v>365</v>
      </c>
      <c r="B5" s="2" t="s">
        <v>366</v>
      </c>
      <c r="C5" s="20"/>
      <c r="D5" s="2" t="s">
        <v>367</v>
      </c>
    </row>
    <row r="6" customFormat="false" ht="15" hidden="false" customHeight="false" outlineLevel="0" collapsed="false">
      <c r="A6" s="2" t="s">
        <v>368</v>
      </c>
      <c r="B6" s="2" t="s">
        <v>369</v>
      </c>
      <c r="C6" s="20"/>
      <c r="D6" s="2" t="s">
        <v>367</v>
      </c>
    </row>
    <row r="7" customFormat="false" ht="15" hidden="false" customHeight="false" outlineLevel="0" collapsed="false">
      <c r="A7" s="2" t="s">
        <v>370</v>
      </c>
      <c r="B7" s="2" t="s">
        <v>371</v>
      </c>
      <c r="C7" s="20"/>
      <c r="D7" s="2" t="s">
        <v>372</v>
      </c>
    </row>
    <row r="8" customFormat="false" ht="15" hidden="false" customHeight="false" outlineLevel="0" collapsed="false">
      <c r="A8" s="2" t="s">
        <v>373</v>
      </c>
      <c r="B8" s="2" t="s">
        <v>374</v>
      </c>
      <c r="C8" s="20"/>
      <c r="D8" s="2" t="s">
        <v>375</v>
      </c>
    </row>
    <row r="9" customFormat="false" ht="15" hidden="false" customHeight="false" outlineLevel="0" collapsed="false">
      <c r="A9" s="2" t="s">
        <v>376</v>
      </c>
      <c r="B9" s="2" t="s">
        <v>377</v>
      </c>
      <c r="C9" s="20"/>
      <c r="D9" s="2" t="s">
        <v>378</v>
      </c>
    </row>
    <row r="10" customFormat="false" ht="15" hidden="false" customHeight="false" outlineLevel="0" collapsed="false">
      <c r="A10" s="2" t="s">
        <v>379</v>
      </c>
      <c r="B10" s="2" t="s">
        <v>380</v>
      </c>
      <c r="C10" s="20"/>
      <c r="D10" s="2" t="s">
        <v>375</v>
      </c>
    </row>
    <row r="11" customFormat="false" ht="15" hidden="false" customHeight="false" outlineLevel="0" collapsed="false">
      <c r="A11" s="2" t="s">
        <v>381</v>
      </c>
      <c r="B11" s="2" t="s">
        <v>382</v>
      </c>
      <c r="C11" s="20"/>
      <c r="D11" s="2" t="s">
        <v>383</v>
      </c>
    </row>
    <row r="12" customFormat="false" ht="15" hidden="false" customHeight="false" outlineLevel="0" collapsed="false">
      <c r="A12" s="2" t="s">
        <v>384</v>
      </c>
      <c r="B12" s="2" t="s">
        <v>385</v>
      </c>
      <c r="C12" s="20"/>
      <c r="D12" s="2" t="s">
        <v>386</v>
      </c>
    </row>
    <row r="13" customFormat="false" ht="15" hidden="false" customHeight="false" outlineLevel="0" collapsed="false">
      <c r="A13" s="2" t="s">
        <v>387</v>
      </c>
      <c r="B13" s="2" t="s">
        <v>388</v>
      </c>
      <c r="C13" s="20"/>
      <c r="D13" s="2" t="s">
        <v>389</v>
      </c>
    </row>
    <row r="14" customFormat="false" ht="23.85" hidden="false" customHeight="false" outlineLevel="0" collapsed="false">
      <c r="A14" s="2" t="s">
        <v>390</v>
      </c>
      <c r="B14" s="2" t="s">
        <v>391</v>
      </c>
      <c r="C14" s="20"/>
      <c r="D14" s="2" t="s">
        <v>392</v>
      </c>
    </row>
    <row r="15" customFormat="false" ht="23.85" hidden="false" customHeight="false" outlineLevel="0" collapsed="false">
      <c r="A15" s="2" t="s">
        <v>393</v>
      </c>
      <c r="B15" s="2" t="s">
        <v>394</v>
      </c>
      <c r="C15" s="20"/>
      <c r="D15" s="2" t="s">
        <v>395</v>
      </c>
    </row>
    <row r="16" customFormat="false" ht="15" hidden="false" customHeight="false" outlineLevel="0" collapsed="false">
      <c r="A16" s="2" t="s">
        <v>396</v>
      </c>
      <c r="B16" s="2" t="s">
        <v>397</v>
      </c>
      <c r="C16" s="20"/>
      <c r="D16" s="2" t="s">
        <v>17</v>
      </c>
    </row>
    <row r="17" customFormat="false" ht="15" hidden="false" customHeight="false" outlineLevel="0" collapsed="false">
      <c r="A17" s="2" t="s">
        <v>398</v>
      </c>
      <c r="B17" s="2" t="s">
        <v>399</v>
      </c>
      <c r="C17" s="20"/>
      <c r="D17" s="2" t="s">
        <v>17</v>
      </c>
    </row>
    <row r="18" customFormat="false" ht="15" hidden="false" customHeight="false" outlineLevel="0" collapsed="false">
      <c r="A18" s="2" t="s">
        <v>400</v>
      </c>
      <c r="B18" s="2" t="s">
        <v>401</v>
      </c>
      <c r="C18" s="20"/>
      <c r="D18" s="2" t="s">
        <v>17</v>
      </c>
    </row>
    <row r="19" customFormat="false" ht="15" hidden="false" customHeight="false" outlineLevel="0" collapsed="false">
      <c r="A19" s="2" t="s">
        <v>402</v>
      </c>
      <c r="B19" s="2" t="s">
        <v>403</v>
      </c>
      <c r="C19" s="20"/>
      <c r="D19" s="2" t="s">
        <v>404</v>
      </c>
    </row>
    <row r="20" customFormat="false" ht="15" hidden="false" customHeight="false" outlineLevel="0" collapsed="false">
      <c r="A20" s="2" t="s">
        <v>405</v>
      </c>
      <c r="B20" s="2" t="s">
        <v>406</v>
      </c>
      <c r="C20" s="20"/>
      <c r="D20" s="2" t="s">
        <v>31</v>
      </c>
    </row>
    <row r="21" customFormat="false" ht="15" hidden="false" customHeight="false" outlineLevel="0" collapsed="false">
      <c r="A21" s="2" t="s">
        <v>407</v>
      </c>
      <c r="B21" s="2" t="s">
        <v>408</v>
      </c>
      <c r="C21" s="20"/>
      <c r="D21" s="2" t="s">
        <v>46</v>
      </c>
    </row>
    <row r="22" customFormat="false" ht="15" hidden="false" customHeight="false" outlineLevel="0" collapsed="false">
      <c r="A22" s="2" t="s">
        <v>409</v>
      </c>
      <c r="B22" s="2" t="s">
        <v>410</v>
      </c>
      <c r="C22" s="20"/>
      <c r="D22" s="2" t="s">
        <v>411</v>
      </c>
    </row>
    <row r="24" customFormat="false" ht="61.5" hidden="false" customHeight="true" outlineLevel="0" collapsed="false">
      <c r="A24" s="21" t="s">
        <v>412</v>
      </c>
      <c r="B24" s="21"/>
      <c r="C24" s="21"/>
      <c r="D24" s="21"/>
    </row>
  </sheetData>
  <mergeCells count="1"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2026-10-20T19:17:34Z</dcterms:created>
  <dc:creator>openpyxl</dc:creator>
  <dc:description/>
  <dc:language>en-US</dc:language>
  <cp:lastModifiedBy/>
  <dcterms:modified xsi:type="dcterms:W3CDTF">2026-10-20T19:17:34Z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