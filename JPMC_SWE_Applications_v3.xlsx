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pplications" sheetId="1" state="visible" r:id="rId3"/>
    <sheet name="Round Summary" sheetId="2" state="visible" r:id="rId4"/>
    <sheet name="Rubric" sheetId="3" state="visible" r:id="rId5"/>
    <sheet name="Validation (Final)" sheetId="4" state="visible" r:id="rId6"/>
    <sheet name="Revision Log" sheetId="5" state="visible" r:id="rId7"/>
    <sheet name="Round State" sheetId="6" state="visible" r:id="rId8"/>
    <sheet name="Fact Pool" sheetId="7" state="visible" r:id="rId9"/>
  </sheets>
  <definedNames>
    <definedName function="false" hidden="true" localSheetId="4" name="_xlnm._FilterDatabase" vbProcedure="false">'Revision Log'!$A$1:$O$146</definedName>
    <definedName function="false" hidden="true" localSheetId="3" name="_xlnm._FilterDatabase" vbProcedure="false">'Validation (Final)'!$A$1:$O$281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<sst xmlns="http://schemas.openxmlformats.org/spreadsheetml/2006/main" count="2375" uniqueCount="595">
  <si>
    <t xml:space="preserve">Company</t>
  </si>
  <si>
    <t xml:space="preserve">Role</t>
  </si>
  <si>
    <t xml:space="preserve">Application Link</t>
  </si>
  <si>
    <t xml:space="preserve">5 JPMC Bullets (final version)</t>
  </si>
  <si>
    <t xml:space="preserve">Final Avg (/10)</t>
  </si>
  <si>
    <t xml:space="preserve">Baseline Avg (/10)</t>
  </si>
  <si>
    <t xml:space="preserve">Eligibility / Fit Note</t>
  </si>
  <si>
    <t xml:space="preserve">Bullet source</t>
  </si>
  <si>
    <t xml:space="preserve">Amazon (Twitch)</t>
  </si>
  <si>
    <t xml:space="preserve">Software Engineer I (Seattle)</t>
  </si>
  <si>
    <t xml:space="preserve">https://www.amazon.jobs/en/jobs/3141336/software-engineer-i</t>
  </si>
  <si>
    <t xml:space="preserve">• Own 4 Java/Spring Boot services in JPMC's payment-authorization platform on AWS (38M transactions/day, 99.95% availability); led the zero-downtime Java 17 upgrade.
• Cut p99 latency of the settlement-status API from 620ms to 210ms by adding a Redis cache and rewriting 3 slow Oracle queries.
• Built CI/CD with automated integration tests, moving releases from bi-weekly to on-demand and cutting rollbacks from 12% to 3%.
• On-call for 4 services; Grafana/Splunk alerts and runbooks cut mean-time-to-detect from 25 to 6 minutes and halved repeat pages.
• Lifted unit-test coverage on owned services from 52% to 81% in 3 weeks, using Copilot/Claude Code to draft tests I reviewed by hand.</t>
  </si>
  <si>
    <t xml:space="preserve">Asks ~1+ yr professional experience; good YOE match.</t>
  </si>
  <si>
    <t xml:space="preserve">Original 14 (full revision history)</t>
  </si>
  <si>
    <t xml:space="preserve">Amazon</t>
  </si>
  <si>
    <t xml:space="preserve">Software Engineer I, Payments</t>
  </si>
  <si>
    <t xml:space="preserve">https://www.amazon.jobs/en/jobs/10502486/software-engineer-i-payments</t>
  </si>
  <si>
    <t xml:space="preserve">• Shipped 6 features to a $1.2B/day payment platform via 10%-to-100% staged rollouts and feature flags, with zero Sev-1 incidents.
• Fixed a duplicate-posting bug class by designing idempotency keys for settlement retries, eliminating ~120 duplicate transactions/month.
• Migrated 9 nightly batch jobs to Kafka event-driven services, cutting end-to-end settlement processing from 4 hours to 25 minutes.
• Added reconciliation checks and audit logging that caught 14 ledger mismatches before customers saw them.
• Built an LLM script to triage failed-payment tickets (87% accuracy on 300 labeled tickets), saving the team ~6 hrs/week.</t>
  </si>
  <si>
    <t xml:space="preserve">SDE I band; ~0-2 yrs fits. Payments domain overlaps with JPMC.</t>
  </si>
  <si>
    <t xml:space="preserve">Mastercard</t>
  </si>
  <si>
    <t xml:space="preserve">Software Engineer I (O'Fallon, MO)</t>
  </si>
  <si>
    <t xml:space="preserve">https://careers.mastercard.com/us/en/job/R-292618/Software-Engineer-I</t>
  </si>
  <si>
    <t xml:space="preserve">• Maintain 4 Java services in a 38M-events/day transaction pipeline at 99.95% availability, including on-call.
• Containerized 4 services and automated tests in CI, cutting build-and-deploy from 45 to 12 minutes and saving the team ~15 engineer-hours/month.
• Remediated 23 OWASP-class findings (injection, auth gaps) across 4 services before the audit deadline, fixing the 5 critical ones within 48 hours.
• Cut month-end reporting queries from 90s to 8s with materialized views, unblocking close for 40 ops users.
• Wrote an onboarding guide and setup scripts for a 12-person team, getting new hires to a first merged PR in 2 weeks instead of 5.</t>
  </si>
  <si>
    <t xml:space="preserve">Entry-level band; you're at/above level.</t>
  </si>
  <si>
    <t xml:space="preserve">Addepar</t>
  </si>
  <si>
    <t xml:space="preserve">Software Engineer, Full Stack - Alts &amp; Data Management</t>
  </si>
  <si>
    <t xml:space="preserve">https://job-boards.greenhouse.io/addepar1/jobs/8538666002</t>
  </si>
  <si>
    <t xml:space="preserve">• Built full-stack features (React/TypeScript + Java APIs) for a 60-user internal ops dashboard used to monitor settlement exceptions.
• Designed a pipeline normalizing 5 upstream data feeds into one schema, eliminating ~10 hrs/week of manual reconciliation.
• Cut dashboard load time from 8s to 1.5s via query optimization and pagination over 20M-row tables.
• Wrote 140 integration and data-validation tests that stopped 14 bad-data incidents from reaching client-facing reports.
• Prototyped natural-language querying over exception data with an LLM, measured at 87% accuracy on a 300-case eval set.</t>
  </si>
  <si>
    <t xml:space="preserve">Requires 2+ yrs full stack OR 1+ yr each FE/BE; borderline, stress both layers.</t>
  </si>
  <si>
    <t xml:space="preserve">Software Engineer, Fullstack</t>
  </si>
  <si>
    <t xml:space="preserve">https://job-boards.greenhouse.io/addepar1/jobs/8606946002</t>
  </si>
  <si>
    <t xml:space="preserve">• Shipped 6 features end-to-end (React, REST, Oracle) for the exceptions dashboard, lifting weekly active use from 55% to 85%.
• Refactored the settlement-status module behind a clean interface, deleting ~2K duplicated lines and halving feature lead time (2 weeks to 1) with zero regressions across 300 tests.
• Introduced OpenAPI contracts across 3 frontend/backend teams and generated typed clients, cutting integration bugs 40%.
• Owned the settlement-exceptions dashboard from design doc to production, using feature flags and monitoring for a zero-downtime rollout to 60 users.
• Wrote an AI-assisted dev playbook for 8 teammates; PR cycle time fell from 3 days to 1.8 with review standards unchanged.</t>
  </si>
  <si>
    <t xml:space="preserve">Check posting for exact YOE bar before applying.</t>
  </si>
  <si>
    <t xml:space="preserve">Rescale</t>
  </si>
  <si>
    <t xml:space="preserve">Software Engineer, Full Stack - AI &amp; Data</t>
  </si>
  <si>
    <t xml:space="preserve">https://jobs.ashbyhq.com/rescale/fdba3410-d255-4879-9a6e-bed488b4a1fc</t>
  </si>
  <si>
    <t xml:space="preserve">• Built distributed Java services on AWS (ECS, SQS) handling 38M events/day; autoscaling cut compute cost 22%.
• Designed async retry + dead-letter handling that raised job success rate from 96.8% to 99.7%.
• Built Grafana/Splunk alerting that cut mean-time-to-detect from 25 to 6 minutes across 4 distributed services.
• Built an LLM triage assistant that classifies failed jobs and proposes fixes; engineers accepted its suggestion in ~35% of cases during a 4-week pilot.
• Packaged our AWS setup as Terraform modules adopted by 3 teams: environment setup fell from 2 days to 2 hours and config drift disappeared.</t>
  </si>
  <si>
    <t xml:space="preserve">Posting cites 1-3 yrs backend/distributed systems on a major cloud + LLM/agent exposure.</t>
  </si>
  <si>
    <t xml:space="preserve">Affirm</t>
  </si>
  <si>
    <t xml:space="preserve">Software Engineer, Early Career (NYC)</t>
  </si>
  <si>
    <t xml:space="preserve">https://job-boards.greenhouse.io/affirm/jobs/8008649003</t>
  </si>
  <si>
    <t xml:space="preserve">• Kept 4 Java/Kafka services at 99.95% availability through 2 peak-volume spikes by pre-scaling consumers and load-testing at 2x.
• Added validation rules that cut erroneous postings 60% with false rejects under 0.5%.
• Raised service availability from 99.5% to 99.95% via circuit breakers, retries, and load testing at 2x peak.
• Automated routine exception handling (retries, re-queues), freeing ~10 engineer-hours/week and cutting exception-resolution time from 20 to 7 minutes.
• Used LLMs to generate test fixtures and summarize incidents, halving postmortem prep (4 hours to 2) with every output hand-reviewed.</t>
  </si>
  <si>
    <t xml:space="preserve">Older Greenhouse ID; confirm it's still open.</t>
  </si>
  <si>
    <t xml:space="preserve">Palantir</t>
  </si>
  <si>
    <t xml:space="preserve">Forward Deployed Software Engineer, New Grad - Commercial</t>
  </si>
  <si>
    <t xml:space="preserve">https://jobs.lever.co/palantir/e500bcf3-19d8-4d3c-b340-4d76e4a55b40</t>
  </si>
  <si>
    <t xml:space="preserve">• Embedded with ops stakeholders to scope and ship a settlement-exceptions tool adopted by 60 users in 4 weeks.
• Consolidated 5 data sources into one dashboard, replacing a ~10 hr/week manual reporting process.
• Turned a vague ops request into a scoped tool in 1 week by interviewing 6 analysts; shipped an MVP next sprint, now used daily by 60.
• Traced recurring data-mismatch tickets across 3 systems to a timezone bug in one feed; the fix cut related tickets 40%.
• Prototyped an LLM workflow for ticket triage with human-in-loop review, reaching 87% accuracy.</t>
  </si>
  <si>
    <t xml:space="preserve">New-grad track; may require recent-grad status.</t>
  </si>
  <si>
    <t xml:space="preserve">Harvey</t>
  </si>
  <si>
    <t xml:space="preserve">Software Engineer, New Grad (2027)</t>
  </si>
  <si>
    <t xml:space="preserve">https://jobs.ashbyhq.com/harvey/4d8dc9ba-eb86-4d88-af7d-65d2fdaf3fdc</t>
  </si>
  <si>
    <t xml:space="preserve">• Built audit logging and role-based access into 6 features in a regulated bank environment; passed internal audit with zero findings on my services.
• Built a Python service that extracts fields from settlement PDFs with an LLM plus rule-based validation, hitting 90% field accuracy on 300 labeled documents.
• Created an LLM evaluation harness (300 labeled cases, regression checks) that blocked 4 quality regressions pre-release.
• Use Claude Code and Copilot daily; tracked my PR cycle time over a quarter (3 days to 1.8) and wrote review guidelines for AI-generated code.
• Turned 12 compliance policy rules into automated pre-merge checks, replacing a manual review that took 3 hours/week.</t>
  </si>
  <si>
    <t xml:space="preserve">2027 new-grad cohort; likely requires upcoming graduation. Long shot.</t>
  </si>
  <si>
    <t xml:space="preserve">Replit</t>
  </si>
  <si>
    <t xml:space="preserve">Software Engineer - New Grad (2027)</t>
  </si>
  <si>
    <t xml:space="preserve">https://jobs.ashbyhq.com/replit/b5e81eae-06f9-4798-8988-2d06ca936dbc</t>
  </si>
  <si>
    <t xml:space="preserve">• Built an internal ops tool used by 60 engineers/analysts, cutting exception-resolution time from 20 to 7 minutes.
• Shipped the exceptions dashboard's 6 core features on weekly releases, reaching 85% weekly adoption in a month; prototyped UI variants with Claude Code in hours.
• Built AI-assisted workflows (codegen, test generation, PR summaries) adopted by 8 teammates, saving ~5 hrs/week each.
• Built a CLI that replays payment events in test environments; 6 engineers on 2 teams use it, cutting bug-repro from 2 hours to 15 minutes.
• Traced a recurring dashboard timeout to an N+1 query; the fix cut error rate from 2% to 0.3% and ended weekly escalations.</t>
  </si>
  <si>
    <t xml:space="preserve">Cursor (Anysphere)</t>
  </si>
  <si>
    <t xml:space="preserve">Software Engineer, New Grad 2027</t>
  </si>
  <si>
    <t xml:space="preserve">https://jobs.ashbyhq.com/cursor/d0e5b41d-84ab-4887-bd3a-55589b11dd7b</t>
  </si>
  <si>
    <t xml:space="preserve">• Ship daily with AI coding agents (Claude Code, Copilot); my PR throughput rose ~40% over a quarter while defect escapes stayed flat.
• Built a prompt/eval pipeline testing LLM outputs on 300 labeled cases, catching 4 regressions before release.
• Cut settlement-API p99 from 620ms to 210ms through profiling and query/caching changes.
• Built a CLI that replays payment events in test environments, cutting bug-repro from 2 hours to 15 minutes for 6 engineers.
• Added 140 integration tests and latency/error telemetry to every service I shipped, catching 9 staging regressions; AI drafted the tests, I hand-verified each.</t>
  </si>
  <si>
    <t xml:space="preserve">Wants Spring 2027 grads + open/reviewable shipped project. Long shot.</t>
  </si>
  <si>
    <t xml:space="preserve">Notion</t>
  </si>
  <si>
    <t xml:space="preserve">Software Engineer, New Grad (Dec 2026)</t>
  </si>
  <si>
    <t xml:space="preserve">https://jobs.ashbyhq.com/notion/e32799d2-8ef8-4803-8189-c72514afa816</t>
  </si>
  <si>
    <t xml:space="preserve">• Built React/TypeScript features for the 60-user exceptions dashboard, reaching 85% weekly adoption within a month.
• Improved UI load time from 8s to 1.5s via query batching, pagination, and lazy loading.
• Found 3 unused views via dashboard analytics, removed them, and lifted weekly active use from 55% to 85%.
• Cut React component and test scaffolding time ~50% with Copilot/Claude Code templates; shared the prompts with 8 teammates.
• Shipped the exceptions workflow in 5 weeks after 3 usability rounds with 8 ops users; task time dropped from 20 to 7 minutes.</t>
  </si>
  <si>
    <t xml:space="preserve">Requires graduating by Dec 2026 + prior internship. Likely ineligible.</t>
  </si>
  <si>
    <t xml:space="preserve">Whatnot</t>
  </si>
  <si>
    <t xml:space="preserve">Software Engineer, 2027 New Grad</t>
  </si>
  <si>
    <t xml:space="preserve">https://jobs.ashbyhq.com/whatnot/29bad846-de60-4be7-a222-69b97e044930</t>
  </si>
  <si>
    <t xml:space="preserve">• Built Kafka event services at ~440 events/sec (38M/day) with sub-100ms delivery, removing hot partitions via a partition-key redesign.
• Cut posting failure rate from 1.8% to 0.3% via retry logic and better error handling.
• Owned 6 features from design to rollout; 5 hit adoption targets (avg +30% weekly use) and I rolled back the sixth within a day when error metrics spiked.
• Built anomaly checks tuned on 6 months of history that block ~120 duplicate/suspicious postings a month at under 0.5% false positives.
• Built an LLM triage script (87% on 300 labeled tickets) saving ~6 hrs/week; AI coding tools cut my feature cycle time ~30%.</t>
  </si>
  <si>
    <t xml:space="preserve">Summer 2027 degree expected; likely ineligible by date.</t>
  </si>
  <si>
    <t xml:space="preserve">Zip</t>
  </si>
  <si>
    <t xml:space="preserve">Software Engineer, New Grad (2027 Start)</t>
  </si>
  <si>
    <t xml:space="preserve">https://jobs.ashbyhq.com/zip/df6eb1ee-b360-46fe-b23f-658626ec59ea/application</t>
  </si>
  <si>
    <t xml:space="preserve">• Built exception-approval workflow features for 60 ops users, automating 70% of manual steps and cutting resolution time from 20 to 7 minutes.
• Integrated 5 upstream systems via REST/Kafka with schema validation, cutting malformed-message failures from 3% to 0.2%.
• Cut exception-resolution time from 20 to 7 minutes by redesigning the workflow and adding alerts.
• Added role-based access and audit trails to 4 services, passing internal compliance review with no rework.
• Prototyped an LLM agent to extract and classify requests, hitting 87% accuracy vs. manual baseline.</t>
  </si>
  <si>
    <t xml:space="preserve">Asks for Dec 2026-Jun 2027 graduation. Likely ineligible.</t>
  </si>
  <si>
    <t xml:space="preserve">Plaid</t>
  </si>
  <si>
    <t xml:space="preserve">Software Engineer, Backend</t>
  </si>
  <si>
    <t xml:space="preserve">https://jobs.ashbyhq.com/plaid/5c5d4414-347c-4caa-be88-384dec2d074b</t>
  </si>
  <si>
    <t xml:space="preserve">• Fixed a duplicate-posting bug class by designing idempotency keys for settlement retries, eliminating ~120 duplicate transactions/month.
• Cut p99 latency of the settlement-status API from 620ms to 210ms by adding a Redis cache and rewriting 3 slow Oracle queries.
• Migrated 9 nightly batch jobs to Kafka event-driven services, cutting end-to-end settlement processing from 4 hours to 25 minutes.
• Added reconciliation checks and audit logging that caught 14 ledger mismatches before customers saw them.
• Built an LLM script to triage failed-payment tickets (87% accuracy on 300 labeled tickets), saving the team ~6 hrs/week.</t>
  </si>
  <si>
    <t xml:space="preserve">n/a</t>
  </si>
  <si>
    <t xml:space="preserve">Posting asks 1-4 yrs post-internship: strong fit; fintech infrastructure.</t>
  </si>
  <si>
    <t xml:space="preserve">Reused: Backend / fintech</t>
  </si>
  <si>
    <t xml:space="preserve">Traba</t>
  </si>
  <si>
    <t xml:space="preserve">Software Engineer (AI Agents)</t>
  </si>
  <si>
    <t xml:space="preserve">https://jobs.ashbyhq.com/traba/e1761ab2-21f1-46d6-8c69-9b4a73d9430f</t>
  </si>
  <si>
    <t xml:space="preserve">• Ship daily with AI coding agents (Claude Code, Copilot); my PR throughput rose ~40% over a quarter while defect escapes stayed flat.
• Built a prompt/eval pipeline testing LLM outputs on 300 labeled cases, catching 4 regressions before release.
• Use Claude Code and Copilot daily; tracked my PR cycle time over a quarter (3 days to 1.8) and wrote review guidelines for AI-generated code.
• Built an LLM triage script (87% on 300 labeled tickets) saving ~6 hrs/week; AI coding tools cut my feature cycle time ~30%.
• Prototyped natural-language querying over exception data with an LLM, measured at 87% accuracy on a 300-case eval set.</t>
  </si>
  <si>
    <t xml:space="preserve">Asks ~1+ yr shipping LLM features; founding-team style role.</t>
  </si>
  <si>
    <t xml:space="preserve">Reused: AI / agents</t>
  </si>
  <si>
    <t xml:space="preserve">Serval</t>
  </si>
  <si>
    <t xml:space="preserve">Software Engineer, Applied AI</t>
  </si>
  <si>
    <t xml:space="preserve">https://jobs.ashbyhq.com/serval/2bfaede4-22b2-43b2-a14c-f45e5f398624</t>
  </si>
  <si>
    <t xml:space="preserve">• Created an LLM evaluation harness (300 labeled cases, regression checks) that blocked 4 quality regressions pre-release.
• Built a prompt/eval pipeline testing LLM outputs on 300 labeled cases, catching 4 regressions before release.
• Built an LLM triage assistant that classifies failed jobs and proposes fixes; engineers accepted its suggestion in ~35% of cases during a 4-week pilot.
• Built AI-assisted workflows (codegen, test generation, PR summaries) adopted by 8 teammates, saving ~5 hrs/week each.
• Prototyped an LLM workflow for ticket triage with human-in-loop review, reaching 87% accuracy.</t>
  </si>
  <si>
    <t xml:space="preserve">YOE not confirmed; IT-workflow agents. Check level before applying.</t>
  </si>
  <si>
    <t xml:space="preserve">LiveFlow</t>
  </si>
  <si>
    <t xml:space="preserve">Software Engineer - AI Agents</t>
  </si>
  <si>
    <t xml:space="preserve">https://jobs.ashbyhq.com/liveflow/e1ba2bad-030a-4bc2-9bbd-f1375f712a57</t>
  </si>
  <si>
    <t xml:space="preserve">• Built an LLM triage assistant that classifies failed jobs and proposes fixes; engineers accepted its suggestion in ~35% of cases during a 4-week pilot.
• Built a Python service that extracts fields from settlement PDFs with an LLM plus rule-based validation, hitting 90% field accuracy on 300 labeled documents.
• Created an LLM evaluation harness (300 labeled cases, regression checks) that blocked 4 quality regressions pre-release.
• Built an LLM script to triage failed-payment tickets (87% accuracy on 300 labeled tickets), saving the team ~6 hrs/week.
• Lifted unit-test coverage on owned services from 52% to 81% in 3 weeks, using Copilot/Claude Code to draft tests I reviewed by hand.</t>
  </si>
  <si>
    <t xml:space="preserve">Full-stack on AI agents for finance/accounting software (SF hybrid): domain overlaps JPMC.</t>
  </si>
  <si>
    <t xml:space="preserve">Hilbert's AI</t>
  </si>
  <si>
    <t xml:space="preserve">Software Engineer (Full-Stack / Product)</t>
  </si>
  <si>
    <t xml:space="preserve">https://jobs.ashbyhq.com/hilberts/989d547f-1f23-43b9-b8e8-c8771d7d4286</t>
  </si>
  <si>
    <t xml:space="preserve">• Built React/TypeScript features for the 60-user exceptions dashboard, reaching 85% weekly adoption within a month.
• Built AI-assisted workflows (codegen, test generation, PR summaries) adopted by 8 teammates, saving ~5 hrs/week each.
• Built a prompt/eval pipeline testing LLM outputs on 300 labeled cases, catching 4 regressions before release.
• Introduced OpenAPI contracts across 3 frontend/backend teams and generated typed clients, cutting integration bugs 40%.
• Prototyped natural-language querying over exception data with an LLM, measured at 87% accuracy on a 300-case eval set.</t>
  </si>
  <si>
    <t xml:space="preserve">TypeScript/Node/React on an agentic interface; SF or Istanbul.</t>
  </si>
  <si>
    <t xml:space="preserve">Reused: Full stack + AI</t>
  </si>
  <si>
    <t xml:space="preserve">The Flex</t>
  </si>
  <si>
    <t xml:space="preserve">Full-Stack Product Engineer</t>
  </si>
  <si>
    <t xml:space="preserve">https://jobs.ashbyhq.com/The-Flex/82eafc9b-c4c0-4310-8b9d-9f5410ff0d53</t>
  </si>
  <si>
    <t xml:space="preserve">• Built exception-approval workflow features for 60 ops users, automating 70% of manual steps and cutting resolution time from 20 to 7 minutes.
• Cut exception-resolution time from 20 to 7 minutes by redesigning the workflow and adding alerts.
• Owned the settlement-exceptions dashboard from design doc to production, using feature flags and monitoring for a zero-downtime rollout to 60 users.
• Shipped the exceptions workflow in 5 weeks after 3 usability rounds with 8 ops users; task time dropped from 20 to 7 minutes.
• Wrote an AI-assisted dev playbook for 8 teammates; PR cycle time fell from 3 days to 1.8 with review standards unchanged.</t>
  </si>
  <si>
    <t xml:space="preserve">Python/FastAPI/React/TS; internal tools + Stripe/Twilio integrations.</t>
  </si>
  <si>
    <t xml:space="preserve">Reused: Full stack</t>
  </si>
  <si>
    <t xml:space="preserve">Pivotal Health</t>
  </si>
  <si>
    <t xml:space="preserve">Full Stack Product Engineer</t>
  </si>
  <si>
    <t xml:space="preserve">https://jobs.ashbyhq.com/pivotal-health/74f89bd9-30ca-4cf9-ab50-e0f1d2af2431</t>
  </si>
  <si>
    <t xml:space="preserve">• Built full-stack features (React/TypeScript + Java APIs) for a 60-user internal ops dashboard used to monitor settlement exceptions.
• Cut dashboard load time from 8s to 1.5s via query optimization and pagination over 20M-row tables.
• Designed a pipeline normalizing 5 upstream data feeds into one schema, eliminating ~10 hrs/week of manual reconciliation.
• Shipped 6 features end-to-end (React, REST, Oracle) for the exceptions dashboard, lifting weekly active use from 55% to 85%.
• Prototyped natural-language querying over exception data with an LLM, measured at 87% accuracy on a 300-case eval set.</t>
  </si>
  <si>
    <t xml:space="preserve">Backend-leaning, AI/ML team. Pay band suggests mid-senior: check YOE.</t>
  </si>
  <si>
    <t xml:space="preserve">Applied Intuition</t>
  </si>
  <si>
    <t xml:space="preserve">Software Engineer - AI Engineering</t>
  </si>
  <si>
    <t xml:space="preserve">https://jobs.ashbyhq.com/applied/981054d6-d6d9-4553-9db8-38e56939d3b8</t>
  </si>
  <si>
    <t xml:space="preserve">Asks 2+ yrs AI/ML feature experience: stretch.</t>
  </si>
  <si>
    <t xml:space="preserve">Perplexity</t>
  </si>
  <si>
    <t xml:space="preserve">Member of Technical Staff (Software Engineer, Applied AI)</t>
  </si>
  <si>
    <t xml:space="preserve">https://jobs.ashbyhq.com/perplexity/3c656963-876a-458d-bca6-916a42a24c1a</t>
  </si>
  <si>
    <t xml:space="preserve">YOE not stated in results; agent work. Stretch.</t>
  </si>
  <si>
    <t xml:space="preserve">Smartsheet</t>
  </si>
  <si>
    <t xml:space="preserve">Software Engineer II - Full Stack (Remote Eligible)</t>
  </si>
  <si>
    <t xml:space="preserve">https://job-boards.greenhouse.io/smartsheet/jobs/8097667</t>
  </si>
  <si>
    <t xml:space="preserve">• Designed async retry + dead-letter handling that raised job success rate from 96.8% to 99.7%.
• Cut p99 latency of the settlement-status API from 620ms to 210ms by adding a Redis cache and rewriting 3 slow Oracle queries.
• Built Grafana/Splunk alerting that cut mean-time-to-detect from 25 to 6 minutes across 4 distributed services.
• Built distributed Java services on AWS (ECS, SQS) handling 38M events/day; autoscaling cut compute cost 22%.
• Built an LLM script to triage failed-payment tickets (87% accuracy on 300 labeled tickets), saving the team ~6 hrs/week.</t>
  </si>
  <si>
    <t xml:space="preserve">Asks 2+ yrs Java/Kotlin/TS + AWS/K8s: your Java stack matches.</t>
  </si>
  <si>
    <t xml:space="preserve">Reused: Backend / cloud</t>
  </si>
  <si>
    <t xml:space="preserve">Conga</t>
  </si>
  <si>
    <t xml:space="preserve">Software Engineer II - Full Stack</t>
  </si>
  <si>
    <t xml:space="preserve">https://job-boards.greenhouse.io/conga/jobs/5116390007</t>
  </si>
  <si>
    <t xml:space="preserve">Asks 2+ yrs OO development (Java); Houston hybrid.</t>
  </si>
  <si>
    <t xml:space="preserve">Zip Co Limited</t>
  </si>
  <si>
    <t xml:space="preserve">Software Engineer II (Full Stack)</t>
  </si>
  <si>
    <t xml:space="preserve">https://job-boards.greenhouse.io/zipcolimited/jobs/4564108006</t>
  </si>
  <si>
    <t xml:space="preserve">• Built React/TypeScript features for the 60-user exceptions dashboard, reaching 85% weekly adoption within a month.
• Improved UI load time from 8s to 1.5s via query batching, pagination, and lazy loading.
• Built an internal ops tool used by 60 engineers/analysts, cutting exception-resolution time from 20 to 7 minutes.
• Introduced OpenAPI contracts across 3 frontend/backend teams and generated typed clients, cutting integration bugs 40%.
• Built AI-assisted workflows (codegen, test generation, PR summaries) adopted by 8 teammates, saving ~5 hrs/week each.</t>
  </si>
  <si>
    <t xml:space="preserve">Innovation Labs; .NET Core + React, so stack differs from Java.</t>
  </si>
  <si>
    <t xml:space="preserve">Roo</t>
  </si>
  <si>
    <t xml:space="preserve">Full Stack Engineer</t>
  </si>
  <si>
    <t xml:space="preserve">https://job-boards.greenhouse.io/roo/jobs/5373552008</t>
  </si>
  <si>
    <t xml:space="preserve">Asks ~2-4 yrs TypeScript/Node/React/AWS.</t>
  </si>
  <si>
    <t xml:space="preserve">CLEAR</t>
  </si>
  <si>
    <t xml:space="preserve">Software Development Engineer I</t>
  </si>
  <si>
    <t xml:space="preserve">https://job-boards.greenhouse.io/clear/jobs/8241829</t>
  </si>
  <si>
    <t xml:space="preserve">• Built full-stack features (React/TypeScript + Java APIs) for a 60-user internal ops dashboard used to monitor settlement exceptions.
• Cut p99 latency of the settlement-status API from 620ms to 210ms by adding a Redis cache and rewriting 3 slow Oracle queries.
• Built CI/CD with automated integration tests, moving releases from bi-weekly to on-demand and cutting rollbacks from 12% to 3%.
• Introduced OpenAPI contracts across 3 frontend/backend teams and generated typed clients, cutting integration bugs 40%.
• Lifted unit-test coverage on owned services from 52% to 81% in 3 weeks, using Copilot/Claude Code to draft tests I reviewed by hand.</t>
  </si>
  <si>
    <t xml:space="preserve">Explicit 0-2 yrs; Java/React/TypeScript on identity platform.</t>
  </si>
  <si>
    <t xml:space="preserve">Semgrep</t>
  </si>
  <si>
    <t xml:space="preserve">Software Engineer, Infrastructure</t>
  </si>
  <si>
    <t xml:space="preserve">https://job-boards.greenhouse.io/semgrep/jobs/4969529007</t>
  </si>
  <si>
    <t xml:space="preserve">• Built distributed Java services on AWS (ECS, SQS) handling 38M events/day; autoscaling cut compute cost 22%.
• Packaged our AWS setup as Terraform modules adopted by 3 teams: environment setup fell from 2 days to 2 hours and config drift disappeared.
• Built Grafana/Splunk alerting that cut mean-time-to-detect from 25 to 6 minutes across 4 distributed services.
• Raised service availability from 99.5% to 99.95% via circuit breakers, retries, and load testing at 2x peak.
• Built CI/CD with automated integration tests, moving releases from bi-weekly to on-demand and cutting rollbacks from 12% to 3%.</t>
  </si>
  <si>
    <t xml:space="preserve">~2 yrs; Kubernetes/AWS; on-call.</t>
  </si>
  <si>
    <t xml:space="preserve">Reused: Infra / platform</t>
  </si>
  <si>
    <t xml:space="preserve">Aquatic Capital Management</t>
  </si>
  <si>
    <t xml:space="preserve">Software Engineer, Early Career</t>
  </si>
  <si>
    <t xml:space="preserve">https://job-boards.greenhouse.io/aquaticcapitalmanagement/jobs/8489226002</t>
  </si>
  <si>
    <t xml:space="preserve">• Cut p99 latency of the settlement-status API from 620ms to 210ms by adding a Redis cache and rewriting 3 slow Oracle queries.
• Fixed a duplicate-posting bug class by designing idempotency keys for settlement retries, eliminating ~120 duplicate transactions/month.
• Cut dashboard load time from 8s to 1.5s via query optimization and pagination over 20M-row tables.
• Built a CLI that replays payment events in test environments, cutting bug-repro from 2 hours to 15 minutes for 6 engineers.
• Wrote an AI-assisted dev playbook for 8 teammates; PR cycle time fell from 3 days to 1.8 with review standards unchanged.</t>
  </si>
  <si>
    <t xml:space="preserve">Trading firm; C++/Python emphasis: stack gap. Confirm still open.</t>
  </si>
  <si>
    <t xml:space="preserve">Reused: Early career</t>
  </si>
  <si>
    <t xml:space="preserve">ID.me</t>
  </si>
  <si>
    <t xml:space="preserve">Software Engineer II, Developer Portal (New Grad / Early Career)</t>
  </si>
  <si>
    <t xml:space="preserve">https://job-boards.greenhouse.io/idme/jobs/8011089003</t>
  </si>
  <si>
    <t xml:space="preserve">• Wrote an AI-assisted dev playbook for 8 teammates; PR cycle time fell from 3 days to 1.8 with review standards unchanged.
• Ship daily with AI coding agents (Claude Code, Copilot); my PR throughput rose ~40% over a quarter while defect escapes stayed flat.
• Built full-stack features (React/TypeScript + Java APIs) for a 60-user internal ops dashboard used to monitor settlement exceptions.
• Introduced OpenAPI contracts across 3 frontend/backend teams and generated typed clients, cutting integration bugs 40%.
• Lifted unit-test coverage on owned services from 52% to 81% in 3 weeks, using Copilot/Claude Code to draft tests I reviewed by hand.</t>
  </si>
  <si>
    <t xml:space="preserve">0-2 yrs; AI-native dev workflow expected. Older ID: confirm open.</t>
  </si>
  <si>
    <t xml:space="preserve">Anduril</t>
  </si>
  <si>
    <t xml:space="preserve">2026 Early Career Software Engineer</t>
  </si>
  <si>
    <t xml:space="preserve">https://job-boards.greenhouse.io/andurilindustries/jobs/4802146007</t>
  </si>
  <si>
    <t xml:space="preserve">• Own 4 Java/Spring Boot services in JPMC's payment-authorization platform on AWS (38M transactions/day, 99.95% availability); led the zero-downtime Java 17 upgrade.
• Cut p99 latency of the settlement-status API from 620ms to 210ms by adding a Redis cache and rewriting 3 slow Oracle queries.
• Containerized 4 services and automated tests in CI, cutting build-and-deploy from 45 to 12 minutes and saving the team ~15 engineer-hours/month.
• Built CI/CD with automated integration tests, moving releases from bi-weekly to on-demand and cutting rollbacks from 12% to 3%.
• Lifted unit-test coverage on owned services from 52% to 81% in 3 weeks, using Copilot/Claude Code to draft tests I reviewed by hand.</t>
  </si>
  <si>
    <t xml:space="preserve">2026 cohort: may be closed or new-grad only. Confirm.</t>
  </si>
  <si>
    <t xml:space="preserve">Kodiak</t>
  </si>
  <si>
    <t xml:space="preserve">Autonomy/AI Software Engineer - Early Career</t>
  </si>
  <si>
    <t xml:space="preserve">https://job-boards.greenhouse.io/kodiak/jobs/4028715009</t>
  </si>
  <si>
    <t xml:space="preserve">Older ID; autonomy domain, stack gap. Confirm open.</t>
  </si>
  <si>
    <t xml:space="preserve">Wonderschool</t>
  </si>
  <si>
    <t xml:space="preserve">Early Career Software Engineer</t>
  </si>
  <si>
    <t xml:space="preserve">https://job-boards.greenhouse.io/wonderschool/jobs/6359139003</t>
  </si>
  <si>
    <t xml:space="preserve">On-site SF per search. Confirm open.</t>
  </si>
  <si>
    <t xml:space="preserve">ASM</t>
  </si>
  <si>
    <t xml:space="preserve">Software Engineer - Early Career (Fall 2026)</t>
  </si>
  <si>
    <t xml:space="preserve">https://job-boards.greenhouse.io/asm/jobs/4876722101</t>
  </si>
  <si>
    <t xml:space="preserve">• Maintain 4 Java services in a 38M-events/day transaction pipeline at 99.95% availability, including on-call.
• Containerized 4 services and automated tests in CI, cutting build-and-deploy from 45 to 12 minutes and saving the team ~15 engineer-hours/month.
• Remediated 23 OWASP-class findings (injection, auth gaps) across 4 services before the audit deadline, fixing the 5 critical ones within 48 hours.
• Wrote an onboarding guide and setup scripts for a 12-person team, getting new hires to a first merged PR in 2 weeks instead of 5.
• Lifted unit-test coverage on owned services from 52% to 81% in 3 weeks, using Copilot/Claude Code to draft tests I reviewed by hand.</t>
  </si>
  <si>
    <t xml:space="preserve">Semiconductor; Fall 2026 cohort, may be closed.</t>
  </si>
  <si>
    <t xml:space="preserve">Siren</t>
  </si>
  <si>
    <t xml:space="preserve">Software Engineer (Early Career)</t>
  </si>
  <si>
    <t xml:space="preserve">https://job-boards.greenhouse.io/sirenopt/jobs/4452002009</t>
  </si>
  <si>
    <t xml:space="preserve">Older ID. Confirm still open.</t>
  </si>
  <si>
    <t xml:space="preserve">Lendbuzz</t>
  </si>
  <si>
    <t xml:space="preserve">Full-Stack Software Engineer (Backend Oriented)</t>
  </si>
  <si>
    <t xml:space="preserve">https://jobs.lever.co/lendbuzz/93c0a50a-f9a6-40a1-a97f-b39d8f1b6656</t>
  </si>
  <si>
    <t xml:space="preserve">• Added validation rules that cut erroneous postings 60% with false rejects under 0.5%.
• Raised service availability from 99.5% to 99.95% via circuit breakers, retries, and load testing at 2x peak.
• Built Kafka event services at ~440 events/sec (38M/day) with sub-100ms delivery, removing hot partitions via a partition-key redesign.
• Built anomaly checks tuned on 6 months of history that block ~120 duplicate/suspicious postings a month at under 0.5% false positives.
• Lifted unit-test coverage on owned services from 52% to 81% in 3 weeks, using Copilot/Claude Code to draft tests I reviewed by hand.</t>
  </si>
  <si>
    <t xml:space="preserve">Asks 2-3+ yrs, ~70% backend; fintech/Python/Postgres.</t>
  </si>
  <si>
    <t xml:space="preserve">Peak</t>
  </si>
  <si>
    <t xml:space="preserve">Software Engineer, Backend (New Grad)</t>
  </si>
  <si>
    <t xml:space="preserve">https://jobs.lever.co/peakgames/cfaf2251-1472-4e73-b0a3-e3e88df7aa91</t>
  </si>
  <si>
    <t xml:space="preserve">New-grad track; Java Spring Boot. May require recent-grad status.</t>
  </si>
  <si>
    <t xml:space="preserve">Hive</t>
  </si>
  <si>
    <t xml:space="preserve">Software Engineer - Backend</t>
  </si>
  <si>
    <t xml:space="preserve">https://jobs.lever.co/hive/9461e715-9e58-4414-bc9b-13e449f92b08</t>
  </si>
  <si>
    <t xml:space="preserve">Node.js + Postgres; SF.</t>
  </si>
  <si>
    <t xml:space="preserve">Reused: Backend</t>
  </si>
  <si>
    <t xml:space="preserve">AHEAD</t>
  </si>
  <si>
    <t xml:space="preserve">https://jobs.lever.co/thinkahead/a060eb0f-efc2-4b36-8363-049c657df49c</t>
  </si>
  <si>
    <t xml:space="preserve">YOE not confirmed in results.</t>
  </si>
  <si>
    <t xml:space="preserve">Pattern</t>
  </si>
  <si>
    <t xml:space="preserve">Fullstack AI Software Engineer</t>
  </si>
  <si>
    <t xml:space="preserve">https://jobs.lever.co/pattern/62a5df2a-4387-416b-a6e2-639579c9b7ad</t>
  </si>
  <si>
    <t xml:space="preserve">LLM integration role; location per search: Lehi, UT hybrid.</t>
  </si>
  <si>
    <t xml:space="preserve">Reused: AI / full stack</t>
  </si>
  <si>
    <t xml:space="preserve">Institute of Foundation Models</t>
  </si>
  <si>
    <t xml:space="preserve">Full Stack Software Engineer</t>
  </si>
  <si>
    <t xml:space="preserve">https://jobs.lever.co/ifm-us/1454349c-eb2b-480b-9a57-edfbb2aeeffe</t>
  </si>
  <si>
    <t xml:space="preserve">• Built full-stack features (React/TypeScript + Java APIs) for a 60-user internal ops dashboard used to monitor settlement exceptions.
• Prototyped natural-language querying over exception data with an LLM, measured at 87% accuracy on a 300-case eval set.
• Built a prompt/eval pipeline testing LLM outputs on 300 labeled cases, catching 4 regressions before release.
• Built AI-assisted workflows (codegen, test generation, PR summaries) adopted by 8 teammates, saving ~5 hrs/week each.
• Cut dashboard load time from 8s to 1.5s via query optimization and pagination over 20M-row tables.</t>
  </si>
  <si>
    <t xml:space="preserve">On-site Sunnyvale per search. Confirm YOE.</t>
  </si>
  <si>
    <t xml:space="preserve">Software Engineer I</t>
  </si>
  <si>
    <t xml:space="preserve">https://www.amazon.jobs/en/jobs/10573768/software-engineer-i</t>
  </si>
  <si>
    <t xml:space="preserve">Verify location and 1+ yr requirement on posting.</t>
  </si>
  <si>
    <t xml:space="preserve">Software Engineer I, Discovery</t>
  </si>
  <si>
    <t xml:space="preserve">https://www.amazon.jobs/en/jobs/10468973/software-engineer-i-discovery</t>
  </si>
  <si>
    <t xml:space="preserve">Verify location on posting.</t>
  </si>
  <si>
    <t xml:space="preserve">Software Engineer I, Builder</t>
  </si>
  <si>
    <t xml:space="preserve">https://www.amazon.jobs/en/jobs/3154041/software-engineer-i-builder</t>
  </si>
  <si>
    <t xml:space="preserve">Software Development Engineer I, FinOps FP&amp;A</t>
  </si>
  <si>
    <t xml:space="preserve">https://www.amazon.jobs/en/jobs/10432823/software-development-engineer-i-finops-fp-a</t>
  </si>
  <si>
    <t xml:space="preserve">Finance tech; search noted 1+ yr non-internship experience.</t>
  </si>
  <si>
    <t xml:space="preserve">https://www.amazon.jobs/en/jobs/10580014/software-development-engineer-i</t>
  </si>
  <si>
    <t xml:space="preserve">Verify team and location on posting.</t>
  </si>
  <si>
    <t xml:space="preserve">Software Dev Engineer I</t>
  </si>
  <si>
    <t xml:space="preserve">https://www.amazon.jobs/en/jobs/10406482/software-dev-engineer-i</t>
  </si>
  <si>
    <t xml:space="preserve">Software Development Engineer, Early Career</t>
  </si>
  <si>
    <t xml:space="preserve">https://www.amazon.jobs/en/jobs/10529830/software-development-engineer-early-career</t>
  </si>
  <si>
    <t xml:space="preserve">Early-career program: check eligibility.</t>
  </si>
  <si>
    <t xml:space="preserve">Google</t>
  </si>
  <si>
    <t xml:space="preserve">Software Engineer II, Full Stack, Core</t>
  </si>
  <si>
    <t xml:space="preserve">https://www.google.com/about/careers/applications/jobs/results/133251589958705862-software-engineer-ii</t>
  </si>
  <si>
    <t xml:space="preserve">Google SWE II typically asks ~1 yr programming experience: good fit.</t>
  </si>
  <si>
    <t xml:space="preserve">Software Engineer II, Site Reliability</t>
  </si>
  <si>
    <t xml:space="preserve">https://www.google.com/about/careers/applications/jobs/results/78230576405848774-software-engineer-ii/</t>
  </si>
  <si>
    <t xml:space="preserve">• Packaged our AWS setup as Terraform modules adopted by 3 teams: environment setup fell from 2 days to 2 hours and config drift disappeared.
• On-call for 4 services; Grafana/Splunk alerts and runbooks cut mean-time-to-detect from 25 to 6 minutes and halved repeat pages.
• Raised service availability from 99.5% to 99.95% via circuit breakers, retries, and load testing at 2x peak.
• Containerized 4 services and automated tests in CI, cutting build-and-deploy from 45 to 12 minutes and saving the team ~15 engineer-hours/month.
• Built CI/CD with automated integration tests, moving releases from bi-weekly to on-demand and cutting rollbacks from 12% to 3%.</t>
  </si>
  <si>
    <t xml:space="preserve">SRE track; ~1 yr programming typical.</t>
  </si>
  <si>
    <t xml:space="preserve">Reused: Infra / SRE</t>
  </si>
  <si>
    <t xml:space="preserve">Software Engineer II, Corp Eng</t>
  </si>
  <si>
    <t xml:space="preserve">https://www.google.com/about/careers/applications/jobs/results/138674961899233990-software-engineer-ii-corp-eng</t>
  </si>
  <si>
    <t xml:space="preserve">Corp Eng; ~1 yr programming typical.</t>
  </si>
  <si>
    <t xml:space="preserve">Software Engineer II, Google Safe Search</t>
  </si>
  <si>
    <t xml:space="preserve">https://www.google.com/about/careers/applications/jobs/results/106165773843473094-software-engineer-ii/</t>
  </si>
  <si>
    <t xml:space="preserve">• Cut p99 latency of the settlement-status API from 620ms to 210ms by adding a Redis cache and rewriting 3 slow Oracle queries.
• Cut dashboard load time from 8s to 1.5s via query optimization and pagination over 20M-row tables.
• Built a CLI that replays payment events in test environments, cutting bug-repro from 2 hours to 15 minutes for 6 engineers.
• Lifted unit-test coverage on owned services from 52% to 81% in 3 weeks, using Copilot/Claude Code to draft tests I reviewed by hand.
• Refactored the settlement-status module behind a clean interface, deleting ~2K duplicated lines and halving feature lead time (2 weeks to 1) with zero regressions across 300 tests.</t>
  </si>
  <si>
    <t xml:space="preserve">~1 yr programming typical.</t>
  </si>
  <si>
    <t xml:space="preserve">Software Engineer II, Geo</t>
  </si>
  <si>
    <t xml:space="preserve">https://www.google.com/about/careers/applications/jobs/results/92367747647709894-software-engineer-ii/</t>
  </si>
  <si>
    <t xml:space="preserve">Software Engineer II, Chrome</t>
  </si>
  <si>
    <t xml:space="preserve">https://careers.google.com/jobs/results/106279833142469318-software-engineer-ii/</t>
  </si>
  <si>
    <t xml:space="preserve">Legacy careers URL; confirm still open.</t>
  </si>
  <si>
    <t xml:space="preserve">Reused: Backend / client</t>
  </si>
  <si>
    <t xml:space="preserve">Software Engineer II, Android</t>
  </si>
  <si>
    <t xml:space="preserve">https://www.google.com/about/careers/applications/jobs/results/77784007952999110-software-engineer-ii/</t>
  </si>
  <si>
    <t xml:space="preserve">Round</t>
  </si>
  <si>
    <t xml:space="preserve">Bullets revised</t>
  </si>
  <si>
    <t xml:space="preserve">Mean score of all 70 bullets (/10)</t>
  </si>
  <si>
    <t xml:space="preserve">Bullets &gt;= 8.0</t>
  </si>
  <si>
    <t xml:space="preserve">Bullets &gt;= 7.5</t>
  </si>
  <si>
    <t xml:space="preserve">Lowest score</t>
  </si>
  <si>
    <t xml:space="preserve">Round 0 = baseline draft with illustrative numbers. Each later round: self-critique the lowest-scoring bullets, rewrite, rescore. Scores are my own judgment against the rubric, not an objective measure; later gains shrink because the AI-fluency dimension limits bullets where AI isn't relevant (see Rubric tab, suggestion 2). Round figures cover the original 14 roles (70 bullets). The 42 roles added later reuse these final bullets matched to the role's profile; their JD-Alignment score is the source bullet's minus 1, because the bullet was not written for that exact posting. Tailor the wording to each JD before applying.</t>
  </si>
  <si>
    <t xml:space="preserve">Rubric v2 (7 dimensions, weighted). Blue cells are editable inputs; every score in the workbook recalculates from them.</t>
  </si>
  <si>
    <t xml:space="preserve">Dimension</t>
  </si>
  <si>
    <t xml:space="preserve">Weight</t>
  </si>
  <si>
    <t xml:space="preserve">What a 10 looks like</t>
  </si>
  <si>
    <t xml:space="preserve">Why it matters for getting interviews</t>
  </si>
  <si>
    <t xml:space="preserve">Concise &amp; Punchy</t>
  </si>
  <si>
    <t xml:space="preserve">One line, strong verb first, result visible in the first 8 words.</t>
  </si>
  <si>
    <t xml:space="preserve">Recruiters skim a resume in ~7 seconds; long bullets get skipped.</t>
  </si>
  <si>
    <t xml:space="preserve">Overall Impact</t>
  </si>
  <si>
    <t xml:space="preserve">Measurable outcome tied to users, money, reliability or speed.</t>
  </si>
  <si>
    <t xml:space="preserve">Outcomes, not duties, separate shortlisted resumes.</t>
  </si>
  <si>
    <t xml:space="preserve">Realistic for ~1 YOE</t>
  </si>
  <si>
    <t xml:space="preserve">Scope is believable for ~15 months: owned a feature/service, not an org.</t>
  </si>
  <si>
    <t xml:space="preserve">Over-claiming gets exposed in the phone screen and sinks you.</t>
  </si>
  <si>
    <t xml:space="preserve">AI-Native Fluency</t>
  </si>
  <si>
    <t xml:space="preserve">Shows concrete AI-assisted workflow or LLM work with measurement and human review.</t>
  </si>
  <si>
    <t xml:space="preserve">AI-first employers screen for it; matters less at traditional shops.</t>
  </si>
  <si>
    <t xml:space="preserve">JD Alignment</t>
  </si>
  <si>
    <t xml:space="preserve">Mirrors this role's stack, domain and keywords (NEW vs v1).</t>
  </si>
  <si>
    <t xml:space="preserve">ATS and recruiters match on keywords; same bullet scores differently per job.</t>
  </si>
  <si>
    <t xml:space="preserve">Credibility / Defensible</t>
  </si>
  <si>
    <t xml:space="preserve">Every number can be explained in 60 seconds in an interview (NEW).</t>
  </si>
  <si>
    <t xml:space="preserve">Interviewers probe each metric; undefendable numbers are the top rejection cause.</t>
  </si>
  <si>
    <t xml:space="preserve">Interview Hook</t>
  </si>
  <si>
    <t xml:space="preserve">Contains a decision, trade-off or story that invites a follow-up question (NEW).</t>
  </si>
  <si>
    <t xml:space="preserve">Bullets are conversation starters; the interview IS the goal.</t>
  </si>
  <si>
    <t xml:space="preserve">Gate threshold</t>
  </si>
  <si>
    <t xml:space="preserve">If Realistic OR Credibility scores below this, a penalty applies.</t>
  </si>
  <si>
    <t xml:space="preserve">Gate penalty (points)</t>
  </si>
  <si>
    <t xml:space="preserve">Subtracted from the weighted score. Prevents a flashy but undefendable bullet from ranking high.</t>
  </si>
  <si>
    <t xml:space="preserve">Weights total (must be 1.00)</t>
  </si>
  <si>
    <t xml:space="preserve">Suggested rubric improvements (my recommendations)</t>
  </si>
  <si>
    <t xml:space="preserve">1. Score against the specific job description, not in a vacuum. 'JD Alignment' is now a dimension; before applying, rerun it per posting.</t>
  </si>
  <si>
    <t xml:space="preserve">2. Make AI-fluency weight role-dependent: ~20% for Cursor/Replit/Harvey-type AI-first companies, ~5% for Mastercard/Amazon. Right now it caps non-AI bullets near 7.7-8; set weights per company in the Rubric tab to see the effect.</t>
  </si>
  <si>
    <t xml:space="preserve">3. Score Credibility from an interviewer's viewpoint: could you explain the number, the baseline and the measurement method in 60 seconds? If not, cut it.</t>
  </si>
  <si>
    <t xml:space="preserve">4. Add an ATS-keyword check (exact stack terms from the JD: e.g., Kafka, Terraform, React). Not scored here because it needs the full JD text.</t>
  </si>
  <si>
    <t xml:space="preserve">5. Score the full resume, not bullets in isolation: variety (not 5 latency bullets), and no repeated claim across roles.</t>
  </si>
  <si>
    <t xml:space="preserve">6. Replace self-scoring with outside signal: have 2-3 engineers or a recruiter rate the top bullets blind, and track which versions actually get recruiter replies.</t>
  </si>
  <si>
    <t xml:space="preserve">7. Interview conversion is the true metric: after ~15 applications compare callback rates by bullet style and re-weight the rubric to match.</t>
  </si>
  <si>
    <t xml:space="preserve">Bullet #</t>
  </si>
  <si>
    <t xml:space="preserve">Final Bullet (illustrative numbers)</t>
  </si>
  <si>
    <t xml:space="preserve">Credibility</t>
  </si>
  <si>
    <t xml:space="preserve">Final Score (/10)</t>
  </si>
  <si>
    <t xml:space="preserve">Baseline Score (/10)</t>
  </si>
  <si>
    <t xml:space="preserve">Change</t>
  </si>
  <si>
    <t xml:space="preserve">Key</t>
  </si>
  <si>
    <t xml:space="preserve">Own 4 Java/Spring Boot services in JPMC's payment-authorization platform on AWS (38M transactions/day, 99.95% availability); led the zero-downtime Java 17 upgrade.</t>
  </si>
  <si>
    <t xml:space="preserve">Cut p99 latency of the settlement-status API from 620ms to 210ms by adding a Redis cache and rewriting 3 slow Oracle queries.</t>
  </si>
  <si>
    <t xml:space="preserve">Built CI/CD with automated integration tests, moving releases from bi-weekly to on-demand and cutting rollbacks from 12% to 3%.</t>
  </si>
  <si>
    <t xml:space="preserve">On-call for 4 services; Grafana/Splunk alerts and runbooks cut mean-time-to-detect from 25 to 6 minutes and halved repeat pages.</t>
  </si>
  <si>
    <t xml:space="preserve">Lifted unit-test coverage on owned services from 52% to 81% in 3 weeks, using Copilot/Claude Code to draft tests I reviewed by hand.</t>
  </si>
  <si>
    <t xml:space="preserve">Shipped 6 features to a $1.2B/day payment platform via 10%-to-100% staged rollouts and feature flags, with zero Sev-1 incidents.</t>
  </si>
  <si>
    <t xml:space="preserve">Fixed a duplicate-posting bug class by designing idempotency keys for settlement retries, eliminating ~120 duplicate transactions/month.</t>
  </si>
  <si>
    <t xml:space="preserve">Migrated 9 nightly batch jobs to Kafka event-driven services, cutting end-to-end settlement processing from 4 hours to 25 minutes.</t>
  </si>
  <si>
    <t xml:space="preserve">Added reconciliation checks and audit logging that caught 14 ledger mismatches before customers saw them.</t>
  </si>
  <si>
    <t xml:space="preserve">Built an LLM script to triage failed-payment tickets (87% accuracy on 300 labeled tickets), saving the team ~6 hrs/week.</t>
  </si>
  <si>
    <t xml:space="preserve">Maintain 4 Java services in a 38M-events/day transaction pipeline at 99.95% availability, including on-call.</t>
  </si>
  <si>
    <t xml:space="preserve">Containerized 4 services and automated tests in CI, cutting build-and-deploy from 45 to 12 minutes and saving the team ~15 engineer-hours/month.</t>
  </si>
  <si>
    <t xml:space="preserve">Remediated 23 OWASP-class findings (injection, auth gaps) across 4 services before the audit deadline, fixing the 5 critical ones within 48 hours.</t>
  </si>
  <si>
    <t xml:space="preserve">Cut month-end reporting queries from 90s to 8s with materialized views, unblocking close for 40 ops users.</t>
  </si>
  <si>
    <t xml:space="preserve">Wrote an onboarding guide and setup scripts for a 12-person team, getting new hires to a first merged PR in 2 weeks instead of 5.</t>
  </si>
  <si>
    <t xml:space="preserve">Built full-stack features (React/TypeScript + Java APIs) for a 60-user internal ops dashboard used to monitor settlement exceptions.</t>
  </si>
  <si>
    <t xml:space="preserve">Designed a pipeline normalizing 5 upstream data feeds into one schema, eliminating ~10 hrs/week of manual reconciliation.</t>
  </si>
  <si>
    <t xml:space="preserve">Cut dashboard load time from 8s to 1.5s via query optimization and pagination over 20M-row tables.</t>
  </si>
  <si>
    <t xml:space="preserve">Wrote 140 integration and data-validation tests that stopped 14 bad-data incidents from reaching client-facing reports.</t>
  </si>
  <si>
    <t xml:space="preserve">Prototyped natural-language querying over exception data with an LLM, measured at 87% accuracy on a 300-case eval set.</t>
  </si>
  <si>
    <t xml:space="preserve">Shipped 6 features end-to-end (React, REST, Oracle) for the exceptions dashboard, lifting weekly active use from 55% to 85%.</t>
  </si>
  <si>
    <t xml:space="preserve">Refactored the settlement-status module behind a clean interface, deleting ~2K duplicated lines and halving feature lead time (2 weeks to 1) with zero regressions across 300 tests.</t>
  </si>
  <si>
    <t xml:space="preserve">Introduced OpenAPI contracts across 3 frontend/backend teams and generated typed clients, cutting integration bugs 40%.</t>
  </si>
  <si>
    <t xml:space="preserve">Owned the settlement-exceptions dashboard from design doc to production, using feature flags and monitoring for a zero-downtime rollout to 60 users.</t>
  </si>
  <si>
    <t xml:space="preserve">Wrote an AI-assisted dev playbook for 8 teammates; PR cycle time fell from 3 days to 1.8 with review standards unchanged.</t>
  </si>
  <si>
    <t xml:space="preserve">Built distributed Java services on AWS (ECS, SQS) handling 38M events/day; autoscaling cut compute cost 22%.</t>
  </si>
  <si>
    <t xml:space="preserve">Designed async retry + dead-letter handling that raised job success rate from 96.8% to 99.7%.</t>
  </si>
  <si>
    <t xml:space="preserve">Built Grafana/Splunk alerting that cut mean-time-to-detect from 25 to 6 minutes across 4 distributed services.</t>
  </si>
  <si>
    <t xml:space="preserve">Built an LLM triage assistant that classifies failed jobs and proposes fixes; engineers accepted its suggestion in ~35% of cases during a 4-week pilot.</t>
  </si>
  <si>
    <t xml:space="preserve">Packaged our AWS setup as Terraform modules adopted by 3 teams: environment setup fell from 2 days to 2 hours and config drift disappeared.</t>
  </si>
  <si>
    <t xml:space="preserve">Kept 4 Java/Kafka services at 99.95% availability through 2 peak-volume spikes by pre-scaling consumers and load-testing at 2x.</t>
  </si>
  <si>
    <t xml:space="preserve">Added validation rules that cut erroneous postings 60% with false rejects under 0.5%.</t>
  </si>
  <si>
    <t xml:space="preserve">Raised service availability from 99.5% to 99.95% via circuit breakers, retries, and load testing at 2x peak.</t>
  </si>
  <si>
    <t xml:space="preserve">Automated routine exception handling (retries, re-queues), freeing ~10 engineer-hours/week and cutting exception-resolution time from 20 to 7 minutes.</t>
  </si>
  <si>
    <t xml:space="preserve">Used LLMs to generate test fixtures and summarize incidents, halving postmortem prep (4 hours to 2) with every output hand-reviewed.</t>
  </si>
  <si>
    <t xml:space="preserve">Embedded with ops stakeholders to scope and ship a settlement-exceptions tool adopted by 60 users in 4 weeks.</t>
  </si>
  <si>
    <t xml:space="preserve">Consolidated 5 data sources into one dashboard, replacing a ~10 hr/week manual reporting process.</t>
  </si>
  <si>
    <t xml:space="preserve">Turned a vague ops request into a scoped tool in 1 week by interviewing 6 analysts; shipped an MVP next sprint, now used daily by 60.</t>
  </si>
  <si>
    <t xml:space="preserve">Traced recurring data-mismatch tickets across 3 systems to a timezone bug in one feed; the fix cut related tickets 40%.</t>
  </si>
  <si>
    <t xml:space="preserve">Prototyped an LLM workflow for ticket triage with human-in-loop review, reaching 87% accuracy.</t>
  </si>
  <si>
    <t xml:space="preserve">Built audit logging and role-based access into 6 features in a regulated bank environment; passed internal audit with zero findings on my services.</t>
  </si>
  <si>
    <t xml:space="preserve">Built a Python service that extracts fields from settlement PDFs with an LLM plus rule-based validation, hitting 90% field accuracy on 300 labeled documents.</t>
  </si>
  <si>
    <t xml:space="preserve">Created an LLM evaluation harness (300 labeled cases, regression checks) that blocked 4 quality regressions pre-release.</t>
  </si>
  <si>
    <t xml:space="preserve">Use Claude Code and Copilot daily; tracked my PR cycle time over a quarter (3 days to 1.8) and wrote review guidelines for AI-generated code.</t>
  </si>
  <si>
    <t xml:space="preserve">Turned 12 compliance policy rules into automated pre-merge checks, replacing a manual review that took 3 hours/week.</t>
  </si>
  <si>
    <t xml:space="preserve">Built an internal ops tool used by 60 engineers/analysts, cutting exception-resolution time from 20 to 7 minutes.</t>
  </si>
  <si>
    <t xml:space="preserve">Shipped the exceptions dashboard's 6 core features on weekly releases, reaching 85% weekly adoption in a month; prototyped UI variants with Claude Code in hours.</t>
  </si>
  <si>
    <t xml:space="preserve">Built AI-assisted workflows (codegen, test generation, PR summaries) adopted by 8 teammates, saving ~5 hrs/week each.</t>
  </si>
  <si>
    <t xml:space="preserve">Built a CLI that replays payment events in test environments; 6 engineers on 2 teams use it, cutting bug-repro from 2 hours to 15 minutes.</t>
  </si>
  <si>
    <t xml:space="preserve">Traced a recurring dashboard timeout to an N+1 query; the fix cut error rate from 2% to 0.3% and ended weekly escalations.</t>
  </si>
  <si>
    <t xml:space="preserve">Ship daily with AI coding agents (Claude Code, Copilot); my PR throughput rose ~40% over a quarter while defect escapes stayed flat.</t>
  </si>
  <si>
    <t xml:space="preserve">Built a prompt/eval pipeline testing LLM outputs on 300 labeled cases, catching 4 regressions before release.</t>
  </si>
  <si>
    <t xml:space="preserve">Cut settlement-API p99 from 620ms to 210ms through profiling and query/caching changes.</t>
  </si>
  <si>
    <t xml:space="preserve">Built a CLI that replays payment events in test environments, cutting bug-repro from 2 hours to 15 minutes for 6 engineers.</t>
  </si>
  <si>
    <t xml:space="preserve">Added 140 integration tests and latency/error telemetry to every service I shipped, catching 9 staging regressions; AI drafted the tests, I hand-verified each.</t>
  </si>
  <si>
    <t xml:space="preserve">Built React/TypeScript features for the 60-user exceptions dashboard, reaching 85% weekly adoption within a month.</t>
  </si>
  <si>
    <t xml:space="preserve">Improved UI load time from 8s to 1.5s via query batching, pagination, and lazy loading.</t>
  </si>
  <si>
    <t xml:space="preserve">Found 3 unused views via dashboard analytics, removed them, and lifted weekly active use from 55% to 85%.</t>
  </si>
  <si>
    <t xml:space="preserve">Cut React component and test scaffolding time ~50% with Copilot/Claude Code templates; shared the prompts with 8 teammates.</t>
  </si>
  <si>
    <t xml:space="preserve">Shipped the exceptions workflow in 5 weeks after 3 usability rounds with 8 ops users; task time dropped from 20 to 7 minutes.</t>
  </si>
  <si>
    <t xml:space="preserve">Built Kafka event services at ~440 events/sec (38M/day) with sub-100ms delivery, removing hot partitions via a partition-key redesign.</t>
  </si>
  <si>
    <t xml:space="preserve">Cut posting failure rate from 1.8% to 0.3% via retry logic and better error handling.</t>
  </si>
  <si>
    <t xml:space="preserve">Owned 6 features from design to rollout; 5 hit adoption targets (avg +30% weekly use) and I rolled back the sixth within a day when error metrics spiked.</t>
  </si>
  <si>
    <t xml:space="preserve">Built anomaly checks tuned on 6 months of history that block ~120 duplicate/suspicious postings a month at under 0.5% false positives.</t>
  </si>
  <si>
    <t xml:space="preserve">Built an LLM triage script (87% on 300 labeled tickets) saving ~6 hrs/week; AI coding tools cut my feature cycle time ~30%.</t>
  </si>
  <si>
    <t xml:space="preserve">Built exception-approval workflow features for 60 ops users, automating 70% of manual steps and cutting resolution time from 20 to 7 minutes.</t>
  </si>
  <si>
    <t xml:space="preserve">Integrated 5 upstream systems via REST/Kafka with schema validation, cutting malformed-message failures from 3% to 0.2%.</t>
  </si>
  <si>
    <t xml:space="preserve">Cut exception-resolution time from 20 to 7 minutes by redesigning the workflow and adding alerts.</t>
  </si>
  <si>
    <t xml:space="preserve">Added role-based access and audit trails to 4 services, passing internal compliance review with no rework.</t>
  </si>
  <si>
    <t xml:space="preserve">Prototyped an LLM agent to extract and classify requests, hitting 87% accuracy vs. manual baseline.</t>
  </si>
  <si>
    <t xml:space="preserve">Bullet text</t>
  </si>
  <si>
    <t xml:space="preserve">Concise</t>
  </si>
  <si>
    <t xml:space="preserve">Impact</t>
  </si>
  <si>
    <t xml:space="preserve">Realistic</t>
  </si>
  <si>
    <t xml:space="preserve">AI-Native</t>
  </si>
  <si>
    <t xml:space="preserve">JD Align</t>
  </si>
  <si>
    <t xml:space="preserve">Hook</t>
  </si>
  <si>
    <t xml:space="preserve">Score (/10)</t>
  </si>
  <si>
    <t xml:space="preserve">Self-critique driving this revision</t>
  </si>
  <si>
    <t xml:space="preserve">Owned 4 Java/Spring Boot microservices in JPMC's payment-authorization platform on AWS, serving 38M transactions/day at 99.95% availability.</t>
  </si>
  <si>
    <t xml:space="preserve">Baseline draft with illustrative numbers.</t>
  </si>
  <si>
    <t xml:space="preserve">No standout moment.</t>
  </si>
  <si>
    <t xml:space="preserve">Built CI/CD pipeline with automated integration tests, moving releases from bi-weekly to on-demand and dropping rollback rate from 12% to 3%.</t>
  </si>
  <si>
    <t xml:space="preserve">Built a CI/CD pipeline with automated integration tests, moving releases from bi-weekly to on-demand and cutting rollbacks from 12% to 3%.</t>
  </si>
  <si>
    <t xml:space="preserve">Dull verb; rollback stat buried.</t>
  </si>
  <si>
    <t xml:space="preserve">Tighten.</t>
  </si>
  <si>
    <t xml:space="preserve">Served on on-call rotation; built Grafana/Splunk dashboards and runbooks that cut mean-time-to-detect from 25 to 6 minutes.</t>
  </si>
  <si>
    <t xml:space="preserve">On-call for 4 services: built Grafana/Splunk alerts and runbooks that cut mean-time-to-detect from 25 to 6 minutes and halved repeat pages.</t>
  </si>
  <si>
    <t xml:space="preserve">Tool list, not outcome.</t>
  </si>
  <si>
    <t xml:space="preserve">Used GitHub Copilot and Claude Code for test generation, lifting unit-test coverage on owned services from 52% to 81% in 3 weeks.</t>
  </si>
  <si>
    <t xml:space="preserve">Lead with the outcome; human-review caveat adds credibility.</t>
  </si>
  <si>
    <t xml:space="preserve">Shipped 6 features in JPMC's payment-processing stack handling $1.2B/day with zero Sev-1 incidents after launch.</t>
  </si>
  <si>
    <t xml:space="preserve">Shipped 6 features on a payment platform processing $1.2B/day with zero Sev-1 incidents post-launch, using staged rollouts and feature flags.</t>
  </si>
  <si>
    <t xml:space="preserve">Platform-scale number reads as personal claim.</t>
  </si>
  <si>
    <t xml:space="preserve">Scale claim needs a mechanism to be credible.</t>
  </si>
  <si>
    <t xml:space="preserve">Added reconciliation checks and audit logging that caught 14 ledger mismatches before reaching customers.</t>
  </si>
  <si>
    <t xml:space="preserve">Developed and maintained Java services in a transaction pipeline processing 38M events/day.</t>
  </si>
  <si>
    <t xml:space="preserve">Duty, not achievement.</t>
  </si>
  <si>
    <t xml:space="preserve">Containerized 4 services and automated tests in CI, cutting build-and-deploy time from 45 to 12 minutes.</t>
  </si>
  <si>
    <t xml:space="preserve">Time saved is abstract; convert to team impact.</t>
  </si>
  <si>
    <t xml:space="preserve">Closed 23 security-scan findings (OWASP top-10) ahead of audit deadline, with zero re-opened.</t>
  </si>
  <si>
    <t xml:space="preserve">Remediated 23 OWASP-class scan findings (injection, auth gaps) across 4 services before the audit deadline, with zero re-opens.</t>
  </si>
  <si>
    <t xml:space="preserve">Counts findings but not what kind or scope.</t>
  </si>
  <si>
    <t xml:space="preserve">No prioritization story.</t>
  </si>
  <si>
    <t xml:space="preserve">Partnered with QA and product to deliver a settlement-reporting feature 2 sprints ahead of plan for 40 internal users.</t>
  </si>
  <si>
    <t xml:space="preserve">Delivered a settlement-reporting feature for 40 ops users 2 sprints early by cutting scope with product and automating regression with 60 tests.</t>
  </si>
  <si>
    <t xml:space="preserve">Generic 'partnered' language, no specifics.</t>
  </si>
  <si>
    <t xml:space="preserve">Shipped a settlement-reporting feature for 40 ops users 2 sprints early by cutting scope with product; 60 AI-drafted, hand-reviewed regression tests covered edge cases manual QA missed.</t>
  </si>
  <si>
    <t xml:space="preserve">Still generic; no evidence of quality or how scope was cut.</t>
  </si>
  <si>
    <t xml:space="preserve">Weakest bullet: no concrete technical decision. Swapped for a stronger story from the same fact pool.</t>
  </si>
  <si>
    <t xml:space="preserve">Used AI coding tools to accelerate refactors and docs; new teammates ramped in 2 weeks vs. 5 after my onboarding guide.</t>
  </si>
  <si>
    <t xml:space="preserve">Wrote an onboarding guide and setup scripts that got new hires to a first merged PR in 2 weeks instead of 5.</t>
  </si>
  <si>
    <t xml:space="preserve">Two ideas muddled (AI tools + onboarding); weak causal link.</t>
  </si>
  <si>
    <t xml:space="preserve">Team scope missing.</t>
  </si>
  <si>
    <t xml:space="preserve">Wrote 140 integration and data-validation tests that caught 14 bad-data cases before client-facing reports.</t>
  </si>
  <si>
    <t xml:space="preserve">Detects bugs but not business protection.</t>
  </si>
  <si>
    <t xml:space="preserve">Shipped 6 customer-impacting features end-to-end (React, REST, Oracle) in 2-week cycles at JPMC.</t>
  </si>
  <si>
    <t xml:space="preserve">Shipped 6 features end-to-end (React, REST APIs, Oracle) for the settlement-exceptions dashboard, raising weekly active use from 55% to 85%.</t>
  </si>
  <si>
    <t xml:space="preserve">Activity statement; no outcome.</t>
  </si>
  <si>
    <t xml:space="preserve">Refactored the settlement-status module, removing ~30% duplicated logic and cutting new-feature time by a third.</t>
  </si>
  <si>
    <t xml:space="preserve">Refactored the settlement-status module behind a clean interface, deleting ~2K duplicated lines and cutting new-feature lead time from 2 weeks to 1.</t>
  </si>
  <si>
    <t xml:space="preserve">Fuzzy: what changed, how much, why it matters?</t>
  </si>
  <si>
    <t xml:space="preserve">Refactored the settlement-status module behind a clean interface, deleting ~2K duplicated lines and halving feature lead time (2 weeks to 1).</t>
  </si>
  <si>
    <t xml:space="preserve">Impact phrased vaguely ('a third').</t>
  </si>
  <si>
    <t xml:space="preserve">Add proof the refactor was safe.</t>
  </si>
  <si>
    <t xml:space="preserve">Introduced OpenAPI contracts between 3 frontend and backend teams, reducing integration bugs by 40%.</t>
  </si>
  <si>
    <t xml:space="preserve">Introduced OpenAPI contracts across 3 frontend and backend teams, cutting integration bugs 40% and auto-generating typed clients.</t>
  </si>
  <si>
    <t xml:space="preserve">Missing the mechanism.</t>
  </si>
  <si>
    <t xml:space="preserve">Owned the settlement-exceptions dashboard from design doc to production, using feature flags and monitoring for a zero-downtime rollout.</t>
  </si>
  <si>
    <t xml:space="preserve">Anchor to scale.</t>
  </si>
  <si>
    <t xml:space="preserve">Shared an AI-assisted dev playbook with 8 teammates, reducing PR cycle time from 3 days to 1.8 days.</t>
  </si>
  <si>
    <t xml:space="preserve">Add the quality guardrail.</t>
  </si>
  <si>
    <t xml:space="preserve">Built distributed Java services on AWS (ECS, SQS) handling 38M events/day; autoscaling cut compute costs 22%.</t>
  </si>
  <si>
    <t xml:space="preserve">Built Grafana/Splunk observability and alerting that reduced mean-time-to-detect from 25 to 6 minutes.</t>
  </si>
  <si>
    <t xml:space="preserve">Duplicate framing of (0,3); lacks scope.</t>
  </si>
  <si>
    <t xml:space="preserve">Built an LLM agent that triages failed jobs and resolves ~35% of cases without human escalation.</t>
  </si>
  <si>
    <t xml:space="preserve">Autonomous-resolution claim is hard to defend at 1 YOE.</t>
  </si>
  <si>
    <t xml:space="preserve">Wrote Python tooling and Terraform modules adopted by 3 teams to standardize deployments.</t>
  </si>
  <si>
    <t xml:space="preserve">Wrote Terraform modules and Python deploy scripts adopted by 3 teams, cutting new-environment setup from 2 days to 2 hours.</t>
  </si>
  <si>
    <t xml:space="preserve">'Standardize' is vague; no before/after.</t>
  </si>
  <si>
    <t xml:space="preserve">Packaged our AWS setup as reusable Terraform modules adopted by 3 teams, cutting environment setup from 2 days to 2 hours and eliminating config drift.</t>
  </si>
  <si>
    <t xml:space="preserve">'Adopted by 3 teams' lacks the pain removed.</t>
  </si>
  <si>
    <t xml:space="preserve">Developed backend Java services for payment flows handling $1.2B/day across 38M transactions.</t>
  </si>
  <si>
    <t xml:space="preserve">Own 4 backend services (Java, Kafka) on a platform processing 38M transactions/day; held 99.95% availability while on call.</t>
  </si>
  <si>
    <t xml:space="preserve">$1.2B/day is platform scale, not my contribution: overclaim risk.</t>
  </si>
  <si>
    <t xml:space="preserve">Own 4 Java/Kafka services in a 38M-transactions/day platform, holding 99.95% availability through on-call and 2 peak-volume spikes.</t>
  </si>
  <si>
    <t xml:space="preserve">Duty-style; no hard moment.</t>
  </si>
  <si>
    <t xml:space="preserve">Make the hard moment the headline.</t>
  </si>
  <si>
    <t xml:space="preserve">Added validation rules that cut erroneous postings 60% while holding false-rejects below 0.5%.</t>
  </si>
  <si>
    <t xml:space="preserve">Built internal tooling automating exception handling, saving ~10 engineer-hours per week.</t>
  </si>
  <si>
    <t xml:space="preserve">Automated routine exception handling (retries, re-queues) with a rules-based service, freeing ~10 engineer-hours/week.</t>
  </si>
  <si>
    <t xml:space="preserve">'Internal tooling' is vague: what exactly was automated?</t>
  </si>
  <si>
    <t xml:space="preserve">No outcome beyond hours saved.</t>
  </si>
  <si>
    <t xml:space="preserve">Used LLM tools to generate test fixtures and summarize incidents, halving postmortem prep time.</t>
  </si>
  <si>
    <t xml:space="preserve">Halving claim unspecified; no human-review caveat.</t>
  </si>
  <si>
    <t xml:space="preserve">Translated ambiguous requirements from 3 business teams into scoped deliverables, presented results to VP-level stakeholders.</t>
  </si>
  <si>
    <t xml:space="preserve">No outcome; 'VP-level' is an unverifiable stretch for 1 YOE.</t>
  </si>
  <si>
    <t xml:space="preserve">Debugged cross-system production data issues, cutting recurring incident tickets 40%.</t>
  </si>
  <si>
    <t xml:space="preserve">Result without a cause: no story.</t>
  </si>
  <si>
    <t xml:space="preserve">Shipped 6 production features in a regulated banking environment with audit and compliance requirements built into design.</t>
  </si>
  <si>
    <t xml:space="preserve">Shipped 6 production features in a regulated bank environment, building audit logging and access controls into each design.</t>
  </si>
  <si>
    <t xml:space="preserve">Generic; no concrete evidence of regulated-domain rigor.</t>
  </si>
  <si>
    <t xml:space="preserve">Compliance rigor asserted, not shown.</t>
  </si>
  <si>
    <t xml:space="preserve">Built a document-processing pipeline handling 5K files/month with 90% extraction accuracy and full audit traceability.</t>
  </si>
  <si>
    <t xml:space="preserve">Introduced a fact outside my story (5K files/month): not defensible.</t>
  </si>
  <si>
    <t xml:space="preserve">Use AI coding agents daily, shipping PRs ~40% faster; authored team guidelines for reviewing AI-generated code.</t>
  </si>
  <si>
    <t xml:space="preserve">'~40% faster' is unmeasured-sounding.</t>
  </si>
  <si>
    <t xml:space="preserve">Worked with compliance to turn 12 policy rules into automated checks.</t>
  </si>
  <si>
    <t xml:space="preserve">Replace duty with outcome and automation angle.</t>
  </si>
  <si>
    <t xml:space="preserve">Shipped 6 features end-to-end (TypeScript/React + Java) with weekly releases.</t>
  </si>
  <si>
    <t xml:space="preserve">Shipped 6 features end-to-end on weekly releases, from React UI to Java API, each behind a feature flag with adoption tracked.</t>
  </si>
  <si>
    <t xml:space="preserve">Pure activity statement, zero outcome.</t>
  </si>
  <si>
    <t xml:space="preserve">Activity list; no outcome, no AI-native signal for an AI-first company.</t>
  </si>
  <si>
    <t xml:space="preserve">Documented and internally open-sourced a settlement-testing CLI with 6 adopters across 2 teams.</t>
  </si>
  <si>
    <t xml:space="preserve">Built a CLI that replays payment events in test environments; 6 engineers on 2 teams use it, cutting bug-repro time from ~2 hours to 15 minutes.</t>
  </si>
  <si>
    <t xml:space="preserve">Low impact; no measured benefit.</t>
  </si>
  <si>
    <t xml:space="preserve">Before/after buried.</t>
  </si>
  <si>
    <t xml:space="preserve">Fixed 15 production issues across the stack, improving dashboard error rate from 2% to 0.3%.</t>
  </si>
  <si>
    <t xml:space="preserve">List-of-fixes style; no story to ask about.</t>
  </si>
  <si>
    <t xml:space="preserve">Ship daily with AI coding agents (Claude Code, Copilot) as primary workflow; delivered ~40% more PRs per sprint.</t>
  </si>
  <si>
    <t xml:space="preserve">'~40% more PRs' sounds like vanity; no quality counterweight.</t>
  </si>
  <si>
    <t xml:space="preserve">Built a CLI for replaying payment events in test environments, used by 6 engineers.</t>
  </si>
  <si>
    <t xml:space="preserve">Lead with the result.</t>
  </si>
  <si>
    <t xml:space="preserve">Own quality end-to-end: 140 tests, telemetry, and monitored rollouts for every feature shipped.</t>
  </si>
  <si>
    <t xml:space="preserve">Added 140 integration tests and latency/error telemetry to every service I shipped, catching 9 regressions in staging before production.</t>
  </si>
  <si>
    <t xml:space="preserve">Vague claim, no outcome or evidence.</t>
  </si>
  <si>
    <t xml:space="preserve">Testing bullet with no AI-native angle for Cursor.</t>
  </si>
  <si>
    <t xml:space="preserve">Built React/TypeScript dashboard features for 60 internal users with 85% weekly adoption in the first month.</t>
  </si>
  <si>
    <t xml:space="preserve">Wordy.</t>
  </si>
  <si>
    <t xml:space="preserve">Instrumented usage funnels that informed 3 product decisions and raised task completion 18%.</t>
  </si>
  <si>
    <t xml:space="preserve">Added usage analytics to the exceptions dashboard, found 3 unused views, removed them, and lifted weekly active use from 55% to 85%.</t>
  </si>
  <si>
    <t xml:space="preserve">Product-impact claim (+18%) hard to defend for an engineer.</t>
  </si>
  <si>
    <t xml:space="preserve">Lead with the finding.</t>
  </si>
  <si>
    <t xml:space="preserve">Used AI assistants for scaffolding and test generation; shared prompt patterns with 8 teammates.</t>
  </si>
  <si>
    <t xml:space="preserve">Cut component-and-test scaffolding time ~50% with Copilot/Claude Code templates, then shared the prompt patterns with 8 teammates.</t>
  </si>
  <si>
    <t xml:space="preserve">No measurable result for the AI claim.</t>
  </si>
  <si>
    <t xml:space="preserve">Partnered with design and PM to ship the exceptions workflow from spec to launch in 5 weeks.</t>
  </si>
  <si>
    <t xml:space="preserve">Shipped the exceptions workflow in 5 weeks, running 3 usability rounds with 8 ops users alongside design and PM.</t>
  </si>
  <si>
    <t xml:space="preserve">Collaboration claim without evidence.</t>
  </si>
  <si>
    <t xml:space="preserve">No user outcome.</t>
  </si>
  <si>
    <t xml:space="preserve">Built Kafka-based event services handling ~440 events/sec (38M/day) with sub-100ms delivery.</t>
  </si>
  <si>
    <t xml:space="preserve">Throughput stated without the engineering decision.</t>
  </si>
  <si>
    <t xml:space="preserve">Shipped 6 features end-to-end in 2-week sprints, owning design, rollout, and post-launch metrics.</t>
  </si>
  <si>
    <t xml:space="preserve">Owned 6 features from design doc to rollout and tracked post-launch metrics; 5 of 6 hit their adoption targets.</t>
  </si>
  <si>
    <t xml:space="preserve">Boilerplate; same as 100 other resumes.</t>
  </si>
  <si>
    <t xml:space="preserve">Owned 6 features from design doc to rollout; 5 of 6 hit adoption targets, and I rolled back the sixth within a day after metrics showed errors.</t>
  </si>
  <si>
    <t xml:space="preserve">Boilerplate; nothing to ask about.</t>
  </si>
  <si>
    <t xml:space="preserve">Give the rollback story a number.</t>
  </si>
  <si>
    <t xml:space="preserve">Added anomaly checks blocking ~120 suspicious/duplicate postings per month.</t>
  </si>
  <si>
    <t xml:space="preserve">Added anomaly checks that block ~120 duplicate or suspicious postings per month at under 0.5% false positives.</t>
  </si>
  <si>
    <t xml:space="preserve">No accuracy guardrail.</t>
  </si>
  <si>
    <t xml:space="preserve">Show how the threshold was tuned (credibility).</t>
  </si>
  <si>
    <t xml:space="preserve">Used AI coding tools to cut feature cycle time ~30%, and an LLM script for ticket triage saving 6 hrs/week.</t>
  </si>
  <si>
    <t xml:space="preserve">Two claims crammed; AI claim buried.</t>
  </si>
  <si>
    <t xml:space="preserve">Built exception-approval workflow features used by 60 ops users, automating 70% of manual steps.</t>
  </si>
  <si>
    <t xml:space="preserve">Missing the resolution-time payoff.</t>
  </si>
  <si>
    <t xml:space="preserve">Integrated 5 upstream systems via REST/Kafka with schema validation and error handling.</t>
  </si>
  <si>
    <t xml:space="preserve">Integration count without a quality result.</t>
  </si>
  <si>
    <t xml:space="preserve">Added role-based access and audit trails across 4 services to meet internal compliance requirements.</t>
  </si>
  <si>
    <t xml:space="preserve">Add the outcome.</t>
  </si>
  <si>
    <t xml:space="preserve">After R0</t>
  </si>
  <si>
    <t xml:space="preserve">After R1</t>
  </si>
  <si>
    <t xml:space="preserve">After R2</t>
  </si>
  <si>
    <t xml:space="preserve">After R3</t>
  </si>
  <si>
    <t xml:space="preserve">Fact used across all bullets</t>
  </si>
  <si>
    <t xml:space="preserve">Illustrative value (placeholder I chose)</t>
  </si>
  <si>
    <t xml:space="preserve">YOUR REAL VALUE (fill in)</t>
  </si>
  <si>
    <t xml:space="preserve">Used in</t>
  </si>
  <si>
    <t xml:space="preserve">Platform &amp; stack</t>
  </si>
  <si>
    <t xml:space="preserve">Payment authorization/settlement; Java 17, Spring Boot, Kafka, Oracle, AWS (ECS, SQS)</t>
  </si>
  <si>
    <t xml:space="preserve">All</t>
  </si>
  <si>
    <t xml:space="preserve">Daily volume (your platform)</t>
  </si>
  <si>
    <t xml:space="preserve">38M transactions/day</t>
  </si>
  <si>
    <t xml:space="preserve">Amazon, Mastercard, Affirm, Rescale, Whatnot</t>
  </si>
  <si>
    <t xml:space="preserve">Dollar volume (platform-wide)</t>
  </si>
  <si>
    <t xml:space="preserve">$1.2B/day (platform, NOT personal)</t>
  </si>
  <si>
    <t xml:space="preserve">Amazon Payments, Affirm</t>
  </si>
  <si>
    <t xml:space="preserve">Services you own</t>
  </si>
  <si>
    <t xml:space="preserve">4 backend services</t>
  </si>
  <si>
    <t xml:space="preserve">Amazon, Mastercard, Affirm</t>
  </si>
  <si>
    <t xml:space="preserve">Availability</t>
  </si>
  <si>
    <t xml:space="preserve">99.95%</t>
  </si>
  <si>
    <t xml:space="preserve">Settlement-status API p99</t>
  </si>
  <si>
    <t xml:space="preserve">620ms -&gt; 210ms (Redis cache + 3 Oracle queries)</t>
  </si>
  <si>
    <t xml:space="preserve">Amazon Twitch, Cursor</t>
  </si>
  <si>
    <t xml:space="preserve">Release process</t>
  </si>
  <si>
    <t xml:space="preserve">Bi-weekly -&gt; on-demand; rollbacks 12% -&gt; 3%</t>
  </si>
  <si>
    <t xml:space="preserve">Amazon Twitch</t>
  </si>
  <si>
    <t xml:space="preserve">Mean-time-to-detect</t>
  </si>
  <si>
    <t xml:space="preserve">25 -&gt; 6 minutes</t>
  </si>
  <si>
    <t xml:space="preserve">Amazon Twitch, Rescale</t>
  </si>
  <si>
    <t xml:space="preserve">Unit-test coverage</t>
  </si>
  <si>
    <t xml:space="preserve">52% -&gt; 81% in 3 weeks (AI-assisted, hand-reviewed)</t>
  </si>
  <si>
    <t xml:space="preserve">Idempotency fix</t>
  </si>
  <si>
    <t xml:space="preserve">~120 duplicate transactions/month eliminated</t>
  </si>
  <si>
    <t xml:space="preserve">Amazon Payments, Whatnot</t>
  </si>
  <si>
    <t xml:space="preserve">Batch -&gt; Kafka migration</t>
  </si>
  <si>
    <t xml:space="preserve">9 nightly jobs; settlement time 4h -&gt; 25 min</t>
  </si>
  <si>
    <t xml:space="preserve">Amazon Payments</t>
  </si>
  <si>
    <t xml:space="preserve">Reconciliation checks</t>
  </si>
  <si>
    <t xml:space="preserve">14 ledger mismatches caught</t>
  </si>
  <si>
    <t xml:space="preserve">Amazon Payments, Addepar</t>
  </si>
  <si>
    <t xml:space="preserve">LLM ticket-triage prototype</t>
  </si>
  <si>
    <t xml:space="preserve">87% accuracy on 300 labeled tickets; saves ~6 hrs/week</t>
  </si>
  <si>
    <t xml:space="preserve">Amazon Payments, Addepar, Palantir, Harvey, Cursor, Whatnot, Zip</t>
  </si>
  <si>
    <t xml:space="preserve">Exceptions dashboard</t>
  </si>
  <si>
    <t xml:space="preserve">React/TS + Java, 60 users, 55% -&gt; 85% weekly use, load 8s -&gt; 1.5s, resolution 20 -&gt; 7 min</t>
  </si>
  <si>
    <t xml:space="preserve">Addepar, Palantir, Replit, Notion, Zip</t>
  </si>
  <si>
    <t xml:space="preserve">Security remediation</t>
  </si>
  <si>
    <t xml:space="preserve">23 OWASP-class findings, 4 services, 5 critical fixed in 48h</t>
  </si>
  <si>
    <t xml:space="preserve">Container/CI work</t>
  </si>
  <si>
    <t xml:space="preserve">Build+deploy 45 -&gt; 12 min; ~15 eng-hrs/month saved</t>
  </si>
  <si>
    <t xml:space="preserve">Onboarding guide</t>
  </si>
  <si>
    <t xml:space="preserve">12-person team; first PR in 2 weeks vs. 5</t>
  </si>
  <si>
    <t xml:space="preserve">AI dev playbook</t>
  </si>
  <si>
    <t xml:space="preserve">8 teammates; PR cycle 3 days -&gt; 1.8</t>
  </si>
  <si>
    <t xml:space="preserve">Addepar, Harvey, Cursor, Replit, Notion</t>
  </si>
  <si>
    <t xml:space="preserve">Terraform modules</t>
  </si>
  <si>
    <t xml:space="preserve">3 teams; env setup 2 days -&gt; 2 hours</t>
  </si>
  <si>
    <t xml:space="preserve">Compliance automation</t>
  </si>
  <si>
    <t xml:space="preserve">12 policy rules -&gt; pre-merge checks; saves 3 hrs/week</t>
  </si>
  <si>
    <t xml:space="preserve">Other (see bullets)</t>
  </si>
  <si>
    <t xml:space="preserve">OpenAPI contracts, CLI replay tool, anomaly checks, N+1 fix, timezone bug</t>
  </si>
  <si>
    <t xml:space="preserve">Various</t>
  </si>
  <si>
    <t xml:space="preserve">WARNING: every number in this workbook is an ILLUSTRATIVE placeholder I invented so you could see what strong bullets look like. I do not know your real results. Replace each with your true figure before sending anything to an employer; invented metrics on a resume are a fast way to fail a phone screen or a background check. If a fact has no real equivalent, drop or reword that bullet.</t>
  </si>
</sst>
</file>

<file path=xl/styles.xml><?xml version="1.0" encoding="utf-8"?>
<styleSheet xmlns="http://schemas.openxmlformats.org/spreadsheetml/2006/main">
  <numFmts count="4">
    <numFmt numFmtId="164" formatCode="General"/>
    <numFmt numFmtId="165" formatCode="0.00"/>
    <numFmt numFmtId="166" formatCode="0%"/>
    <numFmt numFmtId="167" formatCode="\+0.00;\-0.00;0.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1"/>
      <name val="Arial"/>
      <family val="0"/>
      <charset val="1"/>
    </font>
    <font>
      <sz val="10"/>
      <color rgb="FF0000FF"/>
      <name val="Arial"/>
      <family val="0"/>
      <charset val="1"/>
    </font>
    <font>
      <b val="true"/>
      <sz val="10"/>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7" fontId="5" fillId="0"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jobs/en/jobs/3141336/software-engineer-i" TargetMode="External"/><Relationship Id="rId2" Type="http://schemas.openxmlformats.org/officeDocument/2006/relationships/hyperlink" Target="https://www.amazon.jobs/en/jobs/10502486/software-engineer-i-payments" TargetMode="External"/><Relationship Id="rId3" Type="http://schemas.openxmlformats.org/officeDocument/2006/relationships/hyperlink" Target="https://careers.mastercard.com/us/en/job/R-292618/Software-Engineer-I" TargetMode="External"/><Relationship Id="rId4" Type="http://schemas.openxmlformats.org/officeDocument/2006/relationships/hyperlink" Target="https://job-boards.greenhouse.io/addepar1/jobs/8538666002" TargetMode="External"/><Relationship Id="rId5" Type="http://schemas.openxmlformats.org/officeDocument/2006/relationships/hyperlink" Target="https://job-boards.greenhouse.io/addepar1/jobs/8606946002" TargetMode="External"/><Relationship Id="rId6" Type="http://schemas.openxmlformats.org/officeDocument/2006/relationships/hyperlink" Target="https://jobs.ashbyhq.com/rescale/fdba3410-d255-4879-9a6e-bed488b4a1fc" TargetMode="External"/><Relationship Id="rId7" Type="http://schemas.openxmlformats.org/officeDocument/2006/relationships/hyperlink" Target="https://job-boards.greenhouse.io/affirm/jobs/8008649003" TargetMode="External"/><Relationship Id="rId8" Type="http://schemas.openxmlformats.org/officeDocument/2006/relationships/hyperlink" Target="https://jobs.lever.co/palantir/e500bcf3-19d8-4d3c-b340-4d76e4a55b40" TargetMode="External"/><Relationship Id="rId9" Type="http://schemas.openxmlformats.org/officeDocument/2006/relationships/hyperlink" Target="https://jobs.ashbyhq.com/harvey/4d8dc9ba-eb86-4d88-af7d-65d2fdaf3fdc" TargetMode="External"/><Relationship Id="rId10" Type="http://schemas.openxmlformats.org/officeDocument/2006/relationships/hyperlink" Target="https://jobs.ashbyhq.com/replit/b5e81eae-06f9-4798-8988-2d06ca936dbc" TargetMode="External"/><Relationship Id="rId11" Type="http://schemas.openxmlformats.org/officeDocument/2006/relationships/hyperlink" Target="https://jobs.ashbyhq.com/cursor/d0e5b41d-84ab-4887-bd3a-55589b11dd7b" TargetMode="External"/><Relationship Id="rId12" Type="http://schemas.openxmlformats.org/officeDocument/2006/relationships/hyperlink" Target="https://jobs.ashbyhq.com/notion/e32799d2-8ef8-4803-8189-c72514afa816" TargetMode="External"/><Relationship Id="rId13" Type="http://schemas.openxmlformats.org/officeDocument/2006/relationships/hyperlink" Target="https://jobs.ashbyhq.com/whatnot/29bad846-de60-4be7-a222-69b97e044930" TargetMode="External"/><Relationship Id="rId14" Type="http://schemas.openxmlformats.org/officeDocument/2006/relationships/hyperlink" Target="https://jobs.ashbyhq.com/zip/df6eb1ee-b360-46fe-b23f-658626ec59ea/application" TargetMode="External"/><Relationship Id="rId15" Type="http://schemas.openxmlformats.org/officeDocument/2006/relationships/hyperlink" Target="https://jobs.ashbyhq.com/plaid/5c5d4414-347c-4caa-be88-384dec2d074b" TargetMode="External"/><Relationship Id="rId16" Type="http://schemas.openxmlformats.org/officeDocument/2006/relationships/hyperlink" Target="https://jobs.ashbyhq.com/traba/e1761ab2-21f1-46d6-8c69-9b4a73d9430f" TargetMode="External"/><Relationship Id="rId17" Type="http://schemas.openxmlformats.org/officeDocument/2006/relationships/hyperlink" Target="https://jobs.ashbyhq.com/serval/2bfaede4-22b2-43b2-a14c-f45e5f398624" TargetMode="External"/><Relationship Id="rId18" Type="http://schemas.openxmlformats.org/officeDocument/2006/relationships/hyperlink" Target="https://jobs.ashbyhq.com/liveflow/e1ba2bad-030a-4bc2-9bbd-f1375f712a57" TargetMode="External"/><Relationship Id="rId19" Type="http://schemas.openxmlformats.org/officeDocument/2006/relationships/hyperlink" Target="https://jobs.ashbyhq.com/hilberts/989d547f-1f23-43b9-b8e8-c8771d7d4286" TargetMode="External"/><Relationship Id="rId20" Type="http://schemas.openxmlformats.org/officeDocument/2006/relationships/hyperlink" Target="https://jobs.ashbyhq.com/The-Flex/82eafc9b-c4c0-4310-8b9d-9f5410ff0d53" TargetMode="External"/><Relationship Id="rId21" Type="http://schemas.openxmlformats.org/officeDocument/2006/relationships/hyperlink" Target="https://jobs.ashbyhq.com/pivotal-health/74f89bd9-30ca-4cf9-ab50-e0f1d2af2431" TargetMode="External"/><Relationship Id="rId22" Type="http://schemas.openxmlformats.org/officeDocument/2006/relationships/hyperlink" Target="https://jobs.ashbyhq.com/applied/981054d6-d6d9-4553-9db8-38e56939d3b8" TargetMode="External"/><Relationship Id="rId23" Type="http://schemas.openxmlformats.org/officeDocument/2006/relationships/hyperlink" Target="https://jobs.ashbyhq.com/perplexity/3c656963-876a-458d-bca6-916a42a24c1a" TargetMode="External"/><Relationship Id="rId24" Type="http://schemas.openxmlformats.org/officeDocument/2006/relationships/hyperlink" Target="https://job-boards.greenhouse.io/smartsheet/jobs/8097667" TargetMode="External"/><Relationship Id="rId25" Type="http://schemas.openxmlformats.org/officeDocument/2006/relationships/hyperlink" Target="https://job-boards.greenhouse.io/conga/jobs/5116390007" TargetMode="External"/><Relationship Id="rId26" Type="http://schemas.openxmlformats.org/officeDocument/2006/relationships/hyperlink" Target="https://job-boards.greenhouse.io/zipcolimited/jobs/4564108006" TargetMode="External"/><Relationship Id="rId27" Type="http://schemas.openxmlformats.org/officeDocument/2006/relationships/hyperlink" Target="https://job-boards.greenhouse.io/roo/jobs/5373552008" TargetMode="External"/><Relationship Id="rId28" Type="http://schemas.openxmlformats.org/officeDocument/2006/relationships/hyperlink" Target="https://job-boards.greenhouse.io/clear/jobs/8241829" TargetMode="External"/><Relationship Id="rId29" Type="http://schemas.openxmlformats.org/officeDocument/2006/relationships/hyperlink" Target="https://job-boards.greenhouse.io/semgrep/jobs/4969529007" TargetMode="External"/><Relationship Id="rId30" Type="http://schemas.openxmlformats.org/officeDocument/2006/relationships/hyperlink" Target="https://job-boards.greenhouse.io/aquaticcapitalmanagement/jobs/8489226002" TargetMode="External"/><Relationship Id="rId31" Type="http://schemas.openxmlformats.org/officeDocument/2006/relationships/hyperlink" Target="https://job-boards.greenhouse.io/idme/jobs/8011089003" TargetMode="External"/><Relationship Id="rId32" Type="http://schemas.openxmlformats.org/officeDocument/2006/relationships/hyperlink" Target="https://job-boards.greenhouse.io/andurilindustries/jobs/4802146007" TargetMode="External"/><Relationship Id="rId33" Type="http://schemas.openxmlformats.org/officeDocument/2006/relationships/hyperlink" Target="https://job-boards.greenhouse.io/kodiak/jobs/4028715009" TargetMode="External"/><Relationship Id="rId34" Type="http://schemas.openxmlformats.org/officeDocument/2006/relationships/hyperlink" Target="https://job-boards.greenhouse.io/wonderschool/jobs/6359139003" TargetMode="External"/><Relationship Id="rId35" Type="http://schemas.openxmlformats.org/officeDocument/2006/relationships/hyperlink" Target="https://job-boards.greenhouse.io/asm/jobs/4876722101" TargetMode="External"/><Relationship Id="rId36" Type="http://schemas.openxmlformats.org/officeDocument/2006/relationships/hyperlink" Target="https://job-boards.greenhouse.io/sirenopt/jobs/4452002009" TargetMode="External"/><Relationship Id="rId37" Type="http://schemas.openxmlformats.org/officeDocument/2006/relationships/hyperlink" Target="https://jobs.lever.co/lendbuzz/93c0a50a-f9a6-40a1-a97f-b39d8f1b6656" TargetMode="External"/><Relationship Id="rId38" Type="http://schemas.openxmlformats.org/officeDocument/2006/relationships/hyperlink" Target="https://jobs.lever.co/peakgames/cfaf2251-1472-4e73-b0a3-e3e88df7aa91" TargetMode="External"/><Relationship Id="rId39" Type="http://schemas.openxmlformats.org/officeDocument/2006/relationships/hyperlink" Target="https://jobs.lever.co/hive/9461e715-9e58-4414-bc9b-13e449f92b08" TargetMode="External"/><Relationship Id="rId40" Type="http://schemas.openxmlformats.org/officeDocument/2006/relationships/hyperlink" Target="https://jobs.lever.co/thinkahead/a060eb0f-efc2-4b36-8363-049c657df49c" TargetMode="External"/><Relationship Id="rId41" Type="http://schemas.openxmlformats.org/officeDocument/2006/relationships/hyperlink" Target="https://jobs.lever.co/pattern/62a5df2a-4387-416b-a6e2-639579c9b7ad" TargetMode="External"/><Relationship Id="rId42" Type="http://schemas.openxmlformats.org/officeDocument/2006/relationships/hyperlink" Target="https://jobs.lever.co/ifm-us/1454349c-eb2b-480b-9a57-edfbb2aeeffe" TargetMode="External"/><Relationship Id="rId43" Type="http://schemas.openxmlformats.org/officeDocument/2006/relationships/hyperlink" Target="https://www.amazon.jobs/en/jobs/10573768/software-engineer-i" TargetMode="External"/><Relationship Id="rId44" Type="http://schemas.openxmlformats.org/officeDocument/2006/relationships/hyperlink" Target="https://www.amazon.jobs/en/jobs/10468973/software-engineer-i-discovery" TargetMode="External"/><Relationship Id="rId45" Type="http://schemas.openxmlformats.org/officeDocument/2006/relationships/hyperlink" Target="https://www.amazon.jobs/en/jobs/3154041/software-engineer-i-builder" TargetMode="External"/><Relationship Id="rId46" Type="http://schemas.openxmlformats.org/officeDocument/2006/relationships/hyperlink" Target="https://www.amazon.jobs/en/jobs/10432823/software-development-engineer-i-finops-fp-a" TargetMode="External"/><Relationship Id="rId47" Type="http://schemas.openxmlformats.org/officeDocument/2006/relationships/hyperlink" Target="https://www.amazon.jobs/en/jobs/10580014/software-development-engineer-i" TargetMode="External"/><Relationship Id="rId48" Type="http://schemas.openxmlformats.org/officeDocument/2006/relationships/hyperlink" Target="https://www.amazon.jobs/en/jobs/10406482/software-dev-engineer-i" TargetMode="External"/><Relationship Id="rId49" Type="http://schemas.openxmlformats.org/officeDocument/2006/relationships/hyperlink" Target="https://www.amazon.jobs/en/jobs/10529830/software-development-engineer-early-career" TargetMode="External"/><Relationship Id="rId50" Type="http://schemas.openxmlformats.org/officeDocument/2006/relationships/hyperlink" Target="https://www.google.com/about/careers/applications/jobs/results/133251589958705862-software-engineer-ii" TargetMode="External"/><Relationship Id="rId51" Type="http://schemas.openxmlformats.org/officeDocument/2006/relationships/hyperlink" Target="https://www.google.com/about/careers/applications/jobs/results/78230576405848774-software-engineer-ii/" TargetMode="External"/><Relationship Id="rId52" Type="http://schemas.openxmlformats.org/officeDocument/2006/relationships/hyperlink" Target="https://www.google.com/about/careers/applications/jobs/results/138674961899233990-software-engineer-ii-corp-eng" TargetMode="External"/><Relationship Id="rId53" Type="http://schemas.openxmlformats.org/officeDocument/2006/relationships/hyperlink" Target="https://www.google.com/about/careers/applications/jobs/results/106165773843473094-software-engineer-ii/" TargetMode="External"/><Relationship Id="rId54" Type="http://schemas.openxmlformats.org/officeDocument/2006/relationships/hyperlink" Target="https://www.google.com/about/careers/applications/jobs/results/92367747647709894-software-engineer-ii/" TargetMode="External"/><Relationship Id="rId55" Type="http://schemas.openxmlformats.org/officeDocument/2006/relationships/hyperlink" Target="https://careers.google.com/jobs/results/106279833142469318-software-engineer-ii/" TargetMode="External"/><Relationship Id="rId56" Type="http://schemas.openxmlformats.org/officeDocument/2006/relationships/hyperlink" Target="https://www.google.com/about/careers/applications/jobs/results/77784007952999110-software-engineer-ii/"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44"/>
    <col collapsed="false" customWidth="true" hidden="false" outlineLevel="0" max="4" min="4" style="0" width="105"/>
    <col collapsed="false" customWidth="true" hidden="false" outlineLevel="0" max="6" min="5" style="0" width="11"/>
    <col collapsed="false" customWidth="true" hidden="false" outlineLevel="0" max="7" min="7" style="0" width="42"/>
    <col collapsed="false" customWidth="true" hidden="false" outlineLevel="0" max="8" min="8" style="0" width="24"/>
  </cols>
  <sheetData>
    <row r="1" customFormat="false" ht="31.5" hidden="false" customHeight="true" outlineLevel="0" collapsed="false">
      <c r="A1" s="1" t="s">
        <v>0</v>
      </c>
      <c r="B1" s="1" t="s">
        <v>1</v>
      </c>
      <c r="C1" s="1" t="s">
        <v>2</v>
      </c>
      <c r="D1" s="1" t="s">
        <v>3</v>
      </c>
      <c r="E1" s="1" t="s">
        <v>4</v>
      </c>
      <c r="F1" s="1" t="s">
        <v>5</v>
      </c>
      <c r="G1" s="1" t="s">
        <v>6</v>
      </c>
      <c r="H1" s="1" t="s">
        <v>7</v>
      </c>
    </row>
    <row r="2" customFormat="false" ht="189.75" hidden="false" customHeight="true" outlineLevel="0" collapsed="false">
      <c r="A2" s="2" t="s">
        <v>8</v>
      </c>
      <c r="B2" s="2" t="s">
        <v>9</v>
      </c>
      <c r="C2" s="3" t="s">
        <v>10</v>
      </c>
      <c r="D2" s="2" t="s">
        <v>11</v>
      </c>
      <c r="E2" s="4" t="n">
        <f aca="false">AVERAGEIFS('Validation (Final)'!$L$2:$L$281,'Validation (Final)'!$A$2:$A$281,A2,'Validation (Final)'!$B$2:$B$281,B2)</f>
        <v>7.6</v>
      </c>
      <c r="F2" s="4" t="n">
        <f aca="false">AVERAGEIFS('Validation (Final)'!$M$2:$M$281,'Validation (Final)'!$A$2:$A$281,A2,'Validation (Final)'!$B$2:$B$281,B2)</f>
        <v>7.37</v>
      </c>
      <c r="G2" s="2" t="s">
        <v>12</v>
      </c>
      <c r="H2" s="2" t="s">
        <v>13</v>
      </c>
    </row>
    <row r="3" customFormat="false" ht="189.75" hidden="false" customHeight="true" outlineLevel="0" collapsed="false">
      <c r="A3" s="2" t="s">
        <v>14</v>
      </c>
      <c r="B3" s="2" t="s">
        <v>15</v>
      </c>
      <c r="C3" s="3" t="s">
        <v>16</v>
      </c>
      <c r="D3" s="2" t="s">
        <v>17</v>
      </c>
      <c r="E3" s="4" t="n">
        <f aca="false">AVERAGEIFS('Validation (Final)'!$L$2:$L$281,'Validation (Final)'!$A$2:$A$281,A3,'Validation (Final)'!$B$2:$B$281,B3)</f>
        <v>7.77</v>
      </c>
      <c r="F3" s="4" t="n">
        <f aca="false">AVERAGEIFS('Validation (Final)'!$M$2:$M$281,'Validation (Final)'!$A$2:$A$281,A3,'Validation (Final)'!$B$2:$B$281,B3)</f>
        <v>7.43</v>
      </c>
      <c r="G3" s="2" t="s">
        <v>18</v>
      </c>
      <c r="H3" s="2" t="s">
        <v>13</v>
      </c>
    </row>
    <row r="4" customFormat="false" ht="189.75" hidden="false" customHeight="true" outlineLevel="0" collapsed="false">
      <c r="A4" s="2" t="s">
        <v>19</v>
      </c>
      <c r="B4" s="2" t="s">
        <v>20</v>
      </c>
      <c r="C4" s="3" t="s">
        <v>21</v>
      </c>
      <c r="D4" s="2" t="s">
        <v>22</v>
      </c>
      <c r="E4" s="4" t="n">
        <f aca="false">AVERAGEIFS('Validation (Final)'!$L$2:$L$281,'Validation (Final)'!$A$2:$A$281,A4,'Validation (Final)'!$B$2:$B$281,B4)</f>
        <v>7.37</v>
      </c>
      <c r="F4" s="4" t="n">
        <f aca="false">AVERAGEIFS('Validation (Final)'!$M$2:$M$281,'Validation (Final)'!$A$2:$A$281,A4,'Validation (Final)'!$B$2:$B$281,B4)</f>
        <v>6.53</v>
      </c>
      <c r="G4" s="2" t="s">
        <v>23</v>
      </c>
      <c r="H4" s="2" t="s">
        <v>13</v>
      </c>
    </row>
    <row r="5" customFormat="false" ht="189.75" hidden="false" customHeight="true" outlineLevel="0" collapsed="false">
      <c r="A5" s="2" t="s">
        <v>24</v>
      </c>
      <c r="B5" s="2" t="s">
        <v>25</v>
      </c>
      <c r="C5" s="3" t="s">
        <v>26</v>
      </c>
      <c r="D5" s="2" t="s">
        <v>27</v>
      </c>
      <c r="E5" s="4" t="n">
        <f aca="false">AVERAGEIFS('Validation (Final)'!$L$2:$L$281,'Validation (Final)'!$A$2:$A$281,A5,'Validation (Final)'!$B$2:$B$281,B5)</f>
        <v>7.74</v>
      </c>
      <c r="F5" s="4" t="n">
        <f aca="false">AVERAGEIFS('Validation (Final)'!$M$2:$M$281,'Validation (Final)'!$A$2:$A$281,A5,'Validation (Final)'!$B$2:$B$281,B5)</f>
        <v>7.7</v>
      </c>
      <c r="G5" s="2" t="s">
        <v>28</v>
      </c>
      <c r="H5" s="2" t="s">
        <v>13</v>
      </c>
    </row>
    <row r="6" customFormat="false" ht="189.75" hidden="false" customHeight="true" outlineLevel="0" collapsed="false">
      <c r="A6" s="2" t="s">
        <v>24</v>
      </c>
      <c r="B6" s="2" t="s">
        <v>29</v>
      </c>
      <c r="C6" s="3" t="s">
        <v>30</v>
      </c>
      <c r="D6" s="2" t="s">
        <v>31</v>
      </c>
      <c r="E6" s="4" t="n">
        <f aca="false">AVERAGEIFS('Validation (Final)'!$L$2:$L$281,'Validation (Final)'!$A$2:$A$281,A6,'Validation (Final)'!$B$2:$B$281,B6)</f>
        <v>7.44</v>
      </c>
      <c r="F6" s="4" t="n">
        <f aca="false">AVERAGEIFS('Validation (Final)'!$M$2:$M$281,'Validation (Final)'!$A$2:$A$281,A6,'Validation (Final)'!$B$2:$B$281,B6)</f>
        <v>6.8</v>
      </c>
      <c r="G6" s="2" t="s">
        <v>32</v>
      </c>
      <c r="H6" s="2" t="s">
        <v>13</v>
      </c>
    </row>
    <row r="7" customFormat="false" ht="189.75" hidden="false" customHeight="true" outlineLevel="0" collapsed="false">
      <c r="A7" s="2" t="s">
        <v>33</v>
      </c>
      <c r="B7" s="2" t="s">
        <v>34</v>
      </c>
      <c r="C7" s="3" t="s">
        <v>35</v>
      </c>
      <c r="D7" s="2" t="s">
        <v>36</v>
      </c>
      <c r="E7" s="4" t="n">
        <f aca="false">AVERAGEIFS('Validation (Final)'!$L$2:$L$281,'Validation (Final)'!$A$2:$A$281,A7,'Validation (Final)'!$B$2:$B$281,B7)</f>
        <v>7.69</v>
      </c>
      <c r="F7" s="4" t="n">
        <f aca="false">AVERAGEIFS('Validation (Final)'!$M$2:$M$281,'Validation (Final)'!$A$2:$A$281,A7,'Validation (Final)'!$B$2:$B$281,B7)</f>
        <v>7.15</v>
      </c>
      <c r="G7" s="2" t="s">
        <v>37</v>
      </c>
      <c r="H7" s="2" t="s">
        <v>13</v>
      </c>
    </row>
    <row r="8" customFormat="false" ht="189.75" hidden="false" customHeight="true" outlineLevel="0" collapsed="false">
      <c r="A8" s="2" t="s">
        <v>38</v>
      </c>
      <c r="B8" s="2" t="s">
        <v>39</v>
      </c>
      <c r="C8" s="3" t="s">
        <v>40</v>
      </c>
      <c r="D8" s="2" t="s">
        <v>41</v>
      </c>
      <c r="E8" s="4" t="n">
        <f aca="false">AVERAGEIFS('Validation (Final)'!$L$2:$L$281,'Validation (Final)'!$A$2:$A$281,A8,'Validation (Final)'!$B$2:$B$281,B8)</f>
        <v>7.59</v>
      </c>
      <c r="F8" s="4" t="n">
        <f aca="false">AVERAGEIFS('Validation (Final)'!$M$2:$M$281,'Validation (Final)'!$A$2:$A$281,A8,'Validation (Final)'!$B$2:$B$281,B8)</f>
        <v>6.85</v>
      </c>
      <c r="G8" s="2" t="s">
        <v>42</v>
      </c>
      <c r="H8" s="2" t="s">
        <v>13</v>
      </c>
    </row>
    <row r="9" customFormat="false" ht="189.75" hidden="false" customHeight="true" outlineLevel="0" collapsed="false">
      <c r="A9" s="2" t="s">
        <v>43</v>
      </c>
      <c r="B9" s="2" t="s">
        <v>44</v>
      </c>
      <c r="C9" s="3" t="s">
        <v>45</v>
      </c>
      <c r="D9" s="2" t="s">
        <v>46</v>
      </c>
      <c r="E9" s="4" t="n">
        <f aca="false">AVERAGEIFS('Validation (Final)'!$L$2:$L$281,'Validation (Final)'!$A$2:$A$281,A9,'Validation (Final)'!$B$2:$B$281,B9)</f>
        <v>7.83</v>
      </c>
      <c r="F9" s="4" t="n">
        <f aca="false">AVERAGEIFS('Validation (Final)'!$M$2:$M$281,'Validation (Final)'!$A$2:$A$281,A9,'Validation (Final)'!$B$2:$B$281,B9)</f>
        <v>7.24</v>
      </c>
      <c r="G9" s="2" t="s">
        <v>47</v>
      </c>
      <c r="H9" s="2" t="s">
        <v>13</v>
      </c>
    </row>
    <row r="10" customFormat="false" ht="189.75" hidden="false" customHeight="true" outlineLevel="0" collapsed="false">
      <c r="A10" s="2" t="s">
        <v>48</v>
      </c>
      <c r="B10" s="2" t="s">
        <v>49</v>
      </c>
      <c r="C10" s="3" t="s">
        <v>50</v>
      </c>
      <c r="D10" s="2" t="s">
        <v>51</v>
      </c>
      <c r="E10" s="4" t="n">
        <f aca="false">AVERAGEIFS('Validation (Final)'!$L$2:$L$281,'Validation (Final)'!$A$2:$A$281,A10,'Validation (Final)'!$B$2:$B$281,B10)</f>
        <v>8.07</v>
      </c>
      <c r="F10" s="4" t="n">
        <f aca="false">AVERAGEIFS('Validation (Final)'!$M$2:$M$281,'Validation (Final)'!$A$2:$A$281,A10,'Validation (Final)'!$B$2:$B$281,B10)</f>
        <v>7.18</v>
      </c>
      <c r="G10" s="2" t="s">
        <v>52</v>
      </c>
      <c r="H10" s="2" t="s">
        <v>13</v>
      </c>
    </row>
    <row r="11" customFormat="false" ht="189.75" hidden="false" customHeight="true" outlineLevel="0" collapsed="false">
      <c r="A11" s="2" t="s">
        <v>53</v>
      </c>
      <c r="B11" s="2" t="s">
        <v>54</v>
      </c>
      <c r="C11" s="3" t="s">
        <v>55</v>
      </c>
      <c r="D11" s="2" t="s">
        <v>56</v>
      </c>
      <c r="E11" s="4" t="n">
        <f aca="false">AVERAGEIFS('Validation (Final)'!$L$2:$L$281,'Validation (Final)'!$A$2:$A$281,A11,'Validation (Final)'!$B$2:$B$281,B11)</f>
        <v>7.74</v>
      </c>
      <c r="F11" s="4" t="n">
        <f aca="false">AVERAGEIFS('Validation (Final)'!$M$2:$M$281,'Validation (Final)'!$A$2:$A$281,A11,'Validation (Final)'!$B$2:$B$281,B11)</f>
        <v>7.09</v>
      </c>
      <c r="G11" s="2" t="s">
        <v>52</v>
      </c>
      <c r="H11" s="2" t="s">
        <v>13</v>
      </c>
    </row>
    <row r="12" customFormat="false" ht="189.75" hidden="false" customHeight="true" outlineLevel="0" collapsed="false">
      <c r="A12" s="2" t="s">
        <v>57</v>
      </c>
      <c r="B12" s="2" t="s">
        <v>58</v>
      </c>
      <c r="C12" s="3" t="s">
        <v>59</v>
      </c>
      <c r="D12" s="2" t="s">
        <v>60</v>
      </c>
      <c r="E12" s="4" t="n">
        <f aca="false">AVERAGEIFS('Validation (Final)'!$L$2:$L$281,'Validation (Final)'!$A$2:$A$281,A12,'Validation (Final)'!$B$2:$B$281,B12)</f>
        <v>8.02</v>
      </c>
      <c r="F12" s="4" t="n">
        <f aca="false">AVERAGEIFS('Validation (Final)'!$M$2:$M$281,'Validation (Final)'!$A$2:$A$281,A12,'Validation (Final)'!$B$2:$B$281,B12)</f>
        <v>7.19</v>
      </c>
      <c r="G12" s="2" t="s">
        <v>61</v>
      </c>
      <c r="H12" s="2" t="s">
        <v>13</v>
      </c>
    </row>
    <row r="13" customFormat="false" ht="189.75" hidden="false" customHeight="true" outlineLevel="0" collapsed="false">
      <c r="A13" s="2" t="s">
        <v>62</v>
      </c>
      <c r="B13" s="2" t="s">
        <v>63</v>
      </c>
      <c r="C13" s="3" t="s">
        <v>64</v>
      </c>
      <c r="D13" s="2" t="s">
        <v>65</v>
      </c>
      <c r="E13" s="4" t="n">
        <f aca="false">AVERAGEIFS('Validation (Final)'!$L$2:$L$281,'Validation (Final)'!$A$2:$A$281,A13,'Validation (Final)'!$B$2:$B$281,B13)</f>
        <v>7.61</v>
      </c>
      <c r="F13" s="4" t="n">
        <f aca="false">AVERAGEIFS('Validation (Final)'!$M$2:$M$281,'Validation (Final)'!$A$2:$A$281,A13,'Validation (Final)'!$B$2:$B$281,B13)</f>
        <v>6.9</v>
      </c>
      <c r="G13" s="2" t="s">
        <v>66</v>
      </c>
      <c r="H13" s="2" t="s">
        <v>13</v>
      </c>
    </row>
    <row r="14" customFormat="false" ht="189.75" hidden="false" customHeight="true" outlineLevel="0" collapsed="false">
      <c r="A14" s="2" t="s">
        <v>67</v>
      </c>
      <c r="B14" s="2" t="s">
        <v>68</v>
      </c>
      <c r="C14" s="3" t="s">
        <v>69</v>
      </c>
      <c r="D14" s="2" t="s">
        <v>70</v>
      </c>
      <c r="E14" s="4" t="n">
        <f aca="false">AVERAGEIFS('Validation (Final)'!$L$2:$L$281,'Validation (Final)'!$A$2:$A$281,A14,'Validation (Final)'!$B$2:$B$281,B14)</f>
        <v>7.65</v>
      </c>
      <c r="F14" s="4" t="n">
        <f aca="false">AVERAGEIFS('Validation (Final)'!$M$2:$M$281,'Validation (Final)'!$A$2:$A$281,A14,'Validation (Final)'!$B$2:$B$281,B14)</f>
        <v>7.15</v>
      </c>
      <c r="G14" s="2" t="s">
        <v>71</v>
      </c>
      <c r="H14" s="2" t="s">
        <v>13</v>
      </c>
    </row>
    <row r="15" customFormat="false" ht="189.75" hidden="false" customHeight="true" outlineLevel="0" collapsed="false">
      <c r="A15" s="2" t="s">
        <v>72</v>
      </c>
      <c r="B15" s="2" t="s">
        <v>73</v>
      </c>
      <c r="C15" s="3" t="s">
        <v>74</v>
      </c>
      <c r="D15" s="2" t="s">
        <v>75</v>
      </c>
      <c r="E15" s="4" t="n">
        <f aca="false">AVERAGEIFS('Validation (Final)'!$L$2:$L$281,'Validation (Final)'!$A$2:$A$281,A15,'Validation (Final)'!$B$2:$B$281,B15)</f>
        <v>7.66</v>
      </c>
      <c r="F15" s="4" t="n">
        <f aca="false">AVERAGEIFS('Validation (Final)'!$M$2:$M$281,'Validation (Final)'!$A$2:$A$281,A15,'Validation (Final)'!$B$2:$B$281,B15)</f>
        <v>7.47</v>
      </c>
      <c r="G15" s="2" t="s">
        <v>76</v>
      </c>
      <c r="H15" s="2" t="s">
        <v>13</v>
      </c>
    </row>
    <row r="16" customFormat="false" ht="189.75" hidden="false" customHeight="true" outlineLevel="0" collapsed="false">
      <c r="A16" s="2" t="s">
        <v>77</v>
      </c>
      <c r="B16" s="2" t="s">
        <v>78</v>
      </c>
      <c r="C16" s="3" t="s">
        <v>79</v>
      </c>
      <c r="D16" s="2" t="s">
        <v>80</v>
      </c>
      <c r="E16" s="4" t="n">
        <f aca="false">AVERAGEIFS('Validation (Final)'!$L$2:$L$281,'Validation (Final)'!$A$2:$A$281,A16,'Validation (Final)'!$B$2:$B$281,B16)</f>
        <v>7.76</v>
      </c>
      <c r="F16" s="4" t="s">
        <v>81</v>
      </c>
      <c r="G16" s="2" t="s">
        <v>82</v>
      </c>
      <c r="H16" s="2" t="s">
        <v>83</v>
      </c>
    </row>
    <row r="17" customFormat="false" ht="189.75" hidden="false" customHeight="true" outlineLevel="0" collapsed="false">
      <c r="A17" s="2" t="s">
        <v>84</v>
      </c>
      <c r="B17" s="2" t="s">
        <v>85</v>
      </c>
      <c r="C17" s="3" t="s">
        <v>86</v>
      </c>
      <c r="D17" s="2" t="s">
        <v>87</v>
      </c>
      <c r="E17" s="4" t="n">
        <f aca="false">AVERAGEIFS('Validation (Final)'!$L$2:$L$281,'Validation (Final)'!$A$2:$A$281,A17,'Validation (Final)'!$B$2:$B$281,B17)</f>
        <v>8.07</v>
      </c>
      <c r="F17" s="4" t="s">
        <v>81</v>
      </c>
      <c r="G17" s="2" t="s">
        <v>88</v>
      </c>
      <c r="H17" s="2" t="s">
        <v>89</v>
      </c>
    </row>
    <row r="18" customFormat="false" ht="189.75" hidden="false" customHeight="true" outlineLevel="0" collapsed="false">
      <c r="A18" s="2" t="s">
        <v>90</v>
      </c>
      <c r="B18" s="2" t="s">
        <v>91</v>
      </c>
      <c r="C18" s="3" t="s">
        <v>92</v>
      </c>
      <c r="D18" s="2" t="s">
        <v>93</v>
      </c>
      <c r="E18" s="4" t="n">
        <f aca="false">AVERAGEIFS('Validation (Final)'!$L$2:$L$281,'Validation (Final)'!$A$2:$A$281,A18,'Validation (Final)'!$B$2:$B$281,B18)</f>
        <v>8.23</v>
      </c>
      <c r="F18" s="4" t="s">
        <v>81</v>
      </c>
      <c r="G18" s="2" t="s">
        <v>94</v>
      </c>
      <c r="H18" s="2" t="s">
        <v>89</v>
      </c>
    </row>
    <row r="19" customFormat="false" ht="189.75" hidden="false" customHeight="true" outlineLevel="0" collapsed="false">
      <c r="A19" s="2" t="s">
        <v>95</v>
      </c>
      <c r="B19" s="2" t="s">
        <v>96</v>
      </c>
      <c r="C19" s="3" t="s">
        <v>97</v>
      </c>
      <c r="D19" s="2" t="s">
        <v>98</v>
      </c>
      <c r="E19" s="4" t="n">
        <f aca="false">AVERAGEIFS('Validation (Final)'!$L$2:$L$281,'Validation (Final)'!$A$2:$A$281,A19,'Validation (Final)'!$B$2:$B$281,B19)</f>
        <v>7.93</v>
      </c>
      <c r="F19" s="4" t="s">
        <v>81</v>
      </c>
      <c r="G19" s="2" t="s">
        <v>99</v>
      </c>
      <c r="H19" s="2" t="s">
        <v>89</v>
      </c>
    </row>
    <row r="20" customFormat="false" ht="189.75" hidden="false" customHeight="true" outlineLevel="0" collapsed="false">
      <c r="A20" s="2" t="s">
        <v>100</v>
      </c>
      <c r="B20" s="2" t="s">
        <v>101</v>
      </c>
      <c r="C20" s="3" t="s">
        <v>102</v>
      </c>
      <c r="D20" s="2" t="s">
        <v>103</v>
      </c>
      <c r="E20" s="4" t="n">
        <f aca="false">AVERAGEIFS('Validation (Final)'!$L$2:$L$281,'Validation (Final)'!$A$2:$A$281,A20,'Validation (Final)'!$B$2:$B$281,B20)</f>
        <v>7.76</v>
      </c>
      <c r="F20" s="4" t="s">
        <v>81</v>
      </c>
      <c r="G20" s="2" t="s">
        <v>104</v>
      </c>
      <c r="H20" s="2" t="s">
        <v>105</v>
      </c>
    </row>
    <row r="21" customFormat="false" ht="189.75" hidden="false" customHeight="true" outlineLevel="0" collapsed="false">
      <c r="A21" s="2" t="s">
        <v>106</v>
      </c>
      <c r="B21" s="2" t="s">
        <v>107</v>
      </c>
      <c r="C21" s="3" t="s">
        <v>108</v>
      </c>
      <c r="D21" s="2" t="s">
        <v>109</v>
      </c>
      <c r="E21" s="4" t="n">
        <f aca="false">AVERAGEIFS('Validation (Final)'!$L$2:$L$281,'Validation (Final)'!$A$2:$A$281,A21,'Validation (Final)'!$B$2:$B$281,B21)</f>
        <v>7.45</v>
      </c>
      <c r="F21" s="4" t="s">
        <v>81</v>
      </c>
      <c r="G21" s="2" t="s">
        <v>110</v>
      </c>
      <c r="H21" s="2" t="s">
        <v>111</v>
      </c>
    </row>
    <row r="22" customFormat="false" ht="189.75" hidden="false" customHeight="true" outlineLevel="0" collapsed="false">
      <c r="A22" s="2" t="s">
        <v>112</v>
      </c>
      <c r="B22" s="2" t="s">
        <v>113</v>
      </c>
      <c r="C22" s="3" t="s">
        <v>114</v>
      </c>
      <c r="D22" s="2" t="s">
        <v>115</v>
      </c>
      <c r="E22" s="4" t="n">
        <f aca="false">AVERAGEIFS('Validation (Final)'!$L$2:$L$281,'Validation (Final)'!$A$2:$A$281,A22,'Validation (Final)'!$B$2:$B$281,B22)</f>
        <v>7.61</v>
      </c>
      <c r="F22" s="4" t="s">
        <v>81</v>
      </c>
      <c r="G22" s="2" t="s">
        <v>116</v>
      </c>
      <c r="H22" s="2" t="s">
        <v>111</v>
      </c>
    </row>
    <row r="23" customFormat="false" ht="189.75" hidden="false" customHeight="true" outlineLevel="0" collapsed="false">
      <c r="A23" s="2" t="s">
        <v>117</v>
      </c>
      <c r="B23" s="2" t="s">
        <v>118</v>
      </c>
      <c r="C23" s="3" t="s">
        <v>119</v>
      </c>
      <c r="D23" s="2" t="s">
        <v>93</v>
      </c>
      <c r="E23" s="4" t="n">
        <f aca="false">AVERAGEIFS('Validation (Final)'!$L$2:$L$281,'Validation (Final)'!$A$2:$A$281,A23,'Validation (Final)'!$B$2:$B$281,B23)</f>
        <v>8.23</v>
      </c>
      <c r="F23" s="4" t="s">
        <v>81</v>
      </c>
      <c r="G23" s="2" t="s">
        <v>120</v>
      </c>
      <c r="H23" s="2" t="s">
        <v>89</v>
      </c>
    </row>
    <row r="24" customFormat="false" ht="189.75" hidden="false" customHeight="true" outlineLevel="0" collapsed="false">
      <c r="A24" s="2" t="s">
        <v>121</v>
      </c>
      <c r="B24" s="2" t="s">
        <v>122</v>
      </c>
      <c r="C24" s="3" t="s">
        <v>123</v>
      </c>
      <c r="D24" s="2" t="s">
        <v>87</v>
      </c>
      <c r="E24" s="4" t="n">
        <f aca="false">AVERAGEIFS('Validation (Final)'!$L$2:$L$281,'Validation (Final)'!$A$2:$A$281,A24,'Validation (Final)'!$B$2:$B$281,B24)</f>
        <v>8.07</v>
      </c>
      <c r="F24" s="4" t="s">
        <v>81</v>
      </c>
      <c r="G24" s="2" t="s">
        <v>124</v>
      </c>
      <c r="H24" s="2" t="s">
        <v>89</v>
      </c>
    </row>
    <row r="25" customFormat="false" ht="189.75" hidden="false" customHeight="true" outlineLevel="0" collapsed="false">
      <c r="A25" s="2" t="s">
        <v>125</v>
      </c>
      <c r="B25" s="2" t="s">
        <v>126</v>
      </c>
      <c r="C25" s="3" t="s">
        <v>127</v>
      </c>
      <c r="D25" s="2" t="s">
        <v>128</v>
      </c>
      <c r="E25" s="4" t="n">
        <f aca="false">AVERAGEIFS('Validation (Final)'!$L$2:$L$281,'Validation (Final)'!$A$2:$A$281,A25,'Validation (Final)'!$B$2:$B$281,B25)</f>
        <v>7.6</v>
      </c>
      <c r="F25" s="4" t="s">
        <v>81</v>
      </c>
      <c r="G25" s="2" t="s">
        <v>129</v>
      </c>
      <c r="H25" s="2" t="s">
        <v>130</v>
      </c>
    </row>
    <row r="26" customFormat="false" ht="189.75" hidden="false" customHeight="true" outlineLevel="0" collapsed="false">
      <c r="A26" s="2" t="s">
        <v>131</v>
      </c>
      <c r="B26" s="2" t="s">
        <v>132</v>
      </c>
      <c r="C26" s="3" t="s">
        <v>133</v>
      </c>
      <c r="D26" s="2" t="s">
        <v>115</v>
      </c>
      <c r="E26" s="4" t="n">
        <f aca="false">AVERAGEIFS('Validation (Final)'!$L$2:$L$281,'Validation (Final)'!$A$2:$A$281,A26,'Validation (Final)'!$B$2:$B$281,B26)</f>
        <v>7.61</v>
      </c>
      <c r="F26" s="4" t="s">
        <v>81</v>
      </c>
      <c r="G26" s="2" t="s">
        <v>134</v>
      </c>
      <c r="H26" s="2" t="s">
        <v>111</v>
      </c>
    </row>
    <row r="27" customFormat="false" ht="189.75" hidden="false" customHeight="true" outlineLevel="0" collapsed="false">
      <c r="A27" s="2" t="s">
        <v>135</v>
      </c>
      <c r="B27" s="2" t="s">
        <v>136</v>
      </c>
      <c r="C27" s="3" t="s">
        <v>137</v>
      </c>
      <c r="D27" s="2" t="s">
        <v>138</v>
      </c>
      <c r="E27" s="4" t="n">
        <f aca="false">AVERAGEIFS('Validation (Final)'!$L$2:$L$281,'Validation (Final)'!$A$2:$A$281,A27,'Validation (Final)'!$B$2:$B$281,B27)</f>
        <v>7.55</v>
      </c>
      <c r="F27" s="4" t="s">
        <v>81</v>
      </c>
      <c r="G27" s="2" t="s">
        <v>139</v>
      </c>
      <c r="H27" s="2" t="s">
        <v>111</v>
      </c>
    </row>
    <row r="28" customFormat="false" ht="189.75" hidden="false" customHeight="true" outlineLevel="0" collapsed="false">
      <c r="A28" s="2" t="s">
        <v>140</v>
      </c>
      <c r="B28" s="2" t="s">
        <v>141</v>
      </c>
      <c r="C28" s="3" t="s">
        <v>142</v>
      </c>
      <c r="D28" s="2" t="s">
        <v>109</v>
      </c>
      <c r="E28" s="4" t="n">
        <f aca="false">AVERAGEIFS('Validation (Final)'!$L$2:$L$281,'Validation (Final)'!$A$2:$A$281,A28,'Validation (Final)'!$B$2:$B$281,B28)</f>
        <v>7.45</v>
      </c>
      <c r="F28" s="4" t="s">
        <v>81</v>
      </c>
      <c r="G28" s="2" t="s">
        <v>143</v>
      </c>
      <c r="H28" s="2" t="s">
        <v>111</v>
      </c>
    </row>
    <row r="29" customFormat="false" ht="189.75" hidden="false" customHeight="true" outlineLevel="0" collapsed="false">
      <c r="A29" s="2" t="s">
        <v>144</v>
      </c>
      <c r="B29" s="2" t="s">
        <v>145</v>
      </c>
      <c r="C29" s="3" t="s">
        <v>146</v>
      </c>
      <c r="D29" s="2" t="s">
        <v>147</v>
      </c>
      <c r="E29" s="4" t="n">
        <f aca="false">AVERAGEIFS('Validation (Final)'!$L$2:$L$281,'Validation (Final)'!$A$2:$A$281,A29,'Validation (Final)'!$B$2:$B$281,B29)</f>
        <v>7.44</v>
      </c>
      <c r="F29" s="4" t="s">
        <v>81</v>
      </c>
      <c r="G29" s="2" t="s">
        <v>148</v>
      </c>
      <c r="H29" s="2" t="s">
        <v>111</v>
      </c>
    </row>
    <row r="30" customFormat="false" ht="189.75" hidden="false" customHeight="true" outlineLevel="0" collapsed="false">
      <c r="A30" s="2" t="s">
        <v>149</v>
      </c>
      <c r="B30" s="2" t="s">
        <v>150</v>
      </c>
      <c r="C30" s="3" t="s">
        <v>151</v>
      </c>
      <c r="D30" s="2" t="s">
        <v>152</v>
      </c>
      <c r="E30" s="4" t="n">
        <f aca="false">AVERAGEIFS('Validation (Final)'!$L$2:$L$281,'Validation (Final)'!$A$2:$A$281,A30,'Validation (Final)'!$B$2:$B$281,B30)</f>
        <v>7.38</v>
      </c>
      <c r="F30" s="4" t="s">
        <v>81</v>
      </c>
      <c r="G30" s="2" t="s">
        <v>153</v>
      </c>
      <c r="H30" s="2" t="s">
        <v>154</v>
      </c>
    </row>
    <row r="31" customFormat="false" ht="189.75" hidden="false" customHeight="true" outlineLevel="0" collapsed="false">
      <c r="A31" s="2" t="s">
        <v>155</v>
      </c>
      <c r="B31" s="2" t="s">
        <v>156</v>
      </c>
      <c r="C31" s="3" t="s">
        <v>157</v>
      </c>
      <c r="D31" s="2" t="s">
        <v>158</v>
      </c>
      <c r="E31" s="4" t="n">
        <f aca="false">AVERAGEIFS('Validation (Final)'!$L$2:$L$281,'Validation (Final)'!$A$2:$A$281,A31,'Validation (Final)'!$B$2:$B$281,B31)</f>
        <v>7.79</v>
      </c>
      <c r="F31" s="4" t="s">
        <v>81</v>
      </c>
      <c r="G31" s="2" t="s">
        <v>159</v>
      </c>
      <c r="H31" s="2" t="s">
        <v>160</v>
      </c>
    </row>
    <row r="32" customFormat="false" ht="189.75" hidden="false" customHeight="true" outlineLevel="0" collapsed="false">
      <c r="A32" s="2" t="s">
        <v>161</v>
      </c>
      <c r="B32" s="2" t="s">
        <v>162</v>
      </c>
      <c r="C32" s="3" t="s">
        <v>163</v>
      </c>
      <c r="D32" s="2" t="s">
        <v>164</v>
      </c>
      <c r="E32" s="4" t="n">
        <f aca="false">AVERAGEIFS('Validation (Final)'!$L$2:$L$281,'Validation (Final)'!$A$2:$A$281,A32,'Validation (Final)'!$B$2:$B$281,B32)</f>
        <v>7.53</v>
      </c>
      <c r="F32" s="4" t="s">
        <v>81</v>
      </c>
      <c r="G32" s="2" t="s">
        <v>165</v>
      </c>
      <c r="H32" s="2" t="s">
        <v>105</v>
      </c>
    </row>
    <row r="33" customFormat="false" ht="189.75" hidden="false" customHeight="true" outlineLevel="0" collapsed="false">
      <c r="A33" s="2" t="s">
        <v>166</v>
      </c>
      <c r="B33" s="2" t="s">
        <v>167</v>
      </c>
      <c r="C33" s="3" t="s">
        <v>168</v>
      </c>
      <c r="D33" s="2" t="s">
        <v>169</v>
      </c>
      <c r="E33" s="4" t="n">
        <f aca="false">AVERAGEIFS('Validation (Final)'!$L$2:$L$281,'Validation (Final)'!$A$2:$A$281,A33,'Validation (Final)'!$B$2:$B$281,B33)</f>
        <v>7.46</v>
      </c>
      <c r="F33" s="4" t="s">
        <v>81</v>
      </c>
      <c r="G33" s="2" t="s">
        <v>170</v>
      </c>
      <c r="H33" s="2" t="s">
        <v>160</v>
      </c>
    </row>
    <row r="34" customFormat="false" ht="189.75" hidden="false" customHeight="true" outlineLevel="0" collapsed="false">
      <c r="A34" s="2" t="s">
        <v>171</v>
      </c>
      <c r="B34" s="2" t="s">
        <v>172</v>
      </c>
      <c r="C34" s="3" t="s">
        <v>173</v>
      </c>
      <c r="D34" s="2" t="s">
        <v>158</v>
      </c>
      <c r="E34" s="4" t="n">
        <f aca="false">AVERAGEIFS('Validation (Final)'!$L$2:$L$281,'Validation (Final)'!$A$2:$A$281,A34,'Validation (Final)'!$B$2:$B$281,B34)</f>
        <v>7.79</v>
      </c>
      <c r="F34" s="4" t="s">
        <v>81</v>
      </c>
      <c r="G34" s="2" t="s">
        <v>174</v>
      </c>
      <c r="H34" s="2" t="s">
        <v>160</v>
      </c>
    </row>
    <row r="35" customFormat="false" ht="189.75" hidden="false" customHeight="true" outlineLevel="0" collapsed="false">
      <c r="A35" s="2" t="s">
        <v>175</v>
      </c>
      <c r="B35" s="2" t="s">
        <v>176</v>
      </c>
      <c r="C35" s="3" t="s">
        <v>177</v>
      </c>
      <c r="D35" s="2" t="s">
        <v>138</v>
      </c>
      <c r="E35" s="4" t="n">
        <f aca="false">AVERAGEIFS('Validation (Final)'!$L$2:$L$281,'Validation (Final)'!$A$2:$A$281,A35,'Validation (Final)'!$B$2:$B$281,B35)</f>
        <v>7.55</v>
      </c>
      <c r="F35" s="4" t="s">
        <v>81</v>
      </c>
      <c r="G35" s="2" t="s">
        <v>178</v>
      </c>
      <c r="H35" s="2" t="s">
        <v>160</v>
      </c>
    </row>
    <row r="36" customFormat="false" ht="189.75" hidden="false" customHeight="true" outlineLevel="0" collapsed="false">
      <c r="A36" s="2" t="s">
        <v>179</v>
      </c>
      <c r="B36" s="2" t="s">
        <v>180</v>
      </c>
      <c r="C36" s="3" t="s">
        <v>181</v>
      </c>
      <c r="D36" s="2" t="s">
        <v>182</v>
      </c>
      <c r="E36" s="4" t="n">
        <f aca="false">AVERAGEIFS('Validation (Final)'!$L$2:$L$281,'Validation (Final)'!$A$2:$A$281,A36,'Validation (Final)'!$B$2:$B$281,B36)</f>
        <v>7.28</v>
      </c>
      <c r="F36" s="4" t="s">
        <v>81</v>
      </c>
      <c r="G36" s="2" t="s">
        <v>183</v>
      </c>
      <c r="H36" s="2" t="s">
        <v>160</v>
      </c>
    </row>
    <row r="37" customFormat="false" ht="189.75" hidden="false" customHeight="true" outlineLevel="0" collapsed="false">
      <c r="A37" s="2" t="s">
        <v>184</v>
      </c>
      <c r="B37" s="2" t="s">
        <v>185</v>
      </c>
      <c r="C37" s="3" t="s">
        <v>186</v>
      </c>
      <c r="D37" s="2" t="s">
        <v>182</v>
      </c>
      <c r="E37" s="4" t="n">
        <f aca="false">AVERAGEIFS('Validation (Final)'!$L$2:$L$281,'Validation (Final)'!$A$2:$A$281,A37,'Validation (Final)'!$B$2:$B$281,B37)</f>
        <v>7.28</v>
      </c>
      <c r="F37" s="4" t="s">
        <v>81</v>
      </c>
      <c r="G37" s="2" t="s">
        <v>187</v>
      </c>
      <c r="H37" s="2" t="s">
        <v>160</v>
      </c>
    </row>
    <row r="38" customFormat="false" ht="189.75" hidden="false" customHeight="true" outlineLevel="0" collapsed="false">
      <c r="A38" s="2" t="s">
        <v>188</v>
      </c>
      <c r="B38" s="2" t="s">
        <v>189</v>
      </c>
      <c r="C38" s="3" t="s">
        <v>190</v>
      </c>
      <c r="D38" s="2" t="s">
        <v>191</v>
      </c>
      <c r="E38" s="4" t="n">
        <f aca="false">AVERAGEIFS('Validation (Final)'!$L$2:$L$281,'Validation (Final)'!$A$2:$A$281,A38,'Validation (Final)'!$B$2:$B$281,B38)</f>
        <v>7.44</v>
      </c>
      <c r="F38" s="4" t="s">
        <v>81</v>
      </c>
      <c r="G38" s="2" t="s">
        <v>192</v>
      </c>
      <c r="H38" s="2" t="s">
        <v>83</v>
      </c>
    </row>
    <row r="39" customFormat="false" ht="189.75" hidden="false" customHeight="true" outlineLevel="0" collapsed="false">
      <c r="A39" s="2" t="s">
        <v>193</v>
      </c>
      <c r="B39" s="2" t="s">
        <v>194</v>
      </c>
      <c r="C39" s="3" t="s">
        <v>195</v>
      </c>
      <c r="D39" s="2" t="s">
        <v>169</v>
      </c>
      <c r="E39" s="4" t="n">
        <f aca="false">AVERAGEIFS('Validation (Final)'!$L$2:$L$281,'Validation (Final)'!$A$2:$A$281,A39,'Validation (Final)'!$B$2:$B$281,B39)</f>
        <v>7.46</v>
      </c>
      <c r="F39" s="4" t="s">
        <v>81</v>
      </c>
      <c r="G39" s="2" t="s">
        <v>196</v>
      </c>
      <c r="H39" s="2" t="s">
        <v>160</v>
      </c>
    </row>
    <row r="40" customFormat="false" ht="189.75" hidden="false" customHeight="true" outlineLevel="0" collapsed="false">
      <c r="A40" s="2" t="s">
        <v>197</v>
      </c>
      <c r="B40" s="2" t="s">
        <v>198</v>
      </c>
      <c r="C40" s="3" t="s">
        <v>199</v>
      </c>
      <c r="D40" s="2" t="s">
        <v>128</v>
      </c>
      <c r="E40" s="4" t="n">
        <f aca="false">AVERAGEIFS('Validation (Final)'!$L$2:$L$281,'Validation (Final)'!$A$2:$A$281,A40,'Validation (Final)'!$B$2:$B$281,B40)</f>
        <v>7.6</v>
      </c>
      <c r="F40" s="4" t="s">
        <v>81</v>
      </c>
      <c r="G40" s="2" t="s">
        <v>200</v>
      </c>
      <c r="H40" s="2" t="s">
        <v>201</v>
      </c>
    </row>
    <row r="41" customFormat="false" ht="189.75" hidden="false" customHeight="true" outlineLevel="0" collapsed="false">
      <c r="A41" s="2" t="s">
        <v>202</v>
      </c>
      <c r="B41" s="2" t="s">
        <v>141</v>
      </c>
      <c r="C41" s="3" t="s">
        <v>203</v>
      </c>
      <c r="D41" s="2" t="s">
        <v>115</v>
      </c>
      <c r="E41" s="4" t="n">
        <f aca="false">AVERAGEIFS('Validation (Final)'!$L$2:$L$281,'Validation (Final)'!$A$2:$A$281,A41,'Validation (Final)'!$B$2:$B$281,B41)</f>
        <v>7.61</v>
      </c>
      <c r="F41" s="4" t="s">
        <v>81</v>
      </c>
      <c r="G41" s="2" t="s">
        <v>204</v>
      </c>
      <c r="H41" s="2" t="s">
        <v>111</v>
      </c>
    </row>
    <row r="42" customFormat="false" ht="189.75" hidden="false" customHeight="true" outlineLevel="0" collapsed="false">
      <c r="A42" s="2" t="s">
        <v>205</v>
      </c>
      <c r="B42" s="2" t="s">
        <v>206</v>
      </c>
      <c r="C42" s="3" t="s">
        <v>207</v>
      </c>
      <c r="D42" s="2" t="s">
        <v>98</v>
      </c>
      <c r="E42" s="4" t="n">
        <f aca="false">AVERAGEIFS('Validation (Final)'!$L$2:$L$281,'Validation (Final)'!$A$2:$A$281,A42,'Validation (Final)'!$B$2:$B$281,B42)</f>
        <v>7.93</v>
      </c>
      <c r="F42" s="4" t="s">
        <v>81</v>
      </c>
      <c r="G42" s="2" t="s">
        <v>208</v>
      </c>
      <c r="H42" s="2" t="s">
        <v>209</v>
      </c>
    </row>
    <row r="43" customFormat="false" ht="189.75" hidden="false" customHeight="true" outlineLevel="0" collapsed="false">
      <c r="A43" s="2" t="s">
        <v>210</v>
      </c>
      <c r="B43" s="2" t="s">
        <v>211</v>
      </c>
      <c r="C43" s="3" t="s">
        <v>212</v>
      </c>
      <c r="D43" s="2" t="s">
        <v>213</v>
      </c>
      <c r="E43" s="4" t="n">
        <f aca="false">AVERAGEIFS('Validation (Final)'!$L$2:$L$281,'Validation (Final)'!$A$2:$A$281,A43,'Validation (Final)'!$B$2:$B$281,B43)</f>
        <v>7.94</v>
      </c>
      <c r="F43" s="4" t="s">
        <v>81</v>
      </c>
      <c r="G43" s="2" t="s">
        <v>214</v>
      </c>
      <c r="H43" s="2" t="s">
        <v>105</v>
      </c>
    </row>
    <row r="44" customFormat="false" ht="189.75" hidden="false" customHeight="true" outlineLevel="0" collapsed="false">
      <c r="A44" s="2" t="s">
        <v>14</v>
      </c>
      <c r="B44" s="2" t="s">
        <v>215</v>
      </c>
      <c r="C44" s="3" t="s">
        <v>216</v>
      </c>
      <c r="D44" s="2" t="s">
        <v>169</v>
      </c>
      <c r="E44" s="4" t="n">
        <f aca="false">AVERAGEIFS('Validation (Final)'!$L$2:$L$281,'Validation (Final)'!$A$2:$A$281,A44,'Validation (Final)'!$B$2:$B$281,B44)</f>
        <v>7.46</v>
      </c>
      <c r="F44" s="4" t="s">
        <v>81</v>
      </c>
      <c r="G44" s="2" t="s">
        <v>217</v>
      </c>
      <c r="H44" s="2" t="s">
        <v>160</v>
      </c>
    </row>
    <row r="45" customFormat="false" ht="189.75" hidden="false" customHeight="true" outlineLevel="0" collapsed="false">
      <c r="A45" s="2" t="s">
        <v>14</v>
      </c>
      <c r="B45" s="2" t="s">
        <v>218</v>
      </c>
      <c r="C45" s="3" t="s">
        <v>219</v>
      </c>
      <c r="D45" s="2" t="s">
        <v>138</v>
      </c>
      <c r="E45" s="4" t="n">
        <f aca="false">AVERAGEIFS('Validation (Final)'!$L$2:$L$281,'Validation (Final)'!$A$2:$A$281,A45,'Validation (Final)'!$B$2:$B$281,B45)</f>
        <v>7.55</v>
      </c>
      <c r="F45" s="4" t="s">
        <v>81</v>
      </c>
      <c r="G45" s="2" t="s">
        <v>220</v>
      </c>
      <c r="H45" s="2" t="s">
        <v>111</v>
      </c>
    </row>
    <row r="46" customFormat="false" ht="189.75" hidden="false" customHeight="true" outlineLevel="0" collapsed="false">
      <c r="A46" s="2" t="s">
        <v>14</v>
      </c>
      <c r="B46" s="2" t="s">
        <v>221</v>
      </c>
      <c r="C46" s="3" t="s">
        <v>222</v>
      </c>
      <c r="D46" s="2" t="s">
        <v>158</v>
      </c>
      <c r="E46" s="4" t="n">
        <f aca="false">AVERAGEIFS('Validation (Final)'!$L$2:$L$281,'Validation (Final)'!$A$2:$A$281,A46,'Validation (Final)'!$B$2:$B$281,B46)</f>
        <v>7.79</v>
      </c>
      <c r="F46" s="4" t="s">
        <v>81</v>
      </c>
      <c r="G46" s="2" t="s">
        <v>220</v>
      </c>
      <c r="H46" s="2" t="s">
        <v>160</v>
      </c>
    </row>
    <row r="47" customFormat="false" ht="189.75" hidden="false" customHeight="true" outlineLevel="0" collapsed="false">
      <c r="A47" s="2" t="s">
        <v>14</v>
      </c>
      <c r="B47" s="2" t="s">
        <v>223</v>
      </c>
      <c r="C47" s="3" t="s">
        <v>224</v>
      </c>
      <c r="D47" s="2" t="s">
        <v>191</v>
      </c>
      <c r="E47" s="4" t="n">
        <f aca="false">AVERAGEIFS('Validation (Final)'!$L$2:$L$281,'Validation (Final)'!$A$2:$A$281,A47,'Validation (Final)'!$B$2:$B$281,B47)</f>
        <v>7.44</v>
      </c>
      <c r="F47" s="4" t="s">
        <v>81</v>
      </c>
      <c r="G47" s="2" t="s">
        <v>225</v>
      </c>
      <c r="H47" s="2" t="s">
        <v>83</v>
      </c>
    </row>
    <row r="48" customFormat="false" ht="189.75" hidden="false" customHeight="true" outlineLevel="0" collapsed="false">
      <c r="A48" s="2" t="s">
        <v>14</v>
      </c>
      <c r="B48" s="2" t="s">
        <v>145</v>
      </c>
      <c r="C48" s="3" t="s">
        <v>226</v>
      </c>
      <c r="D48" s="2" t="s">
        <v>169</v>
      </c>
      <c r="E48" s="4" t="n">
        <f aca="false">AVERAGEIFS('Validation (Final)'!$L$2:$L$281,'Validation (Final)'!$A$2:$A$281,A48,'Validation (Final)'!$B$2:$B$281,B48)</f>
        <v>7.46</v>
      </c>
      <c r="F48" s="4" t="s">
        <v>81</v>
      </c>
      <c r="G48" s="2" t="s">
        <v>227</v>
      </c>
      <c r="H48" s="2" t="s">
        <v>160</v>
      </c>
    </row>
    <row r="49" customFormat="false" ht="189.75" hidden="false" customHeight="true" outlineLevel="0" collapsed="false">
      <c r="A49" s="2" t="s">
        <v>14</v>
      </c>
      <c r="B49" s="2" t="s">
        <v>228</v>
      </c>
      <c r="C49" s="3" t="s">
        <v>229</v>
      </c>
      <c r="D49" s="2" t="s">
        <v>182</v>
      </c>
      <c r="E49" s="4" t="n">
        <f aca="false">AVERAGEIFS('Validation (Final)'!$L$2:$L$281,'Validation (Final)'!$A$2:$A$281,A49,'Validation (Final)'!$B$2:$B$281,B49)</f>
        <v>7.28</v>
      </c>
      <c r="F49" s="4" t="s">
        <v>81</v>
      </c>
      <c r="G49" s="2" t="s">
        <v>227</v>
      </c>
      <c r="H49" s="2" t="s">
        <v>160</v>
      </c>
    </row>
    <row r="50" customFormat="false" ht="189.75" hidden="false" customHeight="true" outlineLevel="0" collapsed="false">
      <c r="A50" s="2" t="s">
        <v>14</v>
      </c>
      <c r="B50" s="2" t="s">
        <v>230</v>
      </c>
      <c r="C50" s="3" t="s">
        <v>231</v>
      </c>
      <c r="D50" s="2" t="s">
        <v>169</v>
      </c>
      <c r="E50" s="4" t="n">
        <f aca="false">AVERAGEIFS('Validation (Final)'!$L$2:$L$281,'Validation (Final)'!$A$2:$A$281,A50,'Validation (Final)'!$B$2:$B$281,B50)</f>
        <v>7.46</v>
      </c>
      <c r="F50" s="4" t="s">
        <v>81</v>
      </c>
      <c r="G50" s="2" t="s">
        <v>232</v>
      </c>
      <c r="H50" s="2" t="s">
        <v>160</v>
      </c>
    </row>
    <row r="51" customFormat="false" ht="189.75" hidden="false" customHeight="true" outlineLevel="0" collapsed="false">
      <c r="A51" s="2" t="s">
        <v>233</v>
      </c>
      <c r="B51" s="2" t="s">
        <v>234</v>
      </c>
      <c r="C51" s="3" t="s">
        <v>235</v>
      </c>
      <c r="D51" s="2" t="s">
        <v>115</v>
      </c>
      <c r="E51" s="4" t="n">
        <f aca="false">AVERAGEIFS('Validation (Final)'!$L$2:$L$281,'Validation (Final)'!$A$2:$A$281,A51,'Validation (Final)'!$B$2:$B$281,B51)</f>
        <v>7.61</v>
      </c>
      <c r="F51" s="4" t="s">
        <v>81</v>
      </c>
      <c r="G51" s="2" t="s">
        <v>236</v>
      </c>
      <c r="H51" s="2" t="s">
        <v>111</v>
      </c>
    </row>
    <row r="52" customFormat="false" ht="189.75" hidden="false" customHeight="true" outlineLevel="0" collapsed="false">
      <c r="A52" s="2" t="s">
        <v>233</v>
      </c>
      <c r="B52" s="2" t="s">
        <v>237</v>
      </c>
      <c r="C52" s="3" t="s">
        <v>238</v>
      </c>
      <c r="D52" s="2" t="s">
        <v>239</v>
      </c>
      <c r="E52" s="4" t="n">
        <f aca="false">AVERAGEIFS('Validation (Final)'!$L$2:$L$281,'Validation (Final)'!$A$2:$A$281,A52,'Validation (Final)'!$B$2:$B$281,B52)</f>
        <v>7.31</v>
      </c>
      <c r="F52" s="4" t="s">
        <v>81</v>
      </c>
      <c r="G52" s="2" t="s">
        <v>240</v>
      </c>
      <c r="H52" s="2" t="s">
        <v>241</v>
      </c>
    </row>
    <row r="53" customFormat="false" ht="189.75" hidden="false" customHeight="true" outlineLevel="0" collapsed="false">
      <c r="A53" s="2" t="s">
        <v>233</v>
      </c>
      <c r="B53" s="2" t="s">
        <v>242</v>
      </c>
      <c r="C53" s="3" t="s">
        <v>243</v>
      </c>
      <c r="D53" s="2" t="s">
        <v>109</v>
      </c>
      <c r="E53" s="4" t="n">
        <f aca="false">AVERAGEIFS('Validation (Final)'!$L$2:$L$281,'Validation (Final)'!$A$2:$A$281,A53,'Validation (Final)'!$B$2:$B$281,B53)</f>
        <v>7.45</v>
      </c>
      <c r="F53" s="4" t="s">
        <v>81</v>
      </c>
      <c r="G53" s="2" t="s">
        <v>244</v>
      </c>
      <c r="H53" s="2" t="s">
        <v>111</v>
      </c>
    </row>
    <row r="54" customFormat="false" ht="189.75" hidden="false" customHeight="true" outlineLevel="0" collapsed="false">
      <c r="A54" s="2" t="s">
        <v>233</v>
      </c>
      <c r="B54" s="2" t="s">
        <v>245</v>
      </c>
      <c r="C54" s="3" t="s">
        <v>246</v>
      </c>
      <c r="D54" s="2" t="s">
        <v>247</v>
      </c>
      <c r="E54" s="4" t="n">
        <f aca="false">AVERAGEIFS('Validation (Final)'!$L$2:$L$281,'Validation (Final)'!$A$2:$A$281,A54,'Validation (Final)'!$B$2:$B$281,B54)</f>
        <v>7.61</v>
      </c>
      <c r="F54" s="4" t="s">
        <v>81</v>
      </c>
      <c r="G54" s="2" t="s">
        <v>248</v>
      </c>
      <c r="H54" s="2" t="s">
        <v>201</v>
      </c>
    </row>
    <row r="55" customFormat="false" ht="189.75" hidden="false" customHeight="true" outlineLevel="0" collapsed="false">
      <c r="A55" s="2" t="s">
        <v>233</v>
      </c>
      <c r="B55" s="2" t="s">
        <v>249</v>
      </c>
      <c r="C55" s="3" t="s">
        <v>250</v>
      </c>
      <c r="D55" s="2" t="s">
        <v>128</v>
      </c>
      <c r="E55" s="4" t="n">
        <f aca="false">AVERAGEIFS('Validation (Final)'!$L$2:$L$281,'Validation (Final)'!$A$2:$A$281,A55,'Validation (Final)'!$B$2:$B$281,B55)</f>
        <v>7.6</v>
      </c>
      <c r="F55" s="4" t="s">
        <v>81</v>
      </c>
      <c r="G55" s="2" t="s">
        <v>248</v>
      </c>
      <c r="H55" s="2" t="s">
        <v>201</v>
      </c>
    </row>
    <row r="56" customFormat="false" ht="189.75" hidden="false" customHeight="true" outlineLevel="0" collapsed="false">
      <c r="A56" s="2" t="s">
        <v>233</v>
      </c>
      <c r="B56" s="2" t="s">
        <v>251</v>
      </c>
      <c r="C56" s="3" t="s">
        <v>252</v>
      </c>
      <c r="D56" s="2" t="s">
        <v>247</v>
      </c>
      <c r="E56" s="4" t="n">
        <f aca="false">AVERAGEIFS('Validation (Final)'!$L$2:$L$281,'Validation (Final)'!$A$2:$A$281,A56,'Validation (Final)'!$B$2:$B$281,B56)</f>
        <v>7.61</v>
      </c>
      <c r="F56" s="4" t="s">
        <v>81</v>
      </c>
      <c r="G56" s="2" t="s">
        <v>253</v>
      </c>
      <c r="H56" s="2" t="s">
        <v>254</v>
      </c>
    </row>
    <row r="57" customFormat="false" ht="189.75" hidden="false" customHeight="true" outlineLevel="0" collapsed="false">
      <c r="A57" s="2" t="s">
        <v>233</v>
      </c>
      <c r="B57" s="2" t="s">
        <v>255</v>
      </c>
      <c r="C57" s="3" t="s">
        <v>256</v>
      </c>
      <c r="D57" s="2" t="s">
        <v>158</v>
      </c>
      <c r="E57" s="4" t="n">
        <f aca="false">AVERAGEIFS('Validation (Final)'!$L$2:$L$281,'Validation (Final)'!$A$2:$A$281,A57,'Validation (Final)'!$B$2:$B$281,B57)</f>
        <v>7.79</v>
      </c>
      <c r="F57" s="4" t="s">
        <v>81</v>
      </c>
      <c r="G57" s="2" t="s">
        <v>248</v>
      </c>
      <c r="H57" s="2" t="s">
        <v>160</v>
      </c>
    </row>
  </sheetData>
  <hyperlinks>
    <hyperlink ref="C2" r:id="rId1" display="https://www.amazon.jobs/en/jobs/3141336/software-engineer-i"/>
    <hyperlink ref="C3" r:id="rId2" display="https://www.amazon.jobs/en/jobs/10502486/software-engineer-i-payments"/>
    <hyperlink ref="C4" r:id="rId3" display="https://careers.mastercard.com/us/en/job/R-292618/Software-Engineer-I"/>
    <hyperlink ref="C5" r:id="rId4" display="https://job-boards.greenhouse.io/addepar1/jobs/8538666002"/>
    <hyperlink ref="C6" r:id="rId5" display="https://job-boards.greenhouse.io/addepar1/jobs/8606946002"/>
    <hyperlink ref="C7" r:id="rId6" display="https://jobs.ashbyhq.com/rescale/fdba3410-d255-4879-9a6e-bed488b4a1fc"/>
    <hyperlink ref="C8" r:id="rId7" display="https://job-boards.greenhouse.io/affirm/jobs/8008649003"/>
    <hyperlink ref="C9" r:id="rId8" display="https://jobs.lever.co/palantir/e500bcf3-19d8-4d3c-b340-4d76e4a55b40"/>
    <hyperlink ref="C10" r:id="rId9" display="https://jobs.ashbyhq.com/harvey/4d8dc9ba-eb86-4d88-af7d-65d2fdaf3fdc"/>
    <hyperlink ref="C11" r:id="rId10" display="https://jobs.ashbyhq.com/replit/b5e81eae-06f9-4798-8988-2d06ca936dbc"/>
    <hyperlink ref="C12" r:id="rId11" display="https://jobs.ashbyhq.com/cursor/d0e5b41d-84ab-4887-bd3a-55589b11dd7b"/>
    <hyperlink ref="C13" r:id="rId12" display="https://jobs.ashbyhq.com/notion/e32799d2-8ef8-4803-8189-c72514afa816"/>
    <hyperlink ref="C14" r:id="rId13" display="https://jobs.ashbyhq.com/whatnot/29bad846-de60-4be7-a222-69b97e044930"/>
    <hyperlink ref="C15" r:id="rId14" display="https://jobs.ashbyhq.com/zip/df6eb1ee-b360-46fe-b23f-658626ec59ea/application"/>
    <hyperlink ref="C16" r:id="rId15" display="https://jobs.ashbyhq.com/plaid/5c5d4414-347c-4caa-be88-384dec2d074b"/>
    <hyperlink ref="C17" r:id="rId16" display="https://jobs.ashbyhq.com/traba/e1761ab2-21f1-46d6-8c69-9b4a73d9430f"/>
    <hyperlink ref="C18" r:id="rId17" display="https://jobs.ashbyhq.com/serval/2bfaede4-22b2-43b2-a14c-f45e5f398624"/>
    <hyperlink ref="C19" r:id="rId18" display="https://jobs.ashbyhq.com/liveflow/e1ba2bad-030a-4bc2-9bbd-f1375f712a57"/>
    <hyperlink ref="C20" r:id="rId19" display="https://jobs.ashbyhq.com/hilberts/989d547f-1f23-43b9-b8e8-c8771d7d4286"/>
    <hyperlink ref="C21" r:id="rId20" display="https://jobs.ashbyhq.com/The-Flex/82eafc9b-c4c0-4310-8b9d-9f5410ff0d53"/>
    <hyperlink ref="C22" r:id="rId21" display="https://jobs.ashbyhq.com/pivotal-health/74f89bd9-30ca-4cf9-ab50-e0f1d2af2431"/>
    <hyperlink ref="C23" r:id="rId22" display="https://jobs.ashbyhq.com/applied/981054d6-d6d9-4553-9db8-38e56939d3b8"/>
    <hyperlink ref="C24" r:id="rId23" display="https://jobs.ashbyhq.com/perplexity/3c656963-876a-458d-bca6-916a42a24c1a"/>
    <hyperlink ref="C25" r:id="rId24" display="https://job-boards.greenhouse.io/smartsheet/jobs/8097667"/>
    <hyperlink ref="C26" r:id="rId25" display="https://job-boards.greenhouse.io/conga/jobs/5116390007"/>
    <hyperlink ref="C27" r:id="rId26" display="https://job-boards.greenhouse.io/zipcolimited/jobs/4564108006"/>
    <hyperlink ref="C28" r:id="rId27" display="https://job-boards.greenhouse.io/roo/jobs/5373552008"/>
    <hyperlink ref="C29" r:id="rId28" display="https://job-boards.greenhouse.io/clear/jobs/8241829"/>
    <hyperlink ref="C30" r:id="rId29" display="https://job-boards.greenhouse.io/semgrep/jobs/4969529007"/>
    <hyperlink ref="C31" r:id="rId30" display="https://job-boards.greenhouse.io/aquaticcapitalmanagement/jobs/8489226002"/>
    <hyperlink ref="C32" r:id="rId31" display="https://job-boards.greenhouse.io/idme/jobs/8011089003"/>
    <hyperlink ref="C33" r:id="rId32" display="https://job-boards.greenhouse.io/andurilindustries/jobs/4802146007"/>
    <hyperlink ref="C34" r:id="rId33" display="https://job-boards.greenhouse.io/kodiak/jobs/4028715009"/>
    <hyperlink ref="C35" r:id="rId34" display="https://job-boards.greenhouse.io/wonderschool/jobs/6359139003"/>
    <hyperlink ref="C36" r:id="rId35" display="https://job-boards.greenhouse.io/asm/jobs/4876722101"/>
    <hyperlink ref="C37" r:id="rId36" display="https://job-boards.greenhouse.io/sirenopt/jobs/4452002009"/>
    <hyperlink ref="C38" r:id="rId37" display="https://jobs.lever.co/lendbuzz/93c0a50a-f9a6-40a1-a97f-b39d8f1b6656"/>
    <hyperlink ref="C39" r:id="rId38" display="https://jobs.lever.co/peakgames/cfaf2251-1472-4e73-b0a3-e3e88df7aa91"/>
    <hyperlink ref="C40" r:id="rId39" display="https://jobs.lever.co/hive/9461e715-9e58-4414-bc9b-13e449f92b08"/>
    <hyperlink ref="C41" r:id="rId40" display="https://jobs.lever.co/thinkahead/a060eb0f-efc2-4b36-8363-049c657df49c"/>
    <hyperlink ref="C42" r:id="rId41" display="https://jobs.lever.co/pattern/62a5df2a-4387-416b-a6e2-639579c9b7ad"/>
    <hyperlink ref="C43" r:id="rId42" display="https://jobs.lever.co/ifm-us/1454349c-eb2b-480b-9a57-edfbb2aeeffe"/>
    <hyperlink ref="C44" r:id="rId43" display="https://www.amazon.jobs/en/jobs/10573768/software-engineer-i"/>
    <hyperlink ref="C45" r:id="rId44" display="https://www.amazon.jobs/en/jobs/10468973/software-engineer-i-discovery"/>
    <hyperlink ref="C46" r:id="rId45" display="https://www.amazon.jobs/en/jobs/3154041/software-engineer-i-builder"/>
    <hyperlink ref="C47" r:id="rId46" display="https://www.amazon.jobs/en/jobs/10432823/software-development-engineer-i-finops-fp-a"/>
    <hyperlink ref="C48" r:id="rId47" display="https://www.amazon.jobs/en/jobs/10580014/software-development-engineer-i"/>
    <hyperlink ref="C49" r:id="rId48" display="https://www.amazon.jobs/en/jobs/10406482/software-dev-engineer-i"/>
    <hyperlink ref="C50" r:id="rId49" display="https://www.amazon.jobs/en/jobs/10529830/software-development-engineer-early-career"/>
    <hyperlink ref="C51" r:id="rId50" display="https://www.google.com/about/careers/applications/jobs/results/133251589958705862-software-engineer-ii"/>
    <hyperlink ref="C52" r:id="rId51" display="https://www.google.com/about/careers/applications/jobs/results/78230576405848774-software-engineer-ii/"/>
    <hyperlink ref="C53" r:id="rId52" display="https://www.google.com/about/careers/applications/jobs/results/138674961899233990-software-engineer-ii-corp-eng"/>
    <hyperlink ref="C54" r:id="rId53" display="https://www.google.com/about/careers/applications/jobs/results/106165773843473094-software-engineer-ii/"/>
    <hyperlink ref="C55" r:id="rId54" display="https://www.google.com/about/careers/applications/jobs/results/92367747647709894-software-engineer-ii/"/>
    <hyperlink ref="C56" r:id="rId55" display="https://careers.google.com/jobs/results/106279833142469318-software-engineer-ii/"/>
    <hyperlink ref="C57" r:id="rId56" display="https://www.google.com/about/careers/applications/jobs/results/77784007952999110-software-engineer-i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 collapsed="false" customWidth="true" hidden="false" outlineLevel="0" max="5" min="4" style="0" width="16"/>
    <col collapsed="false" customWidth="true" hidden="false" outlineLevel="0" max="6" min="6" style="0" width="14"/>
  </cols>
  <sheetData>
    <row r="1" customFormat="false" ht="42" hidden="false" customHeight="true" outlineLevel="0" collapsed="false">
      <c r="A1" s="1" t="s">
        <v>257</v>
      </c>
      <c r="B1" s="1" t="s">
        <v>258</v>
      </c>
      <c r="C1" s="1" t="s">
        <v>259</v>
      </c>
      <c r="D1" s="1" t="s">
        <v>260</v>
      </c>
      <c r="E1" s="1" t="s">
        <v>261</v>
      </c>
      <c r="F1" s="1" t="s">
        <v>262</v>
      </c>
    </row>
    <row r="2" customFormat="false" ht="15" hidden="false" customHeight="false" outlineLevel="0" collapsed="false">
      <c r="A2" s="5" t="n">
        <v>0</v>
      </c>
      <c r="B2" s="5" t="n">
        <v>0</v>
      </c>
      <c r="C2" s="6" t="n">
        <f aca="false">AVERAGE('Round State'!B2:B71)</f>
        <v>7.14642857142857</v>
      </c>
      <c r="D2" s="5" t="n">
        <f aca="false">COUNTIF('Round State'!B2:B71,"&gt;=8")</f>
        <v>10</v>
      </c>
      <c r="E2" s="5" t="n">
        <f aca="false">COUNTIF('Round State'!B2:B71,"&gt;=7.5")</f>
        <v>25</v>
      </c>
      <c r="F2" s="6" t="n">
        <f aca="false">MIN('Round State'!B2:B71)</f>
        <v>5.1</v>
      </c>
    </row>
    <row r="3" customFormat="false" ht="15" hidden="false" customHeight="false" outlineLevel="0" collapsed="false">
      <c r="A3" s="5" t="n">
        <v>1</v>
      </c>
      <c r="B3" s="5" t="n">
        <v>21</v>
      </c>
      <c r="C3" s="6" t="n">
        <f aca="false">AVERAGE('Round State'!C2:C71)</f>
        <v>7.44285714285714</v>
      </c>
      <c r="D3" s="5" t="n">
        <f aca="false">COUNTIF('Round State'!C2:C71,"&gt;=8")</f>
        <v>13</v>
      </c>
      <c r="E3" s="5" t="n">
        <f aca="false">COUNTIF('Round State'!C2:C71,"&gt;=7.5")</f>
        <v>31</v>
      </c>
      <c r="F3" s="6" t="n">
        <f aca="false">MIN('Round State'!C2:C71)</f>
        <v>6.6</v>
      </c>
    </row>
    <row r="4" customFormat="false" ht="15" hidden="false" customHeight="false" outlineLevel="0" collapsed="false">
      <c r="A4" s="5" t="n">
        <v>2</v>
      </c>
      <c r="B4" s="5" t="n">
        <v>32</v>
      </c>
      <c r="C4" s="6" t="n">
        <f aca="false">AVERAGE('Round State'!D2:D71)</f>
        <v>7.62928571428571</v>
      </c>
      <c r="D4" s="5" t="n">
        <f aca="false">COUNTIF('Round State'!D2:D71,"&gt;=8")</f>
        <v>14</v>
      </c>
      <c r="E4" s="5" t="n">
        <f aca="false">COUNTIF('Round State'!D2:D71,"&gt;=7.5")</f>
        <v>44</v>
      </c>
      <c r="F4" s="6" t="n">
        <f aca="false">MIN('Round State'!D2:D71)</f>
        <v>6.8</v>
      </c>
    </row>
    <row r="5" customFormat="false" ht="15" hidden="false" customHeight="false" outlineLevel="0" collapsed="false">
      <c r="A5" s="5" t="n">
        <v>3</v>
      </c>
      <c r="B5" s="5" t="n">
        <v>22</v>
      </c>
      <c r="C5" s="6" t="n">
        <f aca="false">AVERAGE('Round State'!E2:E71)</f>
        <v>7.69857142857143</v>
      </c>
      <c r="D5" s="5" t="n">
        <f aca="false">COUNTIF('Round State'!E2:E71,"&gt;=8")</f>
        <v>15</v>
      </c>
      <c r="E5" s="5" t="n">
        <f aca="false">COUNTIF('Round State'!E2:E71,"&gt;=7.5")</f>
        <v>55</v>
      </c>
      <c r="F5" s="6" t="n">
        <f aca="false">MIN('Round State'!E2:E71)</f>
        <v>7.15</v>
      </c>
    </row>
    <row r="7" customFormat="false" ht="57.75" hidden="false" customHeight="true" outlineLevel="0" collapsed="false">
      <c r="A7" s="7" t="s">
        <v>263</v>
      </c>
      <c r="B7" s="7"/>
      <c r="C7" s="7"/>
      <c r="D7" s="7"/>
      <c r="E7" s="7"/>
      <c r="F7" s="7"/>
    </row>
  </sheetData>
  <mergeCells count="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70"/>
    <col collapsed="false" customWidth="true" hidden="false" outlineLevel="0" max="4" min="4" style="0" width="60"/>
  </cols>
  <sheetData>
    <row r="1" customFormat="false" ht="15" hidden="false" customHeight="false" outlineLevel="0" collapsed="false">
      <c r="A1" s="8" t="s">
        <v>264</v>
      </c>
    </row>
    <row r="3" customFormat="false" ht="15" hidden="false" customHeight="false" outlineLevel="0" collapsed="false">
      <c r="A3" s="9" t="s">
        <v>265</v>
      </c>
      <c r="B3" s="9" t="s">
        <v>266</v>
      </c>
      <c r="C3" s="9" t="s">
        <v>267</v>
      </c>
      <c r="D3" s="9" t="s">
        <v>268</v>
      </c>
    </row>
    <row r="4" customFormat="false" ht="15" hidden="false" customHeight="false" outlineLevel="0" collapsed="false">
      <c r="A4" s="10" t="s">
        <v>269</v>
      </c>
      <c r="B4" s="11" t="n">
        <v>0.1</v>
      </c>
      <c r="C4" s="10" t="s">
        <v>270</v>
      </c>
      <c r="D4" s="10" t="s">
        <v>271</v>
      </c>
    </row>
    <row r="5" customFormat="false" ht="15" hidden="false" customHeight="false" outlineLevel="0" collapsed="false">
      <c r="A5" s="10" t="s">
        <v>272</v>
      </c>
      <c r="B5" s="11" t="n">
        <v>0.2</v>
      </c>
      <c r="C5" s="10" t="s">
        <v>273</v>
      </c>
      <c r="D5" s="10" t="s">
        <v>274</v>
      </c>
    </row>
    <row r="6" customFormat="false" ht="15" hidden="false" customHeight="false" outlineLevel="0" collapsed="false">
      <c r="A6" s="10" t="s">
        <v>275</v>
      </c>
      <c r="B6" s="11" t="n">
        <v>0.2</v>
      </c>
      <c r="C6" s="10" t="s">
        <v>276</v>
      </c>
      <c r="D6" s="10" t="s">
        <v>277</v>
      </c>
    </row>
    <row r="7" customFormat="false" ht="23.85" hidden="false" customHeight="false" outlineLevel="0" collapsed="false">
      <c r="A7" s="10" t="s">
        <v>278</v>
      </c>
      <c r="B7" s="11" t="n">
        <v>0.1</v>
      </c>
      <c r="C7" s="10" t="s">
        <v>279</v>
      </c>
      <c r="D7" s="10" t="s">
        <v>280</v>
      </c>
    </row>
    <row r="8" customFormat="false" ht="23.85" hidden="false" customHeight="false" outlineLevel="0" collapsed="false">
      <c r="A8" s="10" t="s">
        <v>281</v>
      </c>
      <c r="B8" s="11" t="n">
        <v>0.15</v>
      </c>
      <c r="C8" s="10" t="s">
        <v>282</v>
      </c>
      <c r="D8" s="10" t="s">
        <v>283</v>
      </c>
    </row>
    <row r="9" customFormat="false" ht="23.85" hidden="false" customHeight="false" outlineLevel="0" collapsed="false">
      <c r="A9" s="10" t="s">
        <v>284</v>
      </c>
      <c r="B9" s="11" t="n">
        <v>0.15</v>
      </c>
      <c r="C9" s="10" t="s">
        <v>285</v>
      </c>
      <c r="D9" s="10" t="s">
        <v>286</v>
      </c>
    </row>
    <row r="10" customFormat="false" ht="15" hidden="false" customHeight="false" outlineLevel="0" collapsed="false">
      <c r="A10" s="10" t="s">
        <v>287</v>
      </c>
      <c r="B10" s="11" t="n">
        <v>0.1</v>
      </c>
      <c r="C10" s="10" t="s">
        <v>288</v>
      </c>
      <c r="D10" s="10" t="s">
        <v>289</v>
      </c>
    </row>
    <row r="11" customFormat="false" ht="15" hidden="false" customHeight="false" outlineLevel="0" collapsed="false">
      <c r="A11" s="10"/>
      <c r="B11" s="10"/>
      <c r="C11" s="10"/>
      <c r="D11" s="10"/>
    </row>
    <row r="12" customFormat="false" ht="15" hidden="false" customHeight="false" outlineLevel="0" collapsed="false">
      <c r="A12" s="10" t="s">
        <v>290</v>
      </c>
      <c r="B12" s="12" t="n">
        <v>7</v>
      </c>
      <c r="C12" s="10" t="s">
        <v>291</v>
      </c>
      <c r="D12" s="10"/>
    </row>
    <row r="13" customFormat="false" ht="23.85" hidden="false" customHeight="false" outlineLevel="0" collapsed="false">
      <c r="A13" s="10" t="s">
        <v>292</v>
      </c>
      <c r="B13" s="12" t="n">
        <v>1</v>
      </c>
      <c r="C13" s="10" t="s">
        <v>293</v>
      </c>
      <c r="D13" s="10"/>
    </row>
    <row r="14" customFormat="false" ht="15" hidden="false" customHeight="false" outlineLevel="0" collapsed="false">
      <c r="A14" s="10" t="s">
        <v>294</v>
      </c>
      <c r="B14" s="13" t="n">
        <f aca="false">SUM(B4:B10)</f>
        <v>1</v>
      </c>
      <c r="C14" s="10"/>
      <c r="D14" s="10"/>
    </row>
    <row r="16" customFormat="false" ht="15" hidden="false" customHeight="false" outlineLevel="0" collapsed="false">
      <c r="A16" s="8" t="s">
        <v>295</v>
      </c>
    </row>
    <row r="17" customFormat="false" ht="42" hidden="false" customHeight="true" outlineLevel="0" collapsed="false">
      <c r="A17" s="7" t="s">
        <v>296</v>
      </c>
      <c r="B17" s="7"/>
      <c r="C17" s="7"/>
      <c r="D17" s="7"/>
    </row>
    <row r="18" customFormat="false" ht="42" hidden="false" customHeight="true" outlineLevel="0" collapsed="false">
      <c r="A18" s="7" t="s">
        <v>297</v>
      </c>
      <c r="B18" s="7"/>
      <c r="C18" s="7"/>
      <c r="D18" s="7"/>
    </row>
    <row r="19" customFormat="false" ht="42" hidden="false" customHeight="true" outlineLevel="0" collapsed="false">
      <c r="A19" s="7" t="s">
        <v>298</v>
      </c>
      <c r="B19" s="7"/>
      <c r="C19" s="7"/>
      <c r="D19" s="7"/>
    </row>
    <row r="20" customFormat="false" ht="42" hidden="false" customHeight="true" outlineLevel="0" collapsed="false">
      <c r="A20" s="7" t="s">
        <v>299</v>
      </c>
      <c r="B20" s="7"/>
      <c r="C20" s="7"/>
      <c r="D20" s="7"/>
    </row>
    <row r="21" customFormat="false" ht="42" hidden="false" customHeight="true" outlineLevel="0" collapsed="false">
      <c r="A21" s="7" t="s">
        <v>300</v>
      </c>
      <c r="B21" s="7"/>
      <c r="C21" s="7"/>
      <c r="D21" s="7"/>
    </row>
    <row r="22" customFormat="false" ht="42" hidden="false" customHeight="true" outlineLevel="0" collapsed="false">
      <c r="A22" s="7" t="s">
        <v>301</v>
      </c>
      <c r="B22" s="7"/>
      <c r="C22" s="7"/>
      <c r="D22" s="7"/>
    </row>
    <row r="23" customFormat="false" ht="42" hidden="false" customHeight="true" outlineLevel="0" collapsed="false">
      <c r="A23" s="7" t="s">
        <v>302</v>
      </c>
      <c r="B23" s="7"/>
      <c r="C23" s="7"/>
      <c r="D23" s="7"/>
    </row>
  </sheetData>
  <mergeCells count="7">
    <mergeCell ref="A17:D17"/>
    <mergeCell ref="A18:D18"/>
    <mergeCell ref="A19:D19"/>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8"/>
    <col collapsed="false" customWidth="true" hidden="false" outlineLevel="0" max="4" min="4" style="0" width="85"/>
    <col collapsed="false" customWidth="true" hidden="false" outlineLevel="0" max="9" min="5"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9"/>
    <col collapsed="false" customWidth="true" hidden="false" outlineLevel="0" max="15" min="15" style="0" width="6"/>
  </cols>
  <sheetData>
    <row r="1" customFormat="false" ht="42" hidden="false" customHeight="true" outlineLevel="0" collapsed="false">
      <c r="A1" s="1" t="s">
        <v>0</v>
      </c>
      <c r="B1" s="1" t="s">
        <v>1</v>
      </c>
      <c r="C1" s="1" t="s">
        <v>303</v>
      </c>
      <c r="D1" s="1" t="s">
        <v>304</v>
      </c>
      <c r="E1" s="1" t="s">
        <v>269</v>
      </c>
      <c r="F1" s="1" t="s">
        <v>272</v>
      </c>
      <c r="G1" s="1" t="s">
        <v>275</v>
      </c>
      <c r="H1" s="1" t="s">
        <v>278</v>
      </c>
      <c r="I1" s="1" t="s">
        <v>281</v>
      </c>
      <c r="J1" s="1" t="s">
        <v>305</v>
      </c>
      <c r="K1" s="1" t="s">
        <v>287</v>
      </c>
      <c r="L1" s="1" t="s">
        <v>306</v>
      </c>
      <c r="M1" s="1" t="s">
        <v>307</v>
      </c>
      <c r="N1" s="1" t="s">
        <v>308</v>
      </c>
      <c r="O1" s="1" t="s">
        <v>309</v>
      </c>
    </row>
    <row r="2" customFormat="false" ht="23.85" hidden="false" customHeight="false" outlineLevel="0" collapsed="false">
      <c r="A2" s="2" t="s">
        <v>8</v>
      </c>
      <c r="B2" s="2" t="s">
        <v>9</v>
      </c>
      <c r="C2" s="14" t="n">
        <v>1</v>
      </c>
      <c r="D2" s="2" t="s">
        <v>310</v>
      </c>
      <c r="E2" s="15" t="n">
        <v>7</v>
      </c>
      <c r="F2" s="15" t="n">
        <v>8</v>
      </c>
      <c r="G2" s="15" t="n">
        <v>8</v>
      </c>
      <c r="H2" s="15" t="n">
        <v>4</v>
      </c>
      <c r="I2" s="15" t="n">
        <v>8</v>
      </c>
      <c r="J2" s="15" t="n">
        <v>8</v>
      </c>
      <c r="K2" s="15" t="n">
        <v>8</v>
      </c>
      <c r="L2" s="4" t="n">
        <f aca="false">ROUND(E2*Rubric!$B$4+F2*Rubric!$B$5+G2*Rubric!$B$6+H2*Rubric!$B$7+I2*Rubric!$B$8+J2*Rubric!$B$9+K2*Rubric!$B$10-IF(OR(G2&lt;Rubric!$B$12,J2&lt;Rubric!$B$12),Rubric!$B$13,0),2)</f>
        <v>7.5</v>
      </c>
      <c r="M2" s="4" t="n">
        <f aca="false">SUMIFS('Revision Log'!$M:$M,'Revision Log'!$N:$N,O2,'Revision Log'!$C:$C,0)</f>
        <v>7.2</v>
      </c>
      <c r="N2" s="16" t="n">
        <f aca="false">L2-M2</f>
        <v>0.3</v>
      </c>
      <c r="O2" s="14" t="n">
        <v>0</v>
      </c>
    </row>
    <row r="3" customFormat="false" ht="23.85" hidden="false" customHeight="false" outlineLevel="0" collapsed="false">
      <c r="A3" s="2" t="s">
        <v>8</v>
      </c>
      <c r="B3" s="2" t="s">
        <v>9</v>
      </c>
      <c r="C3" s="14" t="n">
        <v>2</v>
      </c>
      <c r="D3" s="2" t="s">
        <v>311</v>
      </c>
      <c r="E3" s="15" t="n">
        <v>9</v>
      </c>
      <c r="F3" s="15" t="n">
        <v>9</v>
      </c>
      <c r="G3" s="15" t="n">
        <v>8</v>
      </c>
      <c r="H3" s="15" t="n">
        <v>4</v>
      </c>
      <c r="I3" s="15" t="n">
        <v>8</v>
      </c>
      <c r="J3" s="15" t="n">
        <v>9</v>
      </c>
      <c r="K3" s="15" t="n">
        <v>8</v>
      </c>
      <c r="L3" s="4" t="n">
        <f aca="false">ROUND(E3*Rubric!$B$4+F3*Rubric!$B$5+G3*Rubric!$B$6+H3*Rubric!$B$7+I3*Rubric!$B$8+J3*Rubric!$B$9+K3*Rubric!$B$10-IF(OR(G3&lt;Rubric!$B$12,J3&lt;Rubric!$B$12),Rubric!$B$13,0),2)</f>
        <v>8.05</v>
      </c>
      <c r="M3" s="4" t="n">
        <f aca="false">SUMIFS('Revision Log'!$M:$M,'Revision Log'!$N:$N,O3,'Revision Log'!$C:$C,0)</f>
        <v>8.05</v>
      </c>
      <c r="N3" s="16" t="n">
        <f aca="false">L3-M3</f>
        <v>0</v>
      </c>
      <c r="O3" s="14" t="n">
        <v>1</v>
      </c>
    </row>
    <row r="4" customFormat="false" ht="23.85" hidden="false" customHeight="false" outlineLevel="0" collapsed="false">
      <c r="A4" s="2" t="s">
        <v>8</v>
      </c>
      <c r="B4" s="2" t="s">
        <v>9</v>
      </c>
      <c r="C4" s="14" t="n">
        <v>3</v>
      </c>
      <c r="D4" s="2" t="s">
        <v>312</v>
      </c>
      <c r="E4" s="15" t="n">
        <v>9</v>
      </c>
      <c r="F4" s="15" t="n">
        <v>8</v>
      </c>
      <c r="G4" s="15" t="n">
        <v>8</v>
      </c>
      <c r="H4" s="15" t="n">
        <v>4</v>
      </c>
      <c r="I4" s="15" t="n">
        <v>7</v>
      </c>
      <c r="J4" s="15" t="n">
        <v>8</v>
      </c>
      <c r="K4" s="15" t="n">
        <v>7</v>
      </c>
      <c r="L4" s="4" t="n">
        <f aca="false">ROUND(E4*Rubric!$B$4+F4*Rubric!$B$5+G4*Rubric!$B$6+H4*Rubric!$B$7+I4*Rubric!$B$8+J4*Rubric!$B$9+K4*Rubric!$B$10-IF(OR(G4&lt;Rubric!$B$12,J4&lt;Rubric!$B$12),Rubric!$B$13,0),2)</f>
        <v>7.45</v>
      </c>
      <c r="M4" s="4" t="n">
        <f aca="false">SUMIFS('Revision Log'!$M:$M,'Revision Log'!$N:$N,O4,'Revision Log'!$C:$C,0)</f>
        <v>7.25</v>
      </c>
      <c r="N4" s="16" t="n">
        <f aca="false">L4-M4</f>
        <v>0.2</v>
      </c>
      <c r="O4" s="14" t="n">
        <v>2</v>
      </c>
    </row>
    <row r="5" customFormat="false" ht="23.85" hidden="false" customHeight="false" outlineLevel="0" collapsed="false">
      <c r="A5" s="2" t="s">
        <v>8</v>
      </c>
      <c r="B5" s="2" t="s">
        <v>9</v>
      </c>
      <c r="C5" s="14" t="n">
        <v>4</v>
      </c>
      <c r="D5" s="2" t="s">
        <v>313</v>
      </c>
      <c r="E5" s="15" t="n">
        <v>9</v>
      </c>
      <c r="F5" s="15" t="n">
        <v>8</v>
      </c>
      <c r="G5" s="15" t="n">
        <v>8</v>
      </c>
      <c r="H5" s="15" t="n">
        <v>3</v>
      </c>
      <c r="I5" s="15" t="n">
        <v>7</v>
      </c>
      <c r="J5" s="15" t="n">
        <v>8</v>
      </c>
      <c r="K5" s="15" t="n">
        <v>7</v>
      </c>
      <c r="L5" s="4" t="n">
        <f aca="false">ROUND(E5*Rubric!$B$4+F5*Rubric!$B$5+G5*Rubric!$B$6+H5*Rubric!$B$7+I5*Rubric!$B$8+J5*Rubric!$B$9+K5*Rubric!$B$10-IF(OR(G5&lt;Rubric!$B$12,J5&lt;Rubric!$B$12),Rubric!$B$13,0),2)</f>
        <v>7.35</v>
      </c>
      <c r="M5" s="4" t="n">
        <f aca="false">SUMIFS('Revision Log'!$M:$M,'Revision Log'!$N:$N,O5,'Revision Log'!$C:$C,0)</f>
        <v>6.95</v>
      </c>
      <c r="N5" s="16" t="n">
        <f aca="false">L5-M5</f>
        <v>0.399999999999999</v>
      </c>
      <c r="O5" s="14" t="n">
        <v>3</v>
      </c>
    </row>
    <row r="6" customFormat="false" ht="23.85" hidden="false" customHeight="false" outlineLevel="0" collapsed="false">
      <c r="A6" s="2" t="s">
        <v>8</v>
      </c>
      <c r="B6" s="2" t="s">
        <v>9</v>
      </c>
      <c r="C6" s="14" t="n">
        <v>5</v>
      </c>
      <c r="D6" s="2" t="s">
        <v>314</v>
      </c>
      <c r="E6" s="15" t="n">
        <v>9</v>
      </c>
      <c r="F6" s="15" t="n">
        <v>7</v>
      </c>
      <c r="G6" s="15" t="n">
        <v>8</v>
      </c>
      <c r="H6" s="15" t="n">
        <v>8</v>
      </c>
      <c r="I6" s="15" t="n">
        <v>7</v>
      </c>
      <c r="J6" s="15" t="n">
        <v>8</v>
      </c>
      <c r="K6" s="15" t="n">
        <v>7</v>
      </c>
      <c r="L6" s="4" t="n">
        <f aca="false">ROUND(E6*Rubric!$B$4+F6*Rubric!$B$5+G6*Rubric!$B$6+H6*Rubric!$B$7+I6*Rubric!$B$8+J6*Rubric!$B$9+K6*Rubric!$B$10-IF(OR(G6&lt;Rubric!$B$12,J6&lt;Rubric!$B$12),Rubric!$B$13,0),2)</f>
        <v>7.65</v>
      </c>
      <c r="M6" s="4" t="n">
        <f aca="false">SUMIFS('Revision Log'!$M:$M,'Revision Log'!$N:$N,O6,'Revision Log'!$C:$C,0)</f>
        <v>7.4</v>
      </c>
      <c r="N6" s="16" t="n">
        <f aca="false">L6-M6</f>
        <v>0.25</v>
      </c>
      <c r="O6" s="14" t="n">
        <v>4</v>
      </c>
    </row>
    <row r="7" customFormat="false" ht="23.85" hidden="false" customHeight="false" outlineLevel="0" collapsed="false">
      <c r="A7" s="2" t="s">
        <v>14</v>
      </c>
      <c r="B7" s="2" t="s">
        <v>15</v>
      </c>
      <c r="C7" s="14" t="n">
        <v>1</v>
      </c>
      <c r="D7" s="2" t="s">
        <v>315</v>
      </c>
      <c r="E7" s="15" t="n">
        <v>9</v>
      </c>
      <c r="F7" s="15" t="n">
        <v>7</v>
      </c>
      <c r="G7" s="15" t="n">
        <v>7</v>
      </c>
      <c r="H7" s="15" t="n">
        <v>3</v>
      </c>
      <c r="I7" s="15" t="n">
        <v>9</v>
      </c>
      <c r="J7" s="15" t="n">
        <v>8</v>
      </c>
      <c r="K7" s="15" t="n">
        <v>8</v>
      </c>
      <c r="L7" s="4" t="n">
        <f aca="false">ROUND(E7*Rubric!$B$4+F7*Rubric!$B$5+G7*Rubric!$B$6+H7*Rubric!$B$7+I7*Rubric!$B$8+J7*Rubric!$B$9+K7*Rubric!$B$10-IF(OR(G7&lt;Rubric!$B$12,J7&lt;Rubric!$B$12),Rubric!$B$13,0),2)</f>
        <v>7.35</v>
      </c>
      <c r="M7" s="4" t="n">
        <f aca="false">SUMIFS('Revision Log'!$M:$M,'Revision Log'!$N:$N,O7,'Revision Log'!$C:$C,0)</f>
        <v>5.75</v>
      </c>
      <c r="N7" s="16" t="n">
        <f aca="false">L7-M7</f>
        <v>1.6</v>
      </c>
      <c r="O7" s="14" t="n">
        <v>10</v>
      </c>
    </row>
    <row r="8" customFormat="false" ht="23.85" hidden="false" customHeight="false" outlineLevel="0" collapsed="false">
      <c r="A8" s="2" t="s">
        <v>14</v>
      </c>
      <c r="B8" s="2" t="s">
        <v>15</v>
      </c>
      <c r="C8" s="14" t="n">
        <v>2</v>
      </c>
      <c r="D8" s="2" t="s">
        <v>316</v>
      </c>
      <c r="E8" s="15" t="n">
        <v>9</v>
      </c>
      <c r="F8" s="15" t="n">
        <v>9</v>
      </c>
      <c r="G8" s="15" t="n">
        <v>8</v>
      </c>
      <c r="H8" s="15" t="n">
        <v>3</v>
      </c>
      <c r="I8" s="15" t="n">
        <v>9</v>
      </c>
      <c r="J8" s="15" t="n">
        <v>9</v>
      </c>
      <c r="K8" s="15" t="n">
        <v>9</v>
      </c>
      <c r="L8" s="4" t="n">
        <f aca="false">ROUND(E8*Rubric!$B$4+F8*Rubric!$B$5+G8*Rubric!$B$6+H8*Rubric!$B$7+I8*Rubric!$B$8+J8*Rubric!$B$9+K8*Rubric!$B$10-IF(OR(G8&lt;Rubric!$B$12,J8&lt;Rubric!$B$12),Rubric!$B$13,0),2)</f>
        <v>8.2</v>
      </c>
      <c r="M8" s="4" t="n">
        <f aca="false">SUMIFS('Revision Log'!$M:$M,'Revision Log'!$N:$N,O8,'Revision Log'!$C:$C,0)</f>
        <v>8.2</v>
      </c>
      <c r="N8" s="16" t="n">
        <f aca="false">L8-M8</f>
        <v>0</v>
      </c>
      <c r="O8" s="14" t="n">
        <v>11</v>
      </c>
    </row>
    <row r="9" customFormat="false" ht="23.85" hidden="false" customHeight="false" outlineLevel="0" collapsed="false">
      <c r="A9" s="2" t="s">
        <v>14</v>
      </c>
      <c r="B9" s="2" t="s">
        <v>15</v>
      </c>
      <c r="C9" s="14" t="n">
        <v>3</v>
      </c>
      <c r="D9" s="2" t="s">
        <v>317</v>
      </c>
      <c r="E9" s="15" t="n">
        <v>9</v>
      </c>
      <c r="F9" s="15" t="n">
        <v>9</v>
      </c>
      <c r="G9" s="15" t="n">
        <v>7</v>
      </c>
      <c r="H9" s="15" t="n">
        <v>3</v>
      </c>
      <c r="I9" s="15" t="n">
        <v>8</v>
      </c>
      <c r="J9" s="15" t="n">
        <v>9</v>
      </c>
      <c r="K9" s="15" t="n">
        <v>9</v>
      </c>
      <c r="L9" s="4" t="n">
        <f aca="false">ROUND(E9*Rubric!$B$4+F9*Rubric!$B$5+G9*Rubric!$B$6+H9*Rubric!$B$7+I9*Rubric!$B$8+J9*Rubric!$B$9+K9*Rubric!$B$10-IF(OR(G9&lt;Rubric!$B$12,J9&lt;Rubric!$B$12),Rubric!$B$13,0),2)</f>
        <v>7.85</v>
      </c>
      <c r="M9" s="4" t="n">
        <f aca="false">SUMIFS('Revision Log'!$M:$M,'Revision Log'!$N:$N,O9,'Revision Log'!$C:$C,0)</f>
        <v>7.85</v>
      </c>
      <c r="N9" s="16" t="n">
        <f aca="false">L9-M9</f>
        <v>0</v>
      </c>
      <c r="O9" s="14" t="n">
        <v>12</v>
      </c>
    </row>
    <row r="10" customFormat="false" ht="23.85" hidden="false" customHeight="false" outlineLevel="0" collapsed="false">
      <c r="A10" s="2" t="s">
        <v>14</v>
      </c>
      <c r="B10" s="2" t="s">
        <v>15</v>
      </c>
      <c r="C10" s="14" t="n">
        <v>4</v>
      </c>
      <c r="D10" s="2" t="s">
        <v>318</v>
      </c>
      <c r="E10" s="15" t="n">
        <v>9</v>
      </c>
      <c r="F10" s="15" t="n">
        <v>8</v>
      </c>
      <c r="G10" s="15" t="n">
        <v>8</v>
      </c>
      <c r="H10" s="15" t="n">
        <v>3</v>
      </c>
      <c r="I10" s="15" t="n">
        <v>8</v>
      </c>
      <c r="J10" s="15" t="n">
        <v>8</v>
      </c>
      <c r="K10" s="15" t="n">
        <v>8</v>
      </c>
      <c r="L10" s="4" t="n">
        <f aca="false">ROUND(E10*Rubric!$B$4+F10*Rubric!$B$5+G10*Rubric!$B$6+H10*Rubric!$B$7+I10*Rubric!$B$8+J10*Rubric!$B$9+K10*Rubric!$B$10-IF(OR(G10&lt;Rubric!$B$12,J10&lt;Rubric!$B$12),Rubric!$B$13,0),2)</f>
        <v>7.6</v>
      </c>
      <c r="M10" s="4" t="n">
        <f aca="false">SUMIFS('Revision Log'!$M:$M,'Revision Log'!$N:$N,O10,'Revision Log'!$C:$C,0)</f>
        <v>7.5</v>
      </c>
      <c r="N10" s="16" t="n">
        <f aca="false">L10-M10</f>
        <v>0.0999999999999996</v>
      </c>
      <c r="O10" s="14" t="n">
        <v>13</v>
      </c>
    </row>
    <row r="11" customFormat="false" ht="23.85" hidden="false" customHeight="false" outlineLevel="0" collapsed="false">
      <c r="A11" s="2" t="s">
        <v>14</v>
      </c>
      <c r="B11" s="2" t="s">
        <v>15</v>
      </c>
      <c r="C11" s="14" t="n">
        <v>5</v>
      </c>
      <c r="D11" s="2" t="s">
        <v>319</v>
      </c>
      <c r="E11" s="15" t="n">
        <v>8</v>
      </c>
      <c r="F11" s="15" t="n">
        <v>8</v>
      </c>
      <c r="G11" s="15" t="n">
        <v>7</v>
      </c>
      <c r="H11" s="15" t="n">
        <v>9</v>
      </c>
      <c r="I11" s="15" t="n">
        <v>7</v>
      </c>
      <c r="J11" s="15" t="n">
        <v>8</v>
      </c>
      <c r="K11" s="15" t="n">
        <v>9</v>
      </c>
      <c r="L11" s="4" t="n">
        <f aca="false">ROUND(E11*Rubric!$B$4+F11*Rubric!$B$5+G11*Rubric!$B$6+H11*Rubric!$B$7+I11*Rubric!$B$8+J11*Rubric!$B$9+K11*Rubric!$B$10-IF(OR(G11&lt;Rubric!$B$12,J11&lt;Rubric!$B$12),Rubric!$B$13,0),2)</f>
        <v>7.85</v>
      </c>
      <c r="M11" s="4" t="n">
        <f aca="false">SUMIFS('Revision Log'!$M:$M,'Revision Log'!$N:$N,O11,'Revision Log'!$C:$C,0)</f>
        <v>7.85</v>
      </c>
      <c r="N11" s="16" t="n">
        <f aca="false">L11-M11</f>
        <v>0</v>
      </c>
      <c r="O11" s="14" t="n">
        <v>14</v>
      </c>
    </row>
    <row r="12" customFormat="false" ht="23.85" hidden="false" customHeight="false" outlineLevel="0" collapsed="false">
      <c r="A12" s="2" t="s">
        <v>19</v>
      </c>
      <c r="B12" s="2" t="s">
        <v>20</v>
      </c>
      <c r="C12" s="14" t="n">
        <v>1</v>
      </c>
      <c r="D12" s="2" t="s">
        <v>320</v>
      </c>
      <c r="E12" s="15" t="n">
        <v>8</v>
      </c>
      <c r="F12" s="15" t="n">
        <v>7</v>
      </c>
      <c r="G12" s="15" t="n">
        <v>9</v>
      </c>
      <c r="H12" s="15" t="n">
        <v>2</v>
      </c>
      <c r="I12" s="15" t="n">
        <v>9</v>
      </c>
      <c r="J12" s="15" t="n">
        <v>8</v>
      </c>
      <c r="K12" s="15" t="n">
        <v>6</v>
      </c>
      <c r="L12" s="4" t="n">
        <f aca="false">ROUND(E12*Rubric!$B$4+F12*Rubric!$B$5+G12*Rubric!$B$6+H12*Rubric!$B$7+I12*Rubric!$B$8+J12*Rubric!$B$9+K12*Rubric!$B$10-IF(OR(G12&lt;Rubric!$B$12,J12&lt;Rubric!$B$12),Rubric!$B$13,0),2)</f>
        <v>7.35</v>
      </c>
      <c r="M12" s="4" t="n">
        <f aca="false">SUMIFS('Revision Log'!$M:$M,'Revision Log'!$N:$N,O12,'Revision Log'!$C:$C,0)</f>
        <v>7.05</v>
      </c>
      <c r="N12" s="16" t="n">
        <f aca="false">L12-M12</f>
        <v>0.3</v>
      </c>
      <c r="O12" s="14" t="n">
        <v>20</v>
      </c>
    </row>
    <row r="13" customFormat="false" ht="23.85" hidden="false" customHeight="false" outlineLevel="0" collapsed="false">
      <c r="A13" s="2" t="s">
        <v>19</v>
      </c>
      <c r="B13" s="2" t="s">
        <v>20</v>
      </c>
      <c r="C13" s="14" t="n">
        <v>2</v>
      </c>
      <c r="D13" s="2" t="s">
        <v>321</v>
      </c>
      <c r="E13" s="15" t="n">
        <v>8</v>
      </c>
      <c r="F13" s="15" t="n">
        <v>8</v>
      </c>
      <c r="G13" s="15" t="n">
        <v>8</v>
      </c>
      <c r="H13" s="15" t="n">
        <v>3</v>
      </c>
      <c r="I13" s="15" t="n">
        <v>8</v>
      </c>
      <c r="J13" s="15" t="n">
        <v>8</v>
      </c>
      <c r="K13" s="15" t="n">
        <v>7</v>
      </c>
      <c r="L13" s="4" t="n">
        <f aca="false">ROUND(E13*Rubric!$B$4+F13*Rubric!$B$5+G13*Rubric!$B$6+H13*Rubric!$B$7+I13*Rubric!$B$8+J13*Rubric!$B$9+K13*Rubric!$B$10-IF(OR(G13&lt;Rubric!$B$12,J13&lt;Rubric!$B$12),Rubric!$B$13,0),2)</f>
        <v>7.4</v>
      </c>
      <c r="M13" s="4" t="n">
        <f aca="false">SUMIFS('Revision Log'!$M:$M,'Revision Log'!$N:$N,O13,'Revision Log'!$C:$C,0)</f>
        <v>6.95</v>
      </c>
      <c r="N13" s="16" t="n">
        <f aca="false">L13-M13</f>
        <v>0.45</v>
      </c>
      <c r="O13" s="14" t="n">
        <v>21</v>
      </c>
    </row>
    <row r="14" customFormat="false" ht="23.85" hidden="false" customHeight="false" outlineLevel="0" collapsed="false">
      <c r="A14" s="2" t="s">
        <v>19</v>
      </c>
      <c r="B14" s="2" t="s">
        <v>20</v>
      </c>
      <c r="C14" s="14" t="n">
        <v>3</v>
      </c>
      <c r="D14" s="2" t="s">
        <v>322</v>
      </c>
      <c r="E14" s="15" t="n">
        <v>8</v>
      </c>
      <c r="F14" s="15" t="n">
        <v>8</v>
      </c>
      <c r="G14" s="15" t="n">
        <v>8</v>
      </c>
      <c r="H14" s="15" t="n">
        <v>2</v>
      </c>
      <c r="I14" s="15" t="n">
        <v>8</v>
      </c>
      <c r="J14" s="15" t="n">
        <v>8</v>
      </c>
      <c r="K14" s="15" t="n">
        <v>8</v>
      </c>
      <c r="L14" s="4" t="n">
        <f aca="false">ROUND(E14*Rubric!$B$4+F14*Rubric!$B$5+G14*Rubric!$B$6+H14*Rubric!$B$7+I14*Rubric!$B$8+J14*Rubric!$B$9+K14*Rubric!$B$10-IF(OR(G14&lt;Rubric!$B$12,J14&lt;Rubric!$B$12),Rubric!$B$13,0),2)</f>
        <v>7.4</v>
      </c>
      <c r="M14" s="4" t="n">
        <f aca="false">SUMIFS('Revision Log'!$M:$M,'Revision Log'!$N:$N,O14,'Revision Log'!$C:$C,0)</f>
        <v>6.85</v>
      </c>
      <c r="N14" s="16" t="n">
        <f aca="false">L14-M14</f>
        <v>0.550000000000001</v>
      </c>
      <c r="O14" s="14" t="n">
        <v>22</v>
      </c>
    </row>
    <row r="15" customFormat="false" ht="23.85" hidden="false" customHeight="false" outlineLevel="0" collapsed="false">
      <c r="A15" s="2" t="s">
        <v>19</v>
      </c>
      <c r="B15" s="2" t="s">
        <v>20</v>
      </c>
      <c r="C15" s="14" t="n">
        <v>4</v>
      </c>
      <c r="D15" s="2" t="s">
        <v>323</v>
      </c>
      <c r="E15" s="15" t="n">
        <v>9</v>
      </c>
      <c r="F15" s="15" t="n">
        <v>8</v>
      </c>
      <c r="G15" s="15" t="n">
        <v>8</v>
      </c>
      <c r="H15" s="15" t="n">
        <v>2</v>
      </c>
      <c r="I15" s="15" t="n">
        <v>7</v>
      </c>
      <c r="J15" s="15" t="n">
        <v>8</v>
      </c>
      <c r="K15" s="15" t="n">
        <v>8</v>
      </c>
      <c r="L15" s="4" t="n">
        <f aca="false">ROUND(E15*Rubric!$B$4+F15*Rubric!$B$5+G15*Rubric!$B$6+H15*Rubric!$B$7+I15*Rubric!$B$8+J15*Rubric!$B$9+K15*Rubric!$B$10-IF(OR(G15&lt;Rubric!$B$12,J15&lt;Rubric!$B$12),Rubric!$B$13,0),2)</f>
        <v>7.35</v>
      </c>
      <c r="M15" s="4" t="n">
        <f aca="false">SUMIFS('Revision Log'!$M:$M,'Revision Log'!$N:$N,O15,'Revision Log'!$C:$C,0)</f>
        <v>6.1</v>
      </c>
      <c r="N15" s="16" t="n">
        <f aca="false">L15-M15</f>
        <v>1.25</v>
      </c>
      <c r="O15" s="14" t="n">
        <v>23</v>
      </c>
    </row>
    <row r="16" customFormat="false" ht="23.85" hidden="false" customHeight="false" outlineLevel="0" collapsed="false">
      <c r="A16" s="2" t="s">
        <v>19</v>
      </c>
      <c r="B16" s="2" t="s">
        <v>20</v>
      </c>
      <c r="C16" s="14" t="n">
        <v>5</v>
      </c>
      <c r="D16" s="2" t="s">
        <v>324</v>
      </c>
      <c r="E16" s="15" t="n">
        <v>9</v>
      </c>
      <c r="F16" s="15" t="n">
        <v>7</v>
      </c>
      <c r="G16" s="15" t="n">
        <v>8</v>
      </c>
      <c r="H16" s="15" t="n">
        <v>4</v>
      </c>
      <c r="I16" s="15" t="n">
        <v>7</v>
      </c>
      <c r="J16" s="15" t="n">
        <v>8</v>
      </c>
      <c r="K16" s="15" t="n">
        <v>8</v>
      </c>
      <c r="L16" s="4" t="n">
        <f aca="false">ROUND(E16*Rubric!$B$4+F16*Rubric!$B$5+G16*Rubric!$B$6+H16*Rubric!$B$7+I16*Rubric!$B$8+J16*Rubric!$B$9+K16*Rubric!$B$10-IF(OR(G16&lt;Rubric!$B$12,J16&lt;Rubric!$B$12),Rubric!$B$13,0),2)</f>
        <v>7.35</v>
      </c>
      <c r="M16" s="4" t="n">
        <f aca="false">SUMIFS('Revision Log'!$M:$M,'Revision Log'!$N:$N,O16,'Revision Log'!$C:$C,0)</f>
        <v>5.7</v>
      </c>
      <c r="N16" s="16" t="n">
        <f aca="false">L16-M16</f>
        <v>1.65</v>
      </c>
      <c r="O16" s="14" t="n">
        <v>24</v>
      </c>
    </row>
    <row r="17" customFormat="false" ht="23.85" hidden="false" customHeight="false" outlineLevel="0" collapsed="false">
      <c r="A17" s="2" t="s">
        <v>24</v>
      </c>
      <c r="B17" s="2" t="s">
        <v>25</v>
      </c>
      <c r="C17" s="14" t="n">
        <v>1</v>
      </c>
      <c r="D17" s="2" t="s">
        <v>325</v>
      </c>
      <c r="E17" s="15" t="n">
        <v>8</v>
      </c>
      <c r="F17" s="15" t="n">
        <v>8</v>
      </c>
      <c r="G17" s="15" t="n">
        <v>8</v>
      </c>
      <c r="H17" s="15" t="n">
        <v>3</v>
      </c>
      <c r="I17" s="15" t="n">
        <v>9</v>
      </c>
      <c r="J17" s="15" t="n">
        <v>8</v>
      </c>
      <c r="K17" s="15" t="n">
        <v>7</v>
      </c>
      <c r="L17" s="4" t="n">
        <f aca="false">ROUND(E17*Rubric!$B$4+F17*Rubric!$B$5+G17*Rubric!$B$6+H17*Rubric!$B$7+I17*Rubric!$B$8+J17*Rubric!$B$9+K17*Rubric!$B$10-IF(OR(G17&lt;Rubric!$B$12,J17&lt;Rubric!$B$12),Rubric!$B$13,0),2)</f>
        <v>7.55</v>
      </c>
      <c r="M17" s="4" t="n">
        <f aca="false">SUMIFS('Revision Log'!$M:$M,'Revision Log'!$N:$N,O17,'Revision Log'!$C:$C,0)</f>
        <v>7.55</v>
      </c>
      <c r="N17" s="16" t="n">
        <f aca="false">L17-M17</f>
        <v>0</v>
      </c>
      <c r="O17" s="14" t="n">
        <v>30</v>
      </c>
    </row>
    <row r="18" customFormat="false" ht="23.85" hidden="false" customHeight="false" outlineLevel="0" collapsed="false">
      <c r="A18" s="2" t="s">
        <v>24</v>
      </c>
      <c r="B18" s="2" t="s">
        <v>25</v>
      </c>
      <c r="C18" s="14" t="n">
        <v>2</v>
      </c>
      <c r="D18" s="2" t="s">
        <v>326</v>
      </c>
      <c r="E18" s="15" t="n">
        <v>8</v>
      </c>
      <c r="F18" s="15" t="n">
        <v>9</v>
      </c>
      <c r="G18" s="15" t="n">
        <v>7</v>
      </c>
      <c r="H18" s="15" t="n">
        <v>3</v>
      </c>
      <c r="I18" s="15" t="n">
        <v>9</v>
      </c>
      <c r="J18" s="15" t="n">
        <v>8</v>
      </c>
      <c r="K18" s="15" t="n">
        <v>8</v>
      </c>
      <c r="L18" s="4" t="n">
        <f aca="false">ROUND(E18*Rubric!$B$4+F18*Rubric!$B$5+G18*Rubric!$B$6+H18*Rubric!$B$7+I18*Rubric!$B$8+J18*Rubric!$B$9+K18*Rubric!$B$10-IF(OR(G18&lt;Rubric!$B$12,J18&lt;Rubric!$B$12),Rubric!$B$13,0),2)</f>
        <v>7.65</v>
      </c>
      <c r="M18" s="4" t="n">
        <f aca="false">SUMIFS('Revision Log'!$M:$M,'Revision Log'!$N:$N,O18,'Revision Log'!$C:$C,0)</f>
        <v>7.65</v>
      </c>
      <c r="N18" s="16" t="n">
        <f aca="false">L18-M18</f>
        <v>0</v>
      </c>
      <c r="O18" s="14" t="n">
        <v>31</v>
      </c>
    </row>
    <row r="19" customFormat="false" ht="23.85" hidden="false" customHeight="false" outlineLevel="0" collapsed="false">
      <c r="A19" s="2" t="s">
        <v>24</v>
      </c>
      <c r="B19" s="2" t="s">
        <v>25</v>
      </c>
      <c r="C19" s="14" t="n">
        <v>3</v>
      </c>
      <c r="D19" s="2" t="s">
        <v>327</v>
      </c>
      <c r="E19" s="15" t="n">
        <v>9</v>
      </c>
      <c r="F19" s="15" t="n">
        <v>9</v>
      </c>
      <c r="G19" s="15" t="n">
        <v>8</v>
      </c>
      <c r="H19" s="15" t="n">
        <v>3</v>
      </c>
      <c r="I19" s="15" t="n">
        <v>9</v>
      </c>
      <c r="J19" s="15" t="n">
        <v>9</v>
      </c>
      <c r="K19" s="15" t="n">
        <v>8</v>
      </c>
      <c r="L19" s="4" t="n">
        <f aca="false">ROUND(E19*Rubric!$B$4+F19*Rubric!$B$5+G19*Rubric!$B$6+H19*Rubric!$B$7+I19*Rubric!$B$8+J19*Rubric!$B$9+K19*Rubric!$B$10-IF(OR(G19&lt;Rubric!$B$12,J19&lt;Rubric!$B$12),Rubric!$B$13,0),2)</f>
        <v>8.1</v>
      </c>
      <c r="M19" s="4" t="n">
        <f aca="false">SUMIFS('Revision Log'!$M:$M,'Revision Log'!$N:$N,O19,'Revision Log'!$C:$C,0)</f>
        <v>8.1</v>
      </c>
      <c r="N19" s="16" t="n">
        <f aca="false">L19-M19</f>
        <v>0</v>
      </c>
      <c r="O19" s="14" t="n">
        <v>32</v>
      </c>
    </row>
    <row r="20" customFormat="false" ht="23.85" hidden="false" customHeight="false" outlineLevel="0" collapsed="false">
      <c r="A20" s="2" t="s">
        <v>24</v>
      </c>
      <c r="B20" s="2" t="s">
        <v>25</v>
      </c>
      <c r="C20" s="14" t="n">
        <v>4</v>
      </c>
      <c r="D20" s="2" t="s">
        <v>328</v>
      </c>
      <c r="E20" s="15" t="n">
        <v>8</v>
      </c>
      <c r="F20" s="15" t="n">
        <v>8</v>
      </c>
      <c r="G20" s="15" t="n">
        <v>8</v>
      </c>
      <c r="H20" s="15" t="n">
        <v>3</v>
      </c>
      <c r="I20" s="15" t="n">
        <v>8</v>
      </c>
      <c r="J20" s="15" t="n">
        <v>8</v>
      </c>
      <c r="K20" s="15" t="n">
        <v>7</v>
      </c>
      <c r="L20" s="4" t="n">
        <f aca="false">ROUND(E20*Rubric!$B$4+F20*Rubric!$B$5+G20*Rubric!$B$6+H20*Rubric!$B$7+I20*Rubric!$B$8+J20*Rubric!$B$9+K20*Rubric!$B$10-IF(OR(G20&lt;Rubric!$B$12,J20&lt;Rubric!$B$12),Rubric!$B$13,0),2)</f>
        <v>7.4</v>
      </c>
      <c r="M20" s="4" t="n">
        <f aca="false">SUMIFS('Revision Log'!$M:$M,'Revision Log'!$N:$N,O20,'Revision Log'!$C:$C,0)</f>
        <v>7.2</v>
      </c>
      <c r="N20" s="16" t="n">
        <f aca="false">L20-M20</f>
        <v>0.2</v>
      </c>
      <c r="O20" s="14" t="n">
        <v>33</v>
      </c>
    </row>
    <row r="21" customFormat="false" ht="23.85" hidden="false" customHeight="false" outlineLevel="0" collapsed="false">
      <c r="A21" s="2" t="s">
        <v>24</v>
      </c>
      <c r="B21" s="2" t="s">
        <v>25</v>
      </c>
      <c r="C21" s="14" t="n">
        <v>5</v>
      </c>
      <c r="D21" s="2" t="s">
        <v>329</v>
      </c>
      <c r="E21" s="15" t="n">
        <v>8</v>
      </c>
      <c r="F21" s="15" t="n">
        <v>8</v>
      </c>
      <c r="G21" s="15" t="n">
        <v>7</v>
      </c>
      <c r="H21" s="15" t="n">
        <v>9</v>
      </c>
      <c r="I21" s="15" t="n">
        <v>8</v>
      </c>
      <c r="J21" s="15" t="n">
        <v>8</v>
      </c>
      <c r="K21" s="15" t="n">
        <v>9</v>
      </c>
      <c r="L21" s="4" t="n">
        <f aca="false">ROUND(E21*Rubric!$B$4+F21*Rubric!$B$5+G21*Rubric!$B$6+H21*Rubric!$B$7+I21*Rubric!$B$8+J21*Rubric!$B$9+K21*Rubric!$B$10-IF(OR(G21&lt;Rubric!$B$12,J21&lt;Rubric!$B$12),Rubric!$B$13,0),2)</f>
        <v>8</v>
      </c>
      <c r="M21" s="4" t="n">
        <f aca="false">SUMIFS('Revision Log'!$M:$M,'Revision Log'!$N:$N,O21,'Revision Log'!$C:$C,0)</f>
        <v>8</v>
      </c>
      <c r="N21" s="16" t="n">
        <f aca="false">L21-M21</f>
        <v>0</v>
      </c>
      <c r="O21" s="14" t="n">
        <v>34</v>
      </c>
    </row>
    <row r="22" customFormat="false" ht="23.85" hidden="false" customHeight="false" outlineLevel="0" collapsed="false">
      <c r="A22" s="2" t="s">
        <v>24</v>
      </c>
      <c r="B22" s="2" t="s">
        <v>29</v>
      </c>
      <c r="C22" s="14" t="n">
        <v>1</v>
      </c>
      <c r="D22" s="2" t="s">
        <v>330</v>
      </c>
      <c r="E22" s="15" t="n">
        <v>9</v>
      </c>
      <c r="F22" s="15" t="n">
        <v>8</v>
      </c>
      <c r="G22" s="15" t="n">
        <v>8</v>
      </c>
      <c r="H22" s="15" t="n">
        <v>3</v>
      </c>
      <c r="I22" s="15" t="n">
        <v>8</v>
      </c>
      <c r="J22" s="15" t="n">
        <v>8</v>
      </c>
      <c r="K22" s="15" t="n">
        <v>7</v>
      </c>
      <c r="L22" s="4" t="n">
        <f aca="false">ROUND(E22*Rubric!$B$4+F22*Rubric!$B$5+G22*Rubric!$B$6+H22*Rubric!$B$7+I22*Rubric!$B$8+J22*Rubric!$B$9+K22*Rubric!$B$10-IF(OR(G22&lt;Rubric!$B$12,J22&lt;Rubric!$B$12),Rubric!$B$13,0),2)</f>
        <v>7.5</v>
      </c>
      <c r="M22" s="4" t="n">
        <f aca="false">SUMIFS('Revision Log'!$M:$M,'Revision Log'!$N:$N,O22,'Revision Log'!$C:$C,0)</f>
        <v>6.95</v>
      </c>
      <c r="N22" s="16" t="n">
        <f aca="false">L22-M22</f>
        <v>0.55</v>
      </c>
      <c r="O22" s="14" t="n">
        <v>40</v>
      </c>
    </row>
    <row r="23" customFormat="false" ht="23.85" hidden="false" customHeight="false" outlineLevel="0" collapsed="false">
      <c r="A23" s="2" t="s">
        <v>24</v>
      </c>
      <c r="B23" s="2" t="s">
        <v>29</v>
      </c>
      <c r="C23" s="14" t="n">
        <v>2</v>
      </c>
      <c r="D23" s="2" t="s">
        <v>331</v>
      </c>
      <c r="E23" s="15" t="n">
        <v>8</v>
      </c>
      <c r="F23" s="15" t="n">
        <v>8</v>
      </c>
      <c r="G23" s="15" t="n">
        <v>8</v>
      </c>
      <c r="H23" s="15" t="n">
        <v>3</v>
      </c>
      <c r="I23" s="15" t="n">
        <v>7</v>
      </c>
      <c r="J23" s="15" t="n">
        <v>8</v>
      </c>
      <c r="K23" s="15" t="n">
        <v>8</v>
      </c>
      <c r="L23" s="4" t="n">
        <f aca="false">ROUND(E23*Rubric!$B$4+F23*Rubric!$B$5+G23*Rubric!$B$6+H23*Rubric!$B$7+I23*Rubric!$B$8+J23*Rubric!$B$9+K23*Rubric!$B$10-IF(OR(G23&lt;Rubric!$B$12,J23&lt;Rubric!$B$12),Rubric!$B$13,0),2)</f>
        <v>7.35</v>
      </c>
      <c r="M23" s="4" t="n">
        <f aca="false">SUMIFS('Revision Log'!$M:$M,'Revision Log'!$N:$N,O23,'Revision Log'!$C:$C,0)</f>
        <v>5.35</v>
      </c>
      <c r="N23" s="16" t="n">
        <f aca="false">L23-M23</f>
        <v>2</v>
      </c>
      <c r="O23" s="14" t="n">
        <v>41</v>
      </c>
    </row>
    <row r="24" customFormat="false" ht="23.85" hidden="false" customHeight="false" outlineLevel="0" collapsed="false">
      <c r="A24" s="2" t="s">
        <v>24</v>
      </c>
      <c r="B24" s="2" t="s">
        <v>29</v>
      </c>
      <c r="C24" s="14" t="n">
        <v>3</v>
      </c>
      <c r="D24" s="2" t="s">
        <v>332</v>
      </c>
      <c r="E24" s="15" t="n">
        <v>9</v>
      </c>
      <c r="F24" s="15" t="n">
        <v>8</v>
      </c>
      <c r="G24" s="15" t="n">
        <v>7</v>
      </c>
      <c r="H24" s="15" t="n">
        <v>4</v>
      </c>
      <c r="I24" s="15" t="n">
        <v>8</v>
      </c>
      <c r="J24" s="15" t="n">
        <v>7</v>
      </c>
      <c r="K24" s="15" t="n">
        <v>7</v>
      </c>
      <c r="L24" s="4" t="n">
        <f aca="false">ROUND(E24*Rubric!$B$4+F24*Rubric!$B$5+G24*Rubric!$B$6+H24*Rubric!$B$7+I24*Rubric!$B$8+J24*Rubric!$B$9+K24*Rubric!$B$10-IF(OR(G24&lt;Rubric!$B$12,J24&lt;Rubric!$B$12),Rubric!$B$13,0),2)</f>
        <v>7.25</v>
      </c>
      <c r="M24" s="4" t="n">
        <f aca="false">SUMIFS('Revision Log'!$M:$M,'Revision Log'!$N:$N,O24,'Revision Log'!$C:$C,0)</f>
        <v>7.05</v>
      </c>
      <c r="N24" s="16" t="n">
        <f aca="false">L24-M24</f>
        <v>0.2</v>
      </c>
      <c r="O24" s="14" t="n">
        <v>42</v>
      </c>
    </row>
    <row r="25" customFormat="false" ht="23.85" hidden="false" customHeight="false" outlineLevel="0" collapsed="false">
      <c r="A25" s="2" t="s">
        <v>24</v>
      </c>
      <c r="B25" s="2" t="s">
        <v>29</v>
      </c>
      <c r="C25" s="14" t="n">
        <v>4</v>
      </c>
      <c r="D25" s="2" t="s">
        <v>333</v>
      </c>
      <c r="E25" s="15" t="n">
        <v>8</v>
      </c>
      <c r="F25" s="15" t="n">
        <v>8</v>
      </c>
      <c r="G25" s="15" t="n">
        <v>8</v>
      </c>
      <c r="H25" s="15" t="n">
        <v>3</v>
      </c>
      <c r="I25" s="15" t="n">
        <v>8</v>
      </c>
      <c r="J25" s="15" t="n">
        <v>8</v>
      </c>
      <c r="K25" s="15" t="n">
        <v>7</v>
      </c>
      <c r="L25" s="4" t="n">
        <f aca="false">ROUND(E25*Rubric!$B$4+F25*Rubric!$B$5+G25*Rubric!$B$6+H25*Rubric!$B$7+I25*Rubric!$B$8+J25*Rubric!$B$9+K25*Rubric!$B$10-IF(OR(G25&lt;Rubric!$B$12,J25&lt;Rubric!$B$12),Rubric!$B$13,0),2)</f>
        <v>7.4</v>
      </c>
      <c r="M25" s="4" t="n">
        <f aca="false">SUMIFS('Revision Log'!$M:$M,'Revision Log'!$N:$N,O25,'Revision Log'!$C:$C,0)</f>
        <v>7.3</v>
      </c>
      <c r="N25" s="16" t="n">
        <f aca="false">L25-M25</f>
        <v>0.100000000000001</v>
      </c>
      <c r="O25" s="14" t="n">
        <v>43</v>
      </c>
    </row>
    <row r="26" customFormat="false" ht="23.85" hidden="false" customHeight="false" outlineLevel="0" collapsed="false">
      <c r="A26" s="2" t="s">
        <v>24</v>
      </c>
      <c r="B26" s="2" t="s">
        <v>29</v>
      </c>
      <c r="C26" s="14" t="n">
        <v>5</v>
      </c>
      <c r="D26" s="2" t="s">
        <v>334</v>
      </c>
      <c r="E26" s="15" t="n">
        <v>8</v>
      </c>
      <c r="F26" s="15" t="n">
        <v>8</v>
      </c>
      <c r="G26" s="15" t="n">
        <v>8</v>
      </c>
      <c r="H26" s="15" t="n">
        <v>8</v>
      </c>
      <c r="I26" s="15" t="n">
        <v>7</v>
      </c>
      <c r="J26" s="15" t="n">
        <v>7</v>
      </c>
      <c r="K26" s="15" t="n">
        <v>8</v>
      </c>
      <c r="L26" s="4" t="n">
        <f aca="false">ROUND(E26*Rubric!$B$4+F26*Rubric!$B$5+G26*Rubric!$B$6+H26*Rubric!$B$7+I26*Rubric!$B$8+J26*Rubric!$B$9+K26*Rubric!$B$10-IF(OR(G26&lt;Rubric!$B$12,J26&lt;Rubric!$B$12),Rubric!$B$13,0),2)</f>
        <v>7.7</v>
      </c>
      <c r="M26" s="4" t="n">
        <f aca="false">SUMIFS('Revision Log'!$M:$M,'Revision Log'!$N:$N,O26,'Revision Log'!$C:$C,0)</f>
        <v>7.35</v>
      </c>
      <c r="N26" s="16" t="n">
        <f aca="false">L26-M26</f>
        <v>0.350000000000001</v>
      </c>
      <c r="O26" s="14" t="n">
        <v>44</v>
      </c>
    </row>
    <row r="27" customFormat="false" ht="23.85" hidden="false" customHeight="false" outlineLevel="0" collapsed="false">
      <c r="A27" s="2" t="s">
        <v>33</v>
      </c>
      <c r="B27" s="2" t="s">
        <v>34</v>
      </c>
      <c r="C27" s="14" t="n">
        <v>1</v>
      </c>
      <c r="D27" s="2" t="s">
        <v>335</v>
      </c>
      <c r="E27" s="15" t="n">
        <v>9</v>
      </c>
      <c r="F27" s="15" t="n">
        <v>8</v>
      </c>
      <c r="G27" s="15" t="n">
        <v>8</v>
      </c>
      <c r="H27" s="15" t="n">
        <v>4</v>
      </c>
      <c r="I27" s="15" t="n">
        <v>8</v>
      </c>
      <c r="J27" s="15" t="n">
        <v>8</v>
      </c>
      <c r="K27" s="15" t="n">
        <v>7</v>
      </c>
      <c r="L27" s="4" t="n">
        <f aca="false">ROUND(E27*Rubric!$B$4+F27*Rubric!$B$5+G27*Rubric!$B$6+H27*Rubric!$B$7+I27*Rubric!$B$8+J27*Rubric!$B$9+K27*Rubric!$B$10-IF(OR(G27&lt;Rubric!$B$12,J27&lt;Rubric!$B$12),Rubric!$B$13,0),2)</f>
        <v>7.6</v>
      </c>
      <c r="M27" s="4" t="n">
        <f aca="false">SUMIFS('Revision Log'!$M:$M,'Revision Log'!$N:$N,O27,'Revision Log'!$C:$C,0)</f>
        <v>7.5</v>
      </c>
      <c r="N27" s="16" t="n">
        <f aca="false">L27-M27</f>
        <v>0.0999999999999996</v>
      </c>
      <c r="O27" s="14" t="n">
        <v>50</v>
      </c>
    </row>
    <row r="28" customFormat="false" ht="23.85" hidden="false" customHeight="false" outlineLevel="0" collapsed="false">
      <c r="A28" s="2" t="s">
        <v>33</v>
      </c>
      <c r="B28" s="2" t="s">
        <v>34</v>
      </c>
      <c r="C28" s="14" t="n">
        <v>2</v>
      </c>
      <c r="D28" s="2" t="s">
        <v>336</v>
      </c>
      <c r="E28" s="15" t="n">
        <v>9</v>
      </c>
      <c r="F28" s="15" t="n">
        <v>9</v>
      </c>
      <c r="G28" s="15" t="n">
        <v>7</v>
      </c>
      <c r="H28" s="15" t="n">
        <v>3</v>
      </c>
      <c r="I28" s="15" t="n">
        <v>9</v>
      </c>
      <c r="J28" s="15" t="n">
        <v>8</v>
      </c>
      <c r="K28" s="15" t="n">
        <v>8</v>
      </c>
      <c r="L28" s="4" t="n">
        <f aca="false">ROUND(E28*Rubric!$B$4+F28*Rubric!$B$5+G28*Rubric!$B$6+H28*Rubric!$B$7+I28*Rubric!$B$8+J28*Rubric!$B$9+K28*Rubric!$B$10-IF(OR(G28&lt;Rubric!$B$12,J28&lt;Rubric!$B$12),Rubric!$B$13,0),2)</f>
        <v>7.75</v>
      </c>
      <c r="M28" s="4" t="n">
        <f aca="false">SUMIFS('Revision Log'!$M:$M,'Revision Log'!$N:$N,O28,'Revision Log'!$C:$C,0)</f>
        <v>7.75</v>
      </c>
      <c r="N28" s="16" t="n">
        <f aca="false">L28-M28</f>
        <v>0</v>
      </c>
      <c r="O28" s="14" t="n">
        <v>51</v>
      </c>
    </row>
    <row r="29" customFormat="false" ht="23.85" hidden="false" customHeight="false" outlineLevel="0" collapsed="false">
      <c r="A29" s="2" t="s">
        <v>33</v>
      </c>
      <c r="B29" s="2" t="s">
        <v>34</v>
      </c>
      <c r="C29" s="14" t="n">
        <v>3</v>
      </c>
      <c r="D29" s="2" t="s">
        <v>337</v>
      </c>
      <c r="E29" s="15" t="n">
        <v>9</v>
      </c>
      <c r="F29" s="15" t="n">
        <v>8</v>
      </c>
      <c r="G29" s="15" t="n">
        <v>8</v>
      </c>
      <c r="H29" s="15" t="n">
        <v>3</v>
      </c>
      <c r="I29" s="15" t="n">
        <v>8</v>
      </c>
      <c r="J29" s="15" t="n">
        <v>8</v>
      </c>
      <c r="K29" s="15" t="n">
        <v>7</v>
      </c>
      <c r="L29" s="4" t="n">
        <f aca="false">ROUND(E29*Rubric!$B$4+F29*Rubric!$B$5+G29*Rubric!$B$6+H29*Rubric!$B$7+I29*Rubric!$B$8+J29*Rubric!$B$9+K29*Rubric!$B$10-IF(OR(G29&lt;Rubric!$B$12,J29&lt;Rubric!$B$12),Rubric!$B$13,0),2)</f>
        <v>7.5</v>
      </c>
      <c r="M29" s="4" t="n">
        <f aca="false">SUMIFS('Revision Log'!$M:$M,'Revision Log'!$N:$N,O29,'Revision Log'!$C:$C,0)</f>
        <v>7.15</v>
      </c>
      <c r="N29" s="16" t="n">
        <f aca="false">L29-M29</f>
        <v>0.35</v>
      </c>
      <c r="O29" s="14" t="n">
        <v>52</v>
      </c>
    </row>
    <row r="30" customFormat="false" ht="23.85" hidden="false" customHeight="false" outlineLevel="0" collapsed="false">
      <c r="A30" s="2" t="s">
        <v>33</v>
      </c>
      <c r="B30" s="2" t="s">
        <v>34</v>
      </c>
      <c r="C30" s="14" t="n">
        <v>4</v>
      </c>
      <c r="D30" s="2" t="s">
        <v>338</v>
      </c>
      <c r="E30" s="15" t="n">
        <v>8</v>
      </c>
      <c r="F30" s="15" t="n">
        <v>8</v>
      </c>
      <c r="G30" s="15" t="n">
        <v>7</v>
      </c>
      <c r="H30" s="15" t="n">
        <v>10</v>
      </c>
      <c r="I30" s="15" t="n">
        <v>9</v>
      </c>
      <c r="J30" s="15" t="n">
        <v>7</v>
      </c>
      <c r="K30" s="15" t="n">
        <v>9</v>
      </c>
      <c r="L30" s="4" t="n">
        <f aca="false">ROUND(E30*Rubric!$B$4+F30*Rubric!$B$5+G30*Rubric!$B$6+H30*Rubric!$B$7+I30*Rubric!$B$8+J30*Rubric!$B$9+K30*Rubric!$B$10-IF(OR(G30&lt;Rubric!$B$12,J30&lt;Rubric!$B$12),Rubric!$B$13,0),2)</f>
        <v>8.1</v>
      </c>
      <c r="M30" s="4" t="n">
        <f aca="false">SUMIFS('Revision Log'!$M:$M,'Revision Log'!$N:$N,O30,'Revision Log'!$C:$C,0)</f>
        <v>6.75</v>
      </c>
      <c r="N30" s="16" t="n">
        <f aca="false">L30-M30</f>
        <v>1.35</v>
      </c>
      <c r="O30" s="14" t="n">
        <v>53</v>
      </c>
    </row>
    <row r="31" customFormat="false" ht="23.85" hidden="false" customHeight="false" outlineLevel="0" collapsed="false">
      <c r="A31" s="2" t="s">
        <v>33</v>
      </c>
      <c r="B31" s="2" t="s">
        <v>34</v>
      </c>
      <c r="C31" s="14" t="n">
        <v>5</v>
      </c>
      <c r="D31" s="2" t="s">
        <v>339</v>
      </c>
      <c r="E31" s="15" t="n">
        <v>9</v>
      </c>
      <c r="F31" s="15" t="n">
        <v>8</v>
      </c>
      <c r="G31" s="15" t="n">
        <v>8</v>
      </c>
      <c r="H31" s="15" t="n">
        <v>3</v>
      </c>
      <c r="I31" s="15" t="n">
        <v>8</v>
      </c>
      <c r="J31" s="15" t="n">
        <v>8</v>
      </c>
      <c r="K31" s="15" t="n">
        <v>7</v>
      </c>
      <c r="L31" s="4" t="n">
        <f aca="false">ROUND(E31*Rubric!$B$4+F31*Rubric!$B$5+G31*Rubric!$B$6+H31*Rubric!$B$7+I31*Rubric!$B$8+J31*Rubric!$B$9+K31*Rubric!$B$10-IF(OR(G31&lt;Rubric!$B$12,J31&lt;Rubric!$B$12),Rubric!$B$13,0),2)</f>
        <v>7.5</v>
      </c>
      <c r="M31" s="4" t="n">
        <f aca="false">SUMIFS('Revision Log'!$M:$M,'Revision Log'!$N:$N,O31,'Revision Log'!$C:$C,0)</f>
        <v>6.6</v>
      </c>
      <c r="N31" s="16" t="n">
        <f aca="false">L31-M31</f>
        <v>0.9</v>
      </c>
      <c r="O31" s="14" t="n">
        <v>54</v>
      </c>
    </row>
    <row r="32" customFormat="false" ht="23.85" hidden="false" customHeight="false" outlineLevel="0" collapsed="false">
      <c r="A32" s="2" t="s">
        <v>38</v>
      </c>
      <c r="B32" s="2" t="s">
        <v>39</v>
      </c>
      <c r="C32" s="14" t="n">
        <v>1</v>
      </c>
      <c r="D32" s="2" t="s">
        <v>340</v>
      </c>
      <c r="E32" s="15" t="n">
        <v>9</v>
      </c>
      <c r="F32" s="15" t="n">
        <v>8</v>
      </c>
      <c r="G32" s="15" t="n">
        <v>8</v>
      </c>
      <c r="H32" s="15" t="n">
        <v>3</v>
      </c>
      <c r="I32" s="15" t="n">
        <v>8</v>
      </c>
      <c r="J32" s="15" t="n">
        <v>8</v>
      </c>
      <c r="K32" s="15" t="n">
        <v>8</v>
      </c>
      <c r="L32" s="4" t="n">
        <f aca="false">ROUND(E32*Rubric!$B$4+F32*Rubric!$B$5+G32*Rubric!$B$6+H32*Rubric!$B$7+I32*Rubric!$B$8+J32*Rubric!$B$9+K32*Rubric!$B$10-IF(OR(G32&lt;Rubric!$B$12,J32&lt;Rubric!$B$12),Rubric!$B$13,0),2)</f>
        <v>7.6</v>
      </c>
      <c r="M32" s="4" t="n">
        <f aca="false">SUMIFS('Revision Log'!$M:$M,'Revision Log'!$N:$N,O32,'Revision Log'!$C:$C,0)</f>
        <v>5.3</v>
      </c>
      <c r="N32" s="16" t="n">
        <f aca="false">L32-M32</f>
        <v>2.3</v>
      </c>
      <c r="O32" s="14" t="n">
        <v>60</v>
      </c>
    </row>
    <row r="33" customFormat="false" ht="23.85" hidden="false" customHeight="false" outlineLevel="0" collapsed="false">
      <c r="A33" s="2" t="s">
        <v>38</v>
      </c>
      <c r="B33" s="2" t="s">
        <v>39</v>
      </c>
      <c r="C33" s="14" t="n">
        <v>2</v>
      </c>
      <c r="D33" s="2" t="s">
        <v>341</v>
      </c>
      <c r="E33" s="15" t="n">
        <v>9</v>
      </c>
      <c r="F33" s="15" t="n">
        <v>9</v>
      </c>
      <c r="G33" s="15" t="n">
        <v>7</v>
      </c>
      <c r="H33" s="15" t="n">
        <v>3</v>
      </c>
      <c r="I33" s="15" t="n">
        <v>9</v>
      </c>
      <c r="J33" s="15" t="n">
        <v>7</v>
      </c>
      <c r="K33" s="15" t="n">
        <v>8</v>
      </c>
      <c r="L33" s="4" t="n">
        <f aca="false">ROUND(E33*Rubric!$B$4+F33*Rubric!$B$5+G33*Rubric!$B$6+H33*Rubric!$B$7+I33*Rubric!$B$8+J33*Rubric!$B$9+K33*Rubric!$B$10-IF(OR(G33&lt;Rubric!$B$12,J33&lt;Rubric!$B$12),Rubric!$B$13,0),2)</f>
        <v>7.6</v>
      </c>
      <c r="M33" s="4" t="n">
        <f aca="false">SUMIFS('Revision Log'!$M:$M,'Revision Log'!$N:$N,O33,'Revision Log'!$C:$C,0)</f>
        <v>7.5</v>
      </c>
      <c r="N33" s="16" t="n">
        <f aca="false">L33-M33</f>
        <v>0.0999999999999996</v>
      </c>
      <c r="O33" s="14" t="n">
        <v>61</v>
      </c>
    </row>
    <row r="34" customFormat="false" ht="23.85" hidden="false" customHeight="false" outlineLevel="0" collapsed="false">
      <c r="A34" s="2" t="s">
        <v>38</v>
      </c>
      <c r="B34" s="2" t="s">
        <v>39</v>
      </c>
      <c r="C34" s="14" t="n">
        <v>3</v>
      </c>
      <c r="D34" s="2" t="s">
        <v>342</v>
      </c>
      <c r="E34" s="15" t="n">
        <v>9</v>
      </c>
      <c r="F34" s="15" t="n">
        <v>8</v>
      </c>
      <c r="G34" s="15" t="n">
        <v>8</v>
      </c>
      <c r="H34" s="15" t="n">
        <v>3</v>
      </c>
      <c r="I34" s="15" t="n">
        <v>8</v>
      </c>
      <c r="J34" s="15" t="n">
        <v>8</v>
      </c>
      <c r="K34" s="15" t="n">
        <v>8</v>
      </c>
      <c r="L34" s="4" t="n">
        <f aca="false">ROUND(E34*Rubric!$B$4+F34*Rubric!$B$5+G34*Rubric!$B$6+H34*Rubric!$B$7+I34*Rubric!$B$8+J34*Rubric!$B$9+K34*Rubric!$B$10-IF(OR(G34&lt;Rubric!$B$12,J34&lt;Rubric!$B$12),Rubric!$B$13,0),2)</f>
        <v>7.6</v>
      </c>
      <c r="M34" s="4" t="n">
        <f aca="false">SUMIFS('Revision Log'!$M:$M,'Revision Log'!$N:$N,O34,'Revision Log'!$C:$C,0)</f>
        <v>7.6</v>
      </c>
      <c r="N34" s="16" t="n">
        <f aca="false">L34-M34</f>
        <v>0</v>
      </c>
      <c r="O34" s="14" t="n">
        <v>62</v>
      </c>
    </row>
    <row r="35" customFormat="false" ht="23.85" hidden="false" customHeight="false" outlineLevel="0" collapsed="false">
      <c r="A35" s="2" t="s">
        <v>38</v>
      </c>
      <c r="B35" s="2" t="s">
        <v>39</v>
      </c>
      <c r="C35" s="14" t="n">
        <v>4</v>
      </c>
      <c r="D35" s="2" t="s">
        <v>343</v>
      </c>
      <c r="E35" s="15" t="n">
        <v>9</v>
      </c>
      <c r="F35" s="15" t="n">
        <v>8</v>
      </c>
      <c r="G35" s="15" t="n">
        <v>8</v>
      </c>
      <c r="H35" s="15" t="n">
        <v>3</v>
      </c>
      <c r="I35" s="15" t="n">
        <v>8</v>
      </c>
      <c r="J35" s="15" t="n">
        <v>8</v>
      </c>
      <c r="K35" s="15" t="n">
        <v>7</v>
      </c>
      <c r="L35" s="4" t="n">
        <f aca="false">ROUND(E35*Rubric!$B$4+F35*Rubric!$B$5+G35*Rubric!$B$6+H35*Rubric!$B$7+I35*Rubric!$B$8+J35*Rubric!$B$9+K35*Rubric!$B$10-IF(OR(G35&lt;Rubric!$B$12,J35&lt;Rubric!$B$12),Rubric!$B$13,0),2)</f>
        <v>7.5</v>
      </c>
      <c r="M35" s="4" t="n">
        <f aca="false">SUMIFS('Revision Log'!$M:$M,'Revision Log'!$N:$N,O35,'Revision Log'!$C:$C,0)</f>
        <v>6.8</v>
      </c>
      <c r="N35" s="16" t="n">
        <f aca="false">L35-M35</f>
        <v>0.7</v>
      </c>
      <c r="O35" s="14" t="n">
        <v>63</v>
      </c>
    </row>
    <row r="36" customFormat="false" ht="23.85" hidden="false" customHeight="false" outlineLevel="0" collapsed="false">
      <c r="A36" s="2" t="s">
        <v>38</v>
      </c>
      <c r="B36" s="2" t="s">
        <v>39</v>
      </c>
      <c r="C36" s="14" t="n">
        <v>5</v>
      </c>
      <c r="D36" s="2" t="s">
        <v>344</v>
      </c>
      <c r="E36" s="15" t="n">
        <v>8</v>
      </c>
      <c r="F36" s="15" t="n">
        <v>7</v>
      </c>
      <c r="G36" s="15" t="n">
        <v>8</v>
      </c>
      <c r="H36" s="15" t="n">
        <v>8</v>
      </c>
      <c r="I36" s="15" t="n">
        <v>7</v>
      </c>
      <c r="J36" s="15" t="n">
        <v>8</v>
      </c>
      <c r="K36" s="15" t="n">
        <v>8</v>
      </c>
      <c r="L36" s="4" t="n">
        <f aca="false">ROUND(E36*Rubric!$B$4+F36*Rubric!$B$5+G36*Rubric!$B$6+H36*Rubric!$B$7+I36*Rubric!$B$8+J36*Rubric!$B$9+K36*Rubric!$B$10-IF(OR(G36&lt;Rubric!$B$12,J36&lt;Rubric!$B$12),Rubric!$B$13,0),2)</f>
        <v>7.65</v>
      </c>
      <c r="M36" s="4" t="n">
        <f aca="false">SUMIFS('Revision Log'!$M:$M,'Revision Log'!$N:$N,O36,'Revision Log'!$C:$C,0)</f>
        <v>7.05</v>
      </c>
      <c r="N36" s="16" t="n">
        <f aca="false">L36-M36</f>
        <v>0.600000000000001</v>
      </c>
      <c r="O36" s="14" t="n">
        <v>64</v>
      </c>
    </row>
    <row r="37" customFormat="false" ht="23.85" hidden="false" customHeight="false" outlineLevel="0" collapsed="false">
      <c r="A37" s="2" t="s">
        <v>43</v>
      </c>
      <c r="B37" s="2" t="s">
        <v>44</v>
      </c>
      <c r="C37" s="14" t="n">
        <v>1</v>
      </c>
      <c r="D37" s="2" t="s">
        <v>345</v>
      </c>
      <c r="E37" s="15" t="n">
        <v>9</v>
      </c>
      <c r="F37" s="15" t="n">
        <v>9</v>
      </c>
      <c r="G37" s="15" t="n">
        <v>8</v>
      </c>
      <c r="H37" s="15" t="n">
        <v>3</v>
      </c>
      <c r="I37" s="15" t="n">
        <v>9</v>
      </c>
      <c r="J37" s="15" t="n">
        <v>8</v>
      </c>
      <c r="K37" s="15" t="n">
        <v>9</v>
      </c>
      <c r="L37" s="4" t="n">
        <f aca="false">ROUND(E37*Rubric!$B$4+F37*Rubric!$B$5+G37*Rubric!$B$6+H37*Rubric!$B$7+I37*Rubric!$B$8+J37*Rubric!$B$9+K37*Rubric!$B$10-IF(OR(G37&lt;Rubric!$B$12,J37&lt;Rubric!$B$12),Rubric!$B$13,0),2)</f>
        <v>8.05</v>
      </c>
      <c r="M37" s="4" t="n">
        <f aca="false">SUMIFS('Revision Log'!$M:$M,'Revision Log'!$N:$N,O37,'Revision Log'!$C:$C,0)</f>
        <v>8.05</v>
      </c>
      <c r="N37" s="16" t="n">
        <f aca="false">L37-M37</f>
        <v>0</v>
      </c>
      <c r="O37" s="14" t="n">
        <v>70</v>
      </c>
    </row>
    <row r="38" customFormat="false" ht="23.85" hidden="false" customHeight="false" outlineLevel="0" collapsed="false">
      <c r="A38" s="2" t="s">
        <v>43</v>
      </c>
      <c r="B38" s="2" t="s">
        <v>44</v>
      </c>
      <c r="C38" s="14" t="n">
        <v>2</v>
      </c>
      <c r="D38" s="2" t="s">
        <v>346</v>
      </c>
      <c r="E38" s="15" t="n">
        <v>8</v>
      </c>
      <c r="F38" s="15" t="n">
        <v>9</v>
      </c>
      <c r="G38" s="15" t="n">
        <v>8</v>
      </c>
      <c r="H38" s="15" t="n">
        <v>3</v>
      </c>
      <c r="I38" s="15" t="n">
        <v>9</v>
      </c>
      <c r="J38" s="15" t="n">
        <v>8</v>
      </c>
      <c r="K38" s="15" t="n">
        <v>8</v>
      </c>
      <c r="L38" s="4" t="n">
        <f aca="false">ROUND(E38*Rubric!$B$4+F38*Rubric!$B$5+G38*Rubric!$B$6+H38*Rubric!$B$7+I38*Rubric!$B$8+J38*Rubric!$B$9+K38*Rubric!$B$10-IF(OR(G38&lt;Rubric!$B$12,J38&lt;Rubric!$B$12),Rubric!$B$13,0),2)</f>
        <v>7.85</v>
      </c>
      <c r="M38" s="4" t="n">
        <f aca="false">SUMIFS('Revision Log'!$M:$M,'Revision Log'!$N:$N,O38,'Revision Log'!$C:$C,0)</f>
        <v>7.85</v>
      </c>
      <c r="N38" s="16" t="n">
        <f aca="false">L38-M38</f>
        <v>0</v>
      </c>
      <c r="O38" s="14" t="n">
        <v>71</v>
      </c>
    </row>
    <row r="39" customFormat="false" ht="23.85" hidden="false" customHeight="false" outlineLevel="0" collapsed="false">
      <c r="A39" s="2" t="s">
        <v>43</v>
      </c>
      <c r="B39" s="2" t="s">
        <v>44</v>
      </c>
      <c r="C39" s="14" t="n">
        <v>3</v>
      </c>
      <c r="D39" s="2" t="s">
        <v>347</v>
      </c>
      <c r="E39" s="15" t="n">
        <v>8</v>
      </c>
      <c r="F39" s="15" t="n">
        <v>8</v>
      </c>
      <c r="G39" s="15" t="n">
        <v>8</v>
      </c>
      <c r="H39" s="15" t="n">
        <v>3</v>
      </c>
      <c r="I39" s="15" t="n">
        <v>8</v>
      </c>
      <c r="J39" s="15" t="n">
        <v>8</v>
      </c>
      <c r="K39" s="15" t="n">
        <v>8</v>
      </c>
      <c r="L39" s="4" t="n">
        <f aca="false">ROUND(E39*Rubric!$B$4+F39*Rubric!$B$5+G39*Rubric!$B$6+H39*Rubric!$B$7+I39*Rubric!$B$8+J39*Rubric!$B$9+K39*Rubric!$B$10-IF(OR(G39&lt;Rubric!$B$12,J39&lt;Rubric!$B$12),Rubric!$B$13,0),2)</f>
        <v>7.5</v>
      </c>
      <c r="M39" s="4" t="n">
        <f aca="false">SUMIFS('Revision Log'!$M:$M,'Revision Log'!$N:$N,O39,'Revision Log'!$C:$C,0)</f>
        <v>5.2</v>
      </c>
      <c r="N39" s="16" t="n">
        <f aca="false">L39-M39</f>
        <v>2.3</v>
      </c>
      <c r="O39" s="14" t="n">
        <v>72</v>
      </c>
    </row>
    <row r="40" customFormat="false" ht="23.85" hidden="false" customHeight="false" outlineLevel="0" collapsed="false">
      <c r="A40" s="2" t="s">
        <v>43</v>
      </c>
      <c r="B40" s="2" t="s">
        <v>44</v>
      </c>
      <c r="C40" s="14" t="n">
        <v>4</v>
      </c>
      <c r="D40" s="2" t="s">
        <v>348</v>
      </c>
      <c r="E40" s="15" t="n">
        <v>9</v>
      </c>
      <c r="F40" s="15" t="n">
        <v>8</v>
      </c>
      <c r="G40" s="15" t="n">
        <v>8</v>
      </c>
      <c r="H40" s="15" t="n">
        <v>3</v>
      </c>
      <c r="I40" s="15" t="n">
        <v>7</v>
      </c>
      <c r="J40" s="15" t="n">
        <v>8</v>
      </c>
      <c r="K40" s="15" t="n">
        <v>9</v>
      </c>
      <c r="L40" s="4" t="n">
        <f aca="false">ROUND(E40*Rubric!$B$4+F40*Rubric!$B$5+G40*Rubric!$B$6+H40*Rubric!$B$7+I40*Rubric!$B$8+J40*Rubric!$B$9+K40*Rubric!$B$10-IF(OR(G40&lt;Rubric!$B$12,J40&lt;Rubric!$B$12),Rubric!$B$13,0),2)</f>
        <v>7.55</v>
      </c>
      <c r="M40" s="4" t="n">
        <f aca="false">SUMIFS('Revision Log'!$M:$M,'Revision Log'!$N:$N,O40,'Revision Log'!$C:$C,0)</f>
        <v>6.9</v>
      </c>
      <c r="N40" s="16" t="n">
        <f aca="false">L40-M40</f>
        <v>0.65</v>
      </c>
      <c r="O40" s="14" t="n">
        <v>73</v>
      </c>
    </row>
    <row r="41" customFormat="false" ht="23.85" hidden="false" customHeight="false" outlineLevel="0" collapsed="false">
      <c r="A41" s="2" t="s">
        <v>43</v>
      </c>
      <c r="B41" s="2" t="s">
        <v>44</v>
      </c>
      <c r="C41" s="14" t="n">
        <v>5</v>
      </c>
      <c r="D41" s="2" t="s">
        <v>349</v>
      </c>
      <c r="E41" s="15" t="n">
        <v>8</v>
      </c>
      <c r="F41" s="15" t="n">
        <v>8</v>
      </c>
      <c r="G41" s="15" t="n">
        <v>8</v>
      </c>
      <c r="H41" s="15" t="n">
        <v>9</v>
      </c>
      <c r="I41" s="15" t="n">
        <v>8</v>
      </c>
      <c r="J41" s="15" t="n">
        <v>8</v>
      </c>
      <c r="K41" s="15" t="n">
        <v>9</v>
      </c>
      <c r="L41" s="4" t="n">
        <f aca="false">ROUND(E41*Rubric!$B$4+F41*Rubric!$B$5+G41*Rubric!$B$6+H41*Rubric!$B$7+I41*Rubric!$B$8+J41*Rubric!$B$9+K41*Rubric!$B$10-IF(OR(G41&lt;Rubric!$B$12,J41&lt;Rubric!$B$12),Rubric!$B$13,0),2)</f>
        <v>8.2</v>
      </c>
      <c r="M41" s="4" t="n">
        <f aca="false">SUMIFS('Revision Log'!$M:$M,'Revision Log'!$N:$N,O41,'Revision Log'!$C:$C,0)</f>
        <v>8.2</v>
      </c>
      <c r="N41" s="16" t="n">
        <f aca="false">L41-M41</f>
        <v>0</v>
      </c>
      <c r="O41" s="14" t="n">
        <v>74</v>
      </c>
    </row>
    <row r="42" customFormat="false" ht="23.85" hidden="false" customHeight="false" outlineLevel="0" collapsed="false">
      <c r="A42" s="2" t="s">
        <v>48</v>
      </c>
      <c r="B42" s="2" t="s">
        <v>49</v>
      </c>
      <c r="C42" s="14" t="n">
        <v>1</v>
      </c>
      <c r="D42" s="2" t="s">
        <v>350</v>
      </c>
      <c r="E42" s="15" t="n">
        <v>8</v>
      </c>
      <c r="F42" s="15" t="n">
        <v>8</v>
      </c>
      <c r="G42" s="15" t="n">
        <v>7</v>
      </c>
      <c r="H42" s="15" t="n">
        <v>3</v>
      </c>
      <c r="I42" s="15" t="n">
        <v>8</v>
      </c>
      <c r="J42" s="15" t="n">
        <v>7</v>
      </c>
      <c r="K42" s="15" t="n">
        <v>8</v>
      </c>
      <c r="L42" s="4" t="n">
        <f aca="false">ROUND(E42*Rubric!$B$4+F42*Rubric!$B$5+G42*Rubric!$B$6+H42*Rubric!$B$7+I42*Rubric!$B$8+J42*Rubric!$B$9+K42*Rubric!$B$10-IF(OR(G42&lt;Rubric!$B$12,J42&lt;Rubric!$B$12),Rubric!$B$13,0),2)</f>
        <v>7.15</v>
      </c>
      <c r="M42" s="4" t="n">
        <f aca="false">SUMIFS('Revision Log'!$M:$M,'Revision Log'!$N:$N,O42,'Revision Log'!$C:$C,0)</f>
        <v>6.85</v>
      </c>
      <c r="N42" s="16" t="n">
        <f aca="false">L42-M42</f>
        <v>0.300000000000001</v>
      </c>
      <c r="O42" s="14" t="n">
        <v>80</v>
      </c>
    </row>
    <row r="43" customFormat="false" ht="23.85" hidden="false" customHeight="false" outlineLevel="0" collapsed="false">
      <c r="A43" s="2" t="s">
        <v>48</v>
      </c>
      <c r="B43" s="2" t="s">
        <v>49</v>
      </c>
      <c r="C43" s="14" t="n">
        <v>2</v>
      </c>
      <c r="D43" s="2" t="s">
        <v>351</v>
      </c>
      <c r="E43" s="15" t="n">
        <v>8</v>
      </c>
      <c r="F43" s="15" t="n">
        <v>8</v>
      </c>
      <c r="G43" s="15" t="n">
        <v>7</v>
      </c>
      <c r="H43" s="15" t="n">
        <v>9</v>
      </c>
      <c r="I43" s="15" t="n">
        <v>9</v>
      </c>
      <c r="J43" s="15" t="n">
        <v>7</v>
      </c>
      <c r="K43" s="15" t="n">
        <v>9</v>
      </c>
      <c r="L43" s="4" t="n">
        <f aca="false">ROUND(E43*Rubric!$B$4+F43*Rubric!$B$5+G43*Rubric!$B$6+H43*Rubric!$B$7+I43*Rubric!$B$8+J43*Rubric!$B$9+K43*Rubric!$B$10-IF(OR(G43&lt;Rubric!$B$12,J43&lt;Rubric!$B$12),Rubric!$B$13,0),2)</f>
        <v>8</v>
      </c>
      <c r="M43" s="4" t="n">
        <f aca="false">SUMIFS('Revision Log'!$M:$M,'Revision Log'!$N:$N,O43,'Revision Log'!$C:$C,0)</f>
        <v>6.1</v>
      </c>
      <c r="N43" s="16" t="n">
        <f aca="false">L43-M43</f>
        <v>1.9</v>
      </c>
      <c r="O43" s="14" t="n">
        <v>81</v>
      </c>
    </row>
    <row r="44" customFormat="false" ht="23.85" hidden="false" customHeight="false" outlineLevel="0" collapsed="false">
      <c r="A44" s="2" t="s">
        <v>48</v>
      </c>
      <c r="B44" s="2" t="s">
        <v>49</v>
      </c>
      <c r="C44" s="14" t="n">
        <v>3</v>
      </c>
      <c r="D44" s="2" t="s">
        <v>352</v>
      </c>
      <c r="E44" s="15" t="n">
        <v>9</v>
      </c>
      <c r="F44" s="15" t="n">
        <v>9</v>
      </c>
      <c r="G44" s="15" t="n">
        <v>7</v>
      </c>
      <c r="H44" s="15" t="n">
        <v>10</v>
      </c>
      <c r="I44" s="15" t="n">
        <v>10</v>
      </c>
      <c r="J44" s="15" t="n">
        <v>8</v>
      </c>
      <c r="K44" s="15" t="n">
        <v>10</v>
      </c>
      <c r="L44" s="4" t="n">
        <f aca="false">ROUND(E44*Rubric!$B$4+F44*Rubric!$B$5+G44*Rubric!$B$6+H44*Rubric!$B$7+I44*Rubric!$B$8+J44*Rubric!$B$9+K44*Rubric!$B$10-IF(OR(G44&lt;Rubric!$B$12,J44&lt;Rubric!$B$12),Rubric!$B$13,0),2)</f>
        <v>8.8</v>
      </c>
      <c r="M44" s="4" t="n">
        <f aca="false">SUMIFS('Revision Log'!$M:$M,'Revision Log'!$N:$N,O44,'Revision Log'!$C:$C,0)</f>
        <v>8.8</v>
      </c>
      <c r="N44" s="16" t="n">
        <f aca="false">L44-M44</f>
        <v>0</v>
      </c>
      <c r="O44" s="14" t="n">
        <v>82</v>
      </c>
    </row>
    <row r="45" customFormat="false" ht="23.85" hidden="false" customHeight="false" outlineLevel="0" collapsed="false">
      <c r="A45" s="2" t="s">
        <v>48</v>
      </c>
      <c r="B45" s="2" t="s">
        <v>49</v>
      </c>
      <c r="C45" s="14" t="n">
        <v>4</v>
      </c>
      <c r="D45" s="2" t="s">
        <v>353</v>
      </c>
      <c r="E45" s="15" t="n">
        <v>7</v>
      </c>
      <c r="F45" s="15" t="n">
        <v>8</v>
      </c>
      <c r="G45" s="15" t="n">
        <v>8</v>
      </c>
      <c r="H45" s="15" t="n">
        <v>10</v>
      </c>
      <c r="I45" s="15" t="n">
        <v>9</v>
      </c>
      <c r="J45" s="15" t="n">
        <v>8</v>
      </c>
      <c r="K45" s="15" t="n">
        <v>9</v>
      </c>
      <c r="L45" s="4" t="n">
        <f aca="false">ROUND(E45*Rubric!$B$4+F45*Rubric!$B$5+G45*Rubric!$B$6+H45*Rubric!$B$7+I45*Rubric!$B$8+J45*Rubric!$B$9+K45*Rubric!$B$10-IF(OR(G45&lt;Rubric!$B$12,J45&lt;Rubric!$B$12),Rubric!$B$13,0),2)</f>
        <v>8.35</v>
      </c>
      <c r="M45" s="4" t="n">
        <f aca="false">SUMIFS('Revision Log'!$M:$M,'Revision Log'!$N:$N,O45,'Revision Log'!$C:$C,0)</f>
        <v>6.85</v>
      </c>
      <c r="N45" s="16" t="n">
        <f aca="false">L45-M45</f>
        <v>1.5</v>
      </c>
      <c r="O45" s="14" t="n">
        <v>83</v>
      </c>
    </row>
    <row r="46" customFormat="false" ht="23.85" hidden="false" customHeight="false" outlineLevel="0" collapsed="false">
      <c r="A46" s="2" t="s">
        <v>48</v>
      </c>
      <c r="B46" s="2" t="s">
        <v>49</v>
      </c>
      <c r="C46" s="14" t="n">
        <v>5</v>
      </c>
      <c r="D46" s="2" t="s">
        <v>354</v>
      </c>
      <c r="E46" s="15" t="n">
        <v>8</v>
      </c>
      <c r="F46" s="15" t="n">
        <v>9</v>
      </c>
      <c r="G46" s="15" t="n">
        <v>8</v>
      </c>
      <c r="H46" s="15" t="n">
        <v>5</v>
      </c>
      <c r="I46" s="15" t="n">
        <v>9</v>
      </c>
      <c r="J46" s="15" t="n">
        <v>8</v>
      </c>
      <c r="K46" s="15" t="n">
        <v>8</v>
      </c>
      <c r="L46" s="4" t="n">
        <f aca="false">ROUND(E46*Rubric!$B$4+F46*Rubric!$B$5+G46*Rubric!$B$6+H46*Rubric!$B$7+I46*Rubric!$B$8+J46*Rubric!$B$9+K46*Rubric!$B$10-IF(OR(G46&lt;Rubric!$B$12,J46&lt;Rubric!$B$12),Rubric!$B$13,0),2)</f>
        <v>8.05</v>
      </c>
      <c r="M46" s="4" t="n">
        <f aca="false">SUMIFS('Revision Log'!$M:$M,'Revision Log'!$N:$N,O46,'Revision Log'!$C:$C,0)</f>
        <v>7.3</v>
      </c>
      <c r="N46" s="16" t="n">
        <f aca="false">L46-M46</f>
        <v>0.750000000000001</v>
      </c>
      <c r="O46" s="14" t="n">
        <v>84</v>
      </c>
    </row>
    <row r="47" customFormat="false" ht="23.85" hidden="false" customHeight="false" outlineLevel="0" collapsed="false">
      <c r="A47" s="2" t="s">
        <v>53</v>
      </c>
      <c r="B47" s="2" t="s">
        <v>54</v>
      </c>
      <c r="C47" s="14" t="n">
        <v>1</v>
      </c>
      <c r="D47" s="2" t="s">
        <v>355</v>
      </c>
      <c r="E47" s="15" t="n">
        <v>9</v>
      </c>
      <c r="F47" s="15" t="n">
        <v>9</v>
      </c>
      <c r="G47" s="15" t="n">
        <v>7</v>
      </c>
      <c r="H47" s="15" t="n">
        <v>4</v>
      </c>
      <c r="I47" s="15" t="n">
        <v>8</v>
      </c>
      <c r="J47" s="15" t="n">
        <v>7</v>
      </c>
      <c r="K47" s="15" t="n">
        <v>8</v>
      </c>
      <c r="L47" s="4" t="n">
        <f aca="false">ROUND(E47*Rubric!$B$4+F47*Rubric!$B$5+G47*Rubric!$B$6+H47*Rubric!$B$7+I47*Rubric!$B$8+J47*Rubric!$B$9+K47*Rubric!$B$10-IF(OR(G47&lt;Rubric!$B$12,J47&lt;Rubric!$B$12),Rubric!$B$13,0),2)</f>
        <v>7.55</v>
      </c>
      <c r="M47" s="4" t="n">
        <f aca="false">SUMIFS('Revision Log'!$M:$M,'Revision Log'!$N:$N,O47,'Revision Log'!$C:$C,0)</f>
        <v>7.55</v>
      </c>
      <c r="N47" s="16" t="n">
        <f aca="false">L47-M47</f>
        <v>0</v>
      </c>
      <c r="O47" s="14" t="n">
        <v>90</v>
      </c>
    </row>
    <row r="48" customFormat="false" ht="23.85" hidden="false" customHeight="false" outlineLevel="0" collapsed="false">
      <c r="A48" s="2" t="s">
        <v>53</v>
      </c>
      <c r="B48" s="2" t="s">
        <v>54</v>
      </c>
      <c r="C48" s="14" t="n">
        <v>2</v>
      </c>
      <c r="D48" s="2" t="s">
        <v>356</v>
      </c>
      <c r="E48" s="15" t="n">
        <v>7</v>
      </c>
      <c r="F48" s="15" t="n">
        <v>8</v>
      </c>
      <c r="G48" s="15" t="n">
        <v>8</v>
      </c>
      <c r="H48" s="15" t="n">
        <v>7</v>
      </c>
      <c r="I48" s="15" t="n">
        <v>8</v>
      </c>
      <c r="J48" s="15" t="n">
        <v>8</v>
      </c>
      <c r="K48" s="15" t="n">
        <v>8</v>
      </c>
      <c r="L48" s="4" t="n">
        <f aca="false">ROUND(E48*Rubric!$B$4+F48*Rubric!$B$5+G48*Rubric!$B$6+H48*Rubric!$B$7+I48*Rubric!$B$8+J48*Rubric!$B$9+K48*Rubric!$B$10-IF(OR(G48&lt;Rubric!$B$12,J48&lt;Rubric!$B$12),Rubric!$B$13,0),2)</f>
        <v>7.8</v>
      </c>
      <c r="M48" s="4" t="n">
        <f aca="false">SUMIFS('Revision Log'!$M:$M,'Revision Log'!$N:$N,O48,'Revision Log'!$C:$C,0)</f>
        <v>6.7</v>
      </c>
      <c r="N48" s="16" t="n">
        <f aca="false">L48-M48</f>
        <v>1.1</v>
      </c>
      <c r="O48" s="14" t="n">
        <v>91</v>
      </c>
    </row>
    <row r="49" customFormat="false" ht="23.85" hidden="false" customHeight="false" outlineLevel="0" collapsed="false">
      <c r="A49" s="2" t="s">
        <v>53</v>
      </c>
      <c r="B49" s="2" t="s">
        <v>54</v>
      </c>
      <c r="C49" s="14" t="n">
        <v>3</v>
      </c>
      <c r="D49" s="2" t="s">
        <v>357</v>
      </c>
      <c r="E49" s="15" t="n">
        <v>8</v>
      </c>
      <c r="F49" s="15" t="n">
        <v>8</v>
      </c>
      <c r="G49" s="15" t="n">
        <v>7</v>
      </c>
      <c r="H49" s="15" t="n">
        <v>10</v>
      </c>
      <c r="I49" s="15" t="n">
        <v>10</v>
      </c>
      <c r="J49" s="15" t="n">
        <v>7</v>
      </c>
      <c r="K49" s="15" t="n">
        <v>9</v>
      </c>
      <c r="L49" s="4" t="n">
        <f aca="false">ROUND(E49*Rubric!$B$4+F49*Rubric!$B$5+G49*Rubric!$B$6+H49*Rubric!$B$7+I49*Rubric!$B$8+J49*Rubric!$B$9+K49*Rubric!$B$10-IF(OR(G49&lt;Rubric!$B$12,J49&lt;Rubric!$B$12),Rubric!$B$13,0),2)</f>
        <v>8.25</v>
      </c>
      <c r="M49" s="4" t="n">
        <f aca="false">SUMIFS('Revision Log'!$M:$M,'Revision Log'!$N:$N,O49,'Revision Log'!$C:$C,0)</f>
        <v>8.25</v>
      </c>
      <c r="N49" s="16" t="n">
        <f aca="false">L49-M49</f>
        <v>0</v>
      </c>
      <c r="O49" s="14" t="n">
        <v>92</v>
      </c>
    </row>
    <row r="50" customFormat="false" ht="23.85" hidden="false" customHeight="false" outlineLevel="0" collapsed="false">
      <c r="A50" s="2" t="s">
        <v>53</v>
      </c>
      <c r="B50" s="2" t="s">
        <v>54</v>
      </c>
      <c r="C50" s="14" t="n">
        <v>4</v>
      </c>
      <c r="D50" s="2" t="s">
        <v>358</v>
      </c>
      <c r="E50" s="15" t="n">
        <v>9</v>
      </c>
      <c r="F50" s="15" t="n">
        <v>8</v>
      </c>
      <c r="G50" s="15" t="n">
        <v>8</v>
      </c>
      <c r="H50" s="15" t="n">
        <v>4</v>
      </c>
      <c r="I50" s="15" t="n">
        <v>7</v>
      </c>
      <c r="J50" s="15" t="n">
        <v>8</v>
      </c>
      <c r="K50" s="15" t="n">
        <v>8</v>
      </c>
      <c r="L50" s="4" t="n">
        <f aca="false">ROUND(E50*Rubric!$B$4+F50*Rubric!$B$5+G50*Rubric!$B$6+H50*Rubric!$B$7+I50*Rubric!$B$8+J50*Rubric!$B$9+K50*Rubric!$B$10-IF(OR(G50&lt;Rubric!$B$12,J50&lt;Rubric!$B$12),Rubric!$B$13,0),2)</f>
        <v>7.55</v>
      </c>
      <c r="M50" s="4" t="n">
        <f aca="false">SUMIFS('Revision Log'!$M:$M,'Revision Log'!$N:$N,O50,'Revision Log'!$C:$C,0)</f>
        <v>6.3</v>
      </c>
      <c r="N50" s="16" t="n">
        <f aca="false">L50-M50</f>
        <v>1.25</v>
      </c>
      <c r="O50" s="14" t="n">
        <v>93</v>
      </c>
    </row>
    <row r="51" customFormat="false" ht="23.85" hidden="false" customHeight="false" outlineLevel="0" collapsed="false">
      <c r="A51" s="2" t="s">
        <v>53</v>
      </c>
      <c r="B51" s="2" t="s">
        <v>54</v>
      </c>
      <c r="C51" s="14" t="n">
        <v>5</v>
      </c>
      <c r="D51" s="2" t="s">
        <v>359</v>
      </c>
      <c r="E51" s="15" t="n">
        <v>9</v>
      </c>
      <c r="F51" s="15" t="n">
        <v>8</v>
      </c>
      <c r="G51" s="15" t="n">
        <v>8</v>
      </c>
      <c r="H51" s="15" t="n">
        <v>3</v>
      </c>
      <c r="I51" s="15" t="n">
        <v>7</v>
      </c>
      <c r="J51" s="15" t="n">
        <v>8</v>
      </c>
      <c r="K51" s="15" t="n">
        <v>9</v>
      </c>
      <c r="L51" s="4" t="n">
        <f aca="false">ROUND(E51*Rubric!$B$4+F51*Rubric!$B$5+G51*Rubric!$B$6+H51*Rubric!$B$7+I51*Rubric!$B$8+J51*Rubric!$B$9+K51*Rubric!$B$10-IF(OR(G51&lt;Rubric!$B$12,J51&lt;Rubric!$B$12),Rubric!$B$13,0),2)</f>
        <v>7.55</v>
      </c>
      <c r="M51" s="4" t="n">
        <f aca="false">SUMIFS('Revision Log'!$M:$M,'Revision Log'!$N:$N,O51,'Revision Log'!$C:$C,0)</f>
        <v>6.65</v>
      </c>
      <c r="N51" s="16" t="n">
        <f aca="false">L51-M51</f>
        <v>0.9</v>
      </c>
      <c r="O51" s="14" t="n">
        <v>94</v>
      </c>
    </row>
    <row r="52" customFormat="false" ht="23.85" hidden="false" customHeight="false" outlineLevel="0" collapsed="false">
      <c r="A52" s="2" t="s">
        <v>57</v>
      </c>
      <c r="B52" s="2" t="s">
        <v>58</v>
      </c>
      <c r="C52" s="14" t="n">
        <v>1</v>
      </c>
      <c r="D52" s="2" t="s">
        <v>360</v>
      </c>
      <c r="E52" s="15" t="n">
        <v>8</v>
      </c>
      <c r="F52" s="15" t="n">
        <v>8</v>
      </c>
      <c r="G52" s="15" t="n">
        <v>7</v>
      </c>
      <c r="H52" s="15" t="n">
        <v>10</v>
      </c>
      <c r="I52" s="15" t="n">
        <v>10</v>
      </c>
      <c r="J52" s="15" t="n">
        <v>7</v>
      </c>
      <c r="K52" s="15" t="n">
        <v>9</v>
      </c>
      <c r="L52" s="4" t="n">
        <f aca="false">ROUND(E52*Rubric!$B$4+F52*Rubric!$B$5+G52*Rubric!$B$6+H52*Rubric!$B$7+I52*Rubric!$B$8+J52*Rubric!$B$9+K52*Rubric!$B$10-IF(OR(G52&lt;Rubric!$B$12,J52&lt;Rubric!$B$12),Rubric!$B$13,0),2)</f>
        <v>8.25</v>
      </c>
      <c r="M52" s="4" t="n">
        <f aca="false">SUMIFS('Revision Log'!$M:$M,'Revision Log'!$N:$N,O52,'Revision Log'!$C:$C,0)</f>
        <v>7</v>
      </c>
      <c r="N52" s="16" t="n">
        <f aca="false">L52-M52</f>
        <v>1.25</v>
      </c>
      <c r="O52" s="14" t="n">
        <v>100</v>
      </c>
    </row>
    <row r="53" customFormat="false" ht="23.85" hidden="false" customHeight="false" outlineLevel="0" collapsed="false">
      <c r="A53" s="2" t="s">
        <v>57</v>
      </c>
      <c r="B53" s="2" t="s">
        <v>58</v>
      </c>
      <c r="C53" s="14" t="n">
        <v>2</v>
      </c>
      <c r="D53" s="2" t="s">
        <v>361</v>
      </c>
      <c r="E53" s="15" t="n">
        <v>9</v>
      </c>
      <c r="F53" s="15" t="n">
        <v>8</v>
      </c>
      <c r="G53" s="15" t="n">
        <v>8</v>
      </c>
      <c r="H53" s="15" t="n">
        <v>10</v>
      </c>
      <c r="I53" s="15" t="n">
        <v>9</v>
      </c>
      <c r="J53" s="15" t="n">
        <v>8</v>
      </c>
      <c r="K53" s="15" t="n">
        <v>9</v>
      </c>
      <c r="L53" s="4" t="n">
        <f aca="false">ROUND(E53*Rubric!$B$4+F53*Rubric!$B$5+G53*Rubric!$B$6+H53*Rubric!$B$7+I53*Rubric!$B$8+J53*Rubric!$B$9+K53*Rubric!$B$10-IF(OR(G53&lt;Rubric!$B$12,J53&lt;Rubric!$B$12),Rubric!$B$13,0),2)</f>
        <v>8.55</v>
      </c>
      <c r="M53" s="4" t="n">
        <f aca="false">SUMIFS('Revision Log'!$M:$M,'Revision Log'!$N:$N,O53,'Revision Log'!$C:$C,0)</f>
        <v>8.55</v>
      </c>
      <c r="N53" s="16" t="n">
        <f aca="false">L53-M53</f>
        <v>0</v>
      </c>
      <c r="O53" s="14" t="n">
        <v>101</v>
      </c>
    </row>
    <row r="54" customFormat="false" ht="23.85" hidden="false" customHeight="false" outlineLevel="0" collapsed="false">
      <c r="A54" s="2" t="s">
        <v>57</v>
      </c>
      <c r="B54" s="2" t="s">
        <v>58</v>
      </c>
      <c r="C54" s="14" t="n">
        <v>3</v>
      </c>
      <c r="D54" s="2" t="s">
        <v>362</v>
      </c>
      <c r="E54" s="15" t="n">
        <v>9</v>
      </c>
      <c r="F54" s="15" t="n">
        <v>9</v>
      </c>
      <c r="G54" s="15" t="n">
        <v>8</v>
      </c>
      <c r="H54" s="15" t="n">
        <v>3</v>
      </c>
      <c r="I54" s="15" t="n">
        <v>8</v>
      </c>
      <c r="J54" s="15" t="n">
        <v>9</v>
      </c>
      <c r="K54" s="15" t="n">
        <v>8</v>
      </c>
      <c r="L54" s="4" t="n">
        <f aca="false">ROUND(E54*Rubric!$B$4+F54*Rubric!$B$5+G54*Rubric!$B$6+H54*Rubric!$B$7+I54*Rubric!$B$8+J54*Rubric!$B$9+K54*Rubric!$B$10-IF(OR(G54&lt;Rubric!$B$12,J54&lt;Rubric!$B$12),Rubric!$B$13,0),2)</f>
        <v>7.95</v>
      </c>
      <c r="M54" s="4" t="n">
        <f aca="false">SUMIFS('Revision Log'!$M:$M,'Revision Log'!$N:$N,O54,'Revision Log'!$C:$C,0)</f>
        <v>7.95</v>
      </c>
      <c r="N54" s="16" t="n">
        <f aca="false">L54-M54</f>
        <v>0</v>
      </c>
      <c r="O54" s="14" t="n">
        <v>102</v>
      </c>
    </row>
    <row r="55" customFormat="false" ht="23.85" hidden="false" customHeight="false" outlineLevel="0" collapsed="false">
      <c r="A55" s="2" t="s">
        <v>57</v>
      </c>
      <c r="B55" s="2" t="s">
        <v>58</v>
      </c>
      <c r="C55" s="14" t="n">
        <v>4</v>
      </c>
      <c r="D55" s="2" t="s">
        <v>363</v>
      </c>
      <c r="E55" s="15" t="n">
        <v>9</v>
      </c>
      <c r="F55" s="15" t="n">
        <v>8</v>
      </c>
      <c r="G55" s="15" t="n">
        <v>8</v>
      </c>
      <c r="H55" s="15" t="n">
        <v>5</v>
      </c>
      <c r="I55" s="15" t="n">
        <v>8</v>
      </c>
      <c r="J55" s="15" t="n">
        <v>7</v>
      </c>
      <c r="K55" s="15" t="n">
        <v>8</v>
      </c>
      <c r="L55" s="4" t="n">
        <f aca="false">ROUND(E55*Rubric!$B$4+F55*Rubric!$B$5+G55*Rubric!$B$6+H55*Rubric!$B$7+I55*Rubric!$B$8+J55*Rubric!$B$9+K55*Rubric!$B$10-IF(OR(G55&lt;Rubric!$B$12,J55&lt;Rubric!$B$12),Rubric!$B$13,0),2)</f>
        <v>7.65</v>
      </c>
      <c r="M55" s="4" t="n">
        <f aca="false">SUMIFS('Revision Log'!$M:$M,'Revision Log'!$N:$N,O55,'Revision Log'!$C:$C,0)</f>
        <v>7.35</v>
      </c>
      <c r="N55" s="16" t="n">
        <f aca="false">L55-M55</f>
        <v>0.300000000000001</v>
      </c>
      <c r="O55" s="14" t="n">
        <v>103</v>
      </c>
    </row>
    <row r="56" customFormat="false" ht="23.85" hidden="false" customHeight="false" outlineLevel="0" collapsed="false">
      <c r="A56" s="2" t="s">
        <v>57</v>
      </c>
      <c r="B56" s="2" t="s">
        <v>58</v>
      </c>
      <c r="C56" s="14" t="n">
        <v>5</v>
      </c>
      <c r="D56" s="2" t="s">
        <v>364</v>
      </c>
      <c r="E56" s="15" t="n">
        <v>7</v>
      </c>
      <c r="F56" s="15" t="n">
        <v>7</v>
      </c>
      <c r="G56" s="15" t="n">
        <v>8</v>
      </c>
      <c r="H56" s="15" t="n">
        <v>8</v>
      </c>
      <c r="I56" s="15" t="n">
        <v>8</v>
      </c>
      <c r="J56" s="15" t="n">
        <v>8</v>
      </c>
      <c r="K56" s="15" t="n">
        <v>8</v>
      </c>
      <c r="L56" s="4" t="n">
        <f aca="false">ROUND(E56*Rubric!$B$4+F56*Rubric!$B$5+G56*Rubric!$B$6+H56*Rubric!$B$7+I56*Rubric!$B$8+J56*Rubric!$B$9+K56*Rubric!$B$10-IF(OR(G56&lt;Rubric!$B$12,J56&lt;Rubric!$B$12),Rubric!$B$13,0),2)</f>
        <v>7.7</v>
      </c>
      <c r="M56" s="4" t="n">
        <f aca="false">SUMIFS('Revision Log'!$M:$M,'Revision Log'!$N:$N,O56,'Revision Log'!$C:$C,0)</f>
        <v>5.1</v>
      </c>
      <c r="N56" s="16" t="n">
        <f aca="false">L56-M56</f>
        <v>2.6</v>
      </c>
      <c r="O56" s="14" t="n">
        <v>104</v>
      </c>
    </row>
    <row r="57" customFormat="false" ht="23.85" hidden="false" customHeight="false" outlineLevel="0" collapsed="false">
      <c r="A57" s="2" t="s">
        <v>62</v>
      </c>
      <c r="B57" s="2" t="s">
        <v>63</v>
      </c>
      <c r="C57" s="14" t="n">
        <v>1</v>
      </c>
      <c r="D57" s="2" t="s">
        <v>365</v>
      </c>
      <c r="E57" s="15" t="n">
        <v>9</v>
      </c>
      <c r="F57" s="15" t="n">
        <v>8</v>
      </c>
      <c r="G57" s="15" t="n">
        <v>8</v>
      </c>
      <c r="H57" s="15" t="n">
        <v>3</v>
      </c>
      <c r="I57" s="15" t="n">
        <v>8</v>
      </c>
      <c r="J57" s="15" t="n">
        <v>8</v>
      </c>
      <c r="K57" s="15" t="n">
        <v>7</v>
      </c>
      <c r="L57" s="4" t="n">
        <f aca="false">ROUND(E57*Rubric!$B$4+F57*Rubric!$B$5+G57*Rubric!$B$6+H57*Rubric!$B$7+I57*Rubric!$B$8+J57*Rubric!$B$9+K57*Rubric!$B$10-IF(OR(G57&lt;Rubric!$B$12,J57&lt;Rubric!$B$12),Rubric!$B$13,0),2)</f>
        <v>7.5</v>
      </c>
      <c r="M57" s="4" t="n">
        <f aca="false">SUMIFS('Revision Log'!$M:$M,'Revision Log'!$N:$N,O57,'Revision Log'!$C:$C,0)</f>
        <v>7.05</v>
      </c>
      <c r="N57" s="16" t="n">
        <f aca="false">L57-M57</f>
        <v>0.45</v>
      </c>
      <c r="O57" s="14" t="n">
        <v>110</v>
      </c>
    </row>
    <row r="58" customFormat="false" ht="23.85" hidden="false" customHeight="false" outlineLevel="0" collapsed="false">
      <c r="A58" s="2" t="s">
        <v>62</v>
      </c>
      <c r="B58" s="2" t="s">
        <v>63</v>
      </c>
      <c r="C58" s="14" t="n">
        <v>2</v>
      </c>
      <c r="D58" s="2" t="s">
        <v>366</v>
      </c>
      <c r="E58" s="15" t="n">
        <v>9</v>
      </c>
      <c r="F58" s="15" t="n">
        <v>9</v>
      </c>
      <c r="G58" s="15" t="n">
        <v>8</v>
      </c>
      <c r="H58" s="15" t="n">
        <v>3</v>
      </c>
      <c r="I58" s="15" t="n">
        <v>8</v>
      </c>
      <c r="J58" s="15" t="n">
        <v>9</v>
      </c>
      <c r="K58" s="15" t="n">
        <v>8</v>
      </c>
      <c r="L58" s="4" t="n">
        <f aca="false">ROUND(E58*Rubric!$B$4+F58*Rubric!$B$5+G58*Rubric!$B$6+H58*Rubric!$B$7+I58*Rubric!$B$8+J58*Rubric!$B$9+K58*Rubric!$B$10-IF(OR(G58&lt;Rubric!$B$12,J58&lt;Rubric!$B$12),Rubric!$B$13,0),2)</f>
        <v>7.95</v>
      </c>
      <c r="M58" s="4" t="n">
        <f aca="false">SUMIFS('Revision Log'!$M:$M,'Revision Log'!$N:$N,O58,'Revision Log'!$C:$C,0)</f>
        <v>7.95</v>
      </c>
      <c r="N58" s="16" t="n">
        <f aca="false">L58-M58</f>
        <v>0</v>
      </c>
      <c r="O58" s="14" t="n">
        <v>111</v>
      </c>
    </row>
    <row r="59" customFormat="false" ht="23.85" hidden="false" customHeight="false" outlineLevel="0" collapsed="false">
      <c r="A59" s="2" t="s">
        <v>62</v>
      </c>
      <c r="B59" s="2" t="s">
        <v>63</v>
      </c>
      <c r="C59" s="14" t="n">
        <v>3</v>
      </c>
      <c r="D59" s="2" t="s">
        <v>367</v>
      </c>
      <c r="E59" s="15" t="n">
        <v>9</v>
      </c>
      <c r="F59" s="15" t="n">
        <v>8</v>
      </c>
      <c r="G59" s="15" t="n">
        <v>8</v>
      </c>
      <c r="H59" s="15" t="n">
        <v>3</v>
      </c>
      <c r="I59" s="15" t="n">
        <v>8</v>
      </c>
      <c r="J59" s="15" t="n">
        <v>8</v>
      </c>
      <c r="K59" s="15" t="n">
        <v>8</v>
      </c>
      <c r="L59" s="4" t="n">
        <f aca="false">ROUND(E59*Rubric!$B$4+F59*Rubric!$B$5+G59*Rubric!$B$6+H59*Rubric!$B$7+I59*Rubric!$B$8+J59*Rubric!$B$9+K59*Rubric!$B$10-IF(OR(G59&lt;Rubric!$B$12,J59&lt;Rubric!$B$12),Rubric!$B$13,0),2)</f>
        <v>7.6</v>
      </c>
      <c r="M59" s="4" t="n">
        <f aca="false">SUMIFS('Revision Log'!$M:$M,'Revision Log'!$N:$N,O59,'Revision Log'!$C:$C,0)</f>
        <v>5.7</v>
      </c>
      <c r="N59" s="16" t="n">
        <f aca="false">L59-M59</f>
        <v>1.9</v>
      </c>
      <c r="O59" s="14" t="n">
        <v>112</v>
      </c>
    </row>
    <row r="60" customFormat="false" ht="23.85" hidden="false" customHeight="false" outlineLevel="0" collapsed="false">
      <c r="A60" s="2" t="s">
        <v>62</v>
      </c>
      <c r="B60" s="2" t="s">
        <v>63</v>
      </c>
      <c r="C60" s="14" t="n">
        <v>4</v>
      </c>
      <c r="D60" s="2" t="s">
        <v>368</v>
      </c>
      <c r="E60" s="15" t="n">
        <v>9</v>
      </c>
      <c r="F60" s="15" t="n">
        <v>7</v>
      </c>
      <c r="G60" s="15" t="n">
        <v>8</v>
      </c>
      <c r="H60" s="15" t="n">
        <v>8</v>
      </c>
      <c r="I60" s="15" t="n">
        <v>7</v>
      </c>
      <c r="J60" s="15" t="n">
        <v>7</v>
      </c>
      <c r="K60" s="15" t="n">
        <v>7</v>
      </c>
      <c r="L60" s="4" t="n">
        <f aca="false">ROUND(E60*Rubric!$B$4+F60*Rubric!$B$5+G60*Rubric!$B$6+H60*Rubric!$B$7+I60*Rubric!$B$8+J60*Rubric!$B$9+K60*Rubric!$B$10-IF(OR(G60&lt;Rubric!$B$12,J60&lt;Rubric!$B$12),Rubric!$B$13,0),2)</f>
        <v>7.5</v>
      </c>
      <c r="M60" s="4" t="n">
        <f aca="false">SUMIFS('Revision Log'!$M:$M,'Revision Log'!$N:$N,O60,'Revision Log'!$C:$C,0)</f>
        <v>6.95</v>
      </c>
      <c r="N60" s="16" t="n">
        <f aca="false">L60-M60</f>
        <v>0.55</v>
      </c>
      <c r="O60" s="14" t="n">
        <v>113</v>
      </c>
    </row>
    <row r="61" customFormat="false" ht="23.85" hidden="false" customHeight="false" outlineLevel="0" collapsed="false">
      <c r="A61" s="2" t="s">
        <v>62</v>
      </c>
      <c r="B61" s="2" t="s">
        <v>63</v>
      </c>
      <c r="C61" s="14" t="n">
        <v>5</v>
      </c>
      <c r="D61" s="2" t="s">
        <v>369</v>
      </c>
      <c r="E61" s="15" t="n">
        <v>8</v>
      </c>
      <c r="F61" s="15" t="n">
        <v>8</v>
      </c>
      <c r="G61" s="15" t="n">
        <v>8</v>
      </c>
      <c r="H61" s="15" t="n">
        <v>3</v>
      </c>
      <c r="I61" s="15" t="n">
        <v>8</v>
      </c>
      <c r="J61" s="15" t="n">
        <v>8</v>
      </c>
      <c r="K61" s="15" t="n">
        <v>8</v>
      </c>
      <c r="L61" s="4" t="n">
        <f aca="false">ROUND(E61*Rubric!$B$4+F61*Rubric!$B$5+G61*Rubric!$B$6+H61*Rubric!$B$7+I61*Rubric!$B$8+J61*Rubric!$B$9+K61*Rubric!$B$10-IF(OR(G61&lt;Rubric!$B$12,J61&lt;Rubric!$B$12),Rubric!$B$13,0),2)</f>
        <v>7.5</v>
      </c>
      <c r="M61" s="4" t="n">
        <f aca="false">SUMIFS('Revision Log'!$M:$M,'Revision Log'!$N:$N,O61,'Revision Log'!$C:$C,0)</f>
        <v>6.85</v>
      </c>
      <c r="N61" s="16" t="n">
        <f aca="false">L61-M61</f>
        <v>0.65</v>
      </c>
      <c r="O61" s="14" t="n">
        <v>114</v>
      </c>
    </row>
    <row r="62" customFormat="false" ht="23.85" hidden="false" customHeight="false" outlineLevel="0" collapsed="false">
      <c r="A62" s="2" t="s">
        <v>67</v>
      </c>
      <c r="B62" s="2" t="s">
        <v>68</v>
      </c>
      <c r="C62" s="14" t="n">
        <v>1</v>
      </c>
      <c r="D62" s="2" t="s">
        <v>370</v>
      </c>
      <c r="E62" s="15" t="n">
        <v>8</v>
      </c>
      <c r="F62" s="15" t="n">
        <v>8</v>
      </c>
      <c r="G62" s="15" t="n">
        <v>8</v>
      </c>
      <c r="H62" s="15" t="n">
        <v>3</v>
      </c>
      <c r="I62" s="15" t="n">
        <v>8</v>
      </c>
      <c r="J62" s="15" t="n">
        <v>8</v>
      </c>
      <c r="K62" s="15" t="n">
        <v>9</v>
      </c>
      <c r="L62" s="4" t="n">
        <f aca="false">ROUND(E62*Rubric!$B$4+F62*Rubric!$B$5+G62*Rubric!$B$6+H62*Rubric!$B$7+I62*Rubric!$B$8+J62*Rubric!$B$9+K62*Rubric!$B$10-IF(OR(G62&lt;Rubric!$B$12,J62&lt;Rubric!$B$12),Rubric!$B$13,0),2)</f>
        <v>7.6</v>
      </c>
      <c r="M62" s="4" t="n">
        <f aca="false">SUMIFS('Revision Log'!$M:$M,'Revision Log'!$N:$N,O62,'Revision Log'!$C:$C,0)</f>
        <v>7.05</v>
      </c>
      <c r="N62" s="16" t="n">
        <f aca="false">L62-M62</f>
        <v>0.55</v>
      </c>
      <c r="O62" s="14" t="n">
        <v>120</v>
      </c>
    </row>
    <row r="63" customFormat="false" ht="15" hidden="false" customHeight="false" outlineLevel="0" collapsed="false">
      <c r="A63" s="2" t="s">
        <v>67</v>
      </c>
      <c r="B63" s="2" t="s">
        <v>68</v>
      </c>
      <c r="C63" s="14" t="n">
        <v>2</v>
      </c>
      <c r="D63" s="2" t="s">
        <v>371</v>
      </c>
      <c r="E63" s="15" t="n">
        <v>9</v>
      </c>
      <c r="F63" s="15" t="n">
        <v>9</v>
      </c>
      <c r="G63" s="15" t="n">
        <v>7</v>
      </c>
      <c r="H63" s="15" t="n">
        <v>3</v>
      </c>
      <c r="I63" s="15" t="n">
        <v>9</v>
      </c>
      <c r="J63" s="15" t="n">
        <v>8</v>
      </c>
      <c r="K63" s="15" t="n">
        <v>8</v>
      </c>
      <c r="L63" s="4" t="n">
        <f aca="false">ROUND(E63*Rubric!$B$4+F63*Rubric!$B$5+G63*Rubric!$B$6+H63*Rubric!$B$7+I63*Rubric!$B$8+J63*Rubric!$B$9+K63*Rubric!$B$10-IF(OR(G63&lt;Rubric!$B$12,J63&lt;Rubric!$B$12),Rubric!$B$13,0),2)</f>
        <v>7.75</v>
      </c>
      <c r="M63" s="4" t="n">
        <f aca="false">SUMIFS('Revision Log'!$M:$M,'Revision Log'!$N:$N,O63,'Revision Log'!$C:$C,0)</f>
        <v>7.75</v>
      </c>
      <c r="N63" s="16" t="n">
        <f aca="false">L63-M63</f>
        <v>0</v>
      </c>
      <c r="O63" s="14" t="n">
        <v>121</v>
      </c>
    </row>
    <row r="64" customFormat="false" ht="23.85" hidden="false" customHeight="false" outlineLevel="0" collapsed="false">
      <c r="A64" s="2" t="s">
        <v>67</v>
      </c>
      <c r="B64" s="2" t="s">
        <v>68</v>
      </c>
      <c r="C64" s="14" t="n">
        <v>3</v>
      </c>
      <c r="D64" s="2" t="s">
        <v>372</v>
      </c>
      <c r="E64" s="15" t="n">
        <v>8</v>
      </c>
      <c r="F64" s="15" t="n">
        <v>8</v>
      </c>
      <c r="G64" s="15" t="n">
        <v>8</v>
      </c>
      <c r="H64" s="15" t="n">
        <v>3</v>
      </c>
      <c r="I64" s="15" t="n">
        <v>7</v>
      </c>
      <c r="J64" s="15" t="n">
        <v>8</v>
      </c>
      <c r="K64" s="15" t="n">
        <v>9</v>
      </c>
      <c r="L64" s="4" t="n">
        <f aca="false">ROUND(E64*Rubric!$B$4+F64*Rubric!$B$5+G64*Rubric!$B$6+H64*Rubric!$B$7+I64*Rubric!$B$8+J64*Rubric!$B$9+K64*Rubric!$B$10-IF(OR(G64&lt;Rubric!$B$12,J64&lt;Rubric!$B$12),Rubric!$B$13,0),2)</f>
        <v>7.45</v>
      </c>
      <c r="M64" s="4" t="n">
        <f aca="false">SUMIFS('Revision Log'!$M:$M,'Revision Log'!$N:$N,O64,'Revision Log'!$C:$C,0)</f>
        <v>6.7</v>
      </c>
      <c r="N64" s="16" t="n">
        <f aca="false">L64-M64</f>
        <v>0.75</v>
      </c>
      <c r="O64" s="14" t="n">
        <v>122</v>
      </c>
    </row>
    <row r="65" customFormat="false" ht="23.85" hidden="false" customHeight="false" outlineLevel="0" collapsed="false">
      <c r="A65" s="2" t="s">
        <v>67</v>
      </c>
      <c r="B65" s="2" t="s">
        <v>68</v>
      </c>
      <c r="C65" s="14" t="n">
        <v>4</v>
      </c>
      <c r="D65" s="2" t="s">
        <v>373</v>
      </c>
      <c r="E65" s="15" t="n">
        <v>8</v>
      </c>
      <c r="F65" s="15" t="n">
        <v>8</v>
      </c>
      <c r="G65" s="15" t="n">
        <v>8</v>
      </c>
      <c r="H65" s="15" t="n">
        <v>3</v>
      </c>
      <c r="I65" s="15" t="n">
        <v>8</v>
      </c>
      <c r="J65" s="15" t="n">
        <v>8</v>
      </c>
      <c r="K65" s="15" t="n">
        <v>8</v>
      </c>
      <c r="L65" s="4" t="n">
        <f aca="false">ROUND(E65*Rubric!$B$4+F65*Rubric!$B$5+G65*Rubric!$B$6+H65*Rubric!$B$7+I65*Rubric!$B$8+J65*Rubric!$B$9+K65*Rubric!$B$10-IF(OR(G65&lt;Rubric!$B$12,J65&lt;Rubric!$B$12),Rubric!$B$13,0),2)</f>
        <v>7.5</v>
      </c>
      <c r="M65" s="4" t="n">
        <f aca="false">SUMIFS('Revision Log'!$M:$M,'Revision Log'!$N:$N,O65,'Revision Log'!$C:$C,0)</f>
        <v>7.05</v>
      </c>
      <c r="N65" s="16" t="n">
        <f aca="false">L65-M65</f>
        <v>0.45</v>
      </c>
      <c r="O65" s="14" t="n">
        <v>123</v>
      </c>
    </row>
    <row r="66" customFormat="false" ht="23.85" hidden="false" customHeight="false" outlineLevel="0" collapsed="false">
      <c r="A66" s="2" t="s">
        <v>67</v>
      </c>
      <c r="B66" s="2" t="s">
        <v>68</v>
      </c>
      <c r="C66" s="14" t="n">
        <v>5</v>
      </c>
      <c r="D66" s="2" t="s">
        <v>374</v>
      </c>
      <c r="E66" s="15" t="n">
        <v>8</v>
      </c>
      <c r="F66" s="15" t="n">
        <v>8</v>
      </c>
      <c r="G66" s="15" t="n">
        <v>8</v>
      </c>
      <c r="H66" s="15" t="n">
        <v>9</v>
      </c>
      <c r="I66" s="15" t="n">
        <v>7</v>
      </c>
      <c r="J66" s="15" t="n">
        <v>8</v>
      </c>
      <c r="K66" s="15" t="n">
        <v>8</v>
      </c>
      <c r="L66" s="4" t="n">
        <f aca="false">ROUND(E66*Rubric!$B$4+F66*Rubric!$B$5+G66*Rubric!$B$6+H66*Rubric!$B$7+I66*Rubric!$B$8+J66*Rubric!$B$9+K66*Rubric!$B$10-IF(OR(G66&lt;Rubric!$B$12,J66&lt;Rubric!$B$12),Rubric!$B$13,0),2)</f>
        <v>7.95</v>
      </c>
      <c r="M66" s="4" t="n">
        <f aca="false">SUMIFS('Revision Log'!$M:$M,'Revision Log'!$N:$N,O66,'Revision Log'!$C:$C,0)</f>
        <v>7.2</v>
      </c>
      <c r="N66" s="16" t="n">
        <f aca="false">L66-M66</f>
        <v>0.75</v>
      </c>
      <c r="O66" s="14" t="n">
        <v>124</v>
      </c>
    </row>
    <row r="67" customFormat="false" ht="23.85" hidden="false" customHeight="false" outlineLevel="0" collapsed="false">
      <c r="A67" s="2" t="s">
        <v>72</v>
      </c>
      <c r="B67" s="2" t="s">
        <v>73</v>
      </c>
      <c r="C67" s="14" t="n">
        <v>1</v>
      </c>
      <c r="D67" s="2" t="s">
        <v>375</v>
      </c>
      <c r="E67" s="15" t="n">
        <v>8</v>
      </c>
      <c r="F67" s="15" t="n">
        <v>9</v>
      </c>
      <c r="G67" s="15" t="n">
        <v>7</v>
      </c>
      <c r="H67" s="15" t="n">
        <v>3</v>
      </c>
      <c r="I67" s="15" t="n">
        <v>9</v>
      </c>
      <c r="J67" s="15" t="n">
        <v>8</v>
      </c>
      <c r="K67" s="15" t="n">
        <v>8</v>
      </c>
      <c r="L67" s="4" t="n">
        <f aca="false">ROUND(E67*Rubric!$B$4+F67*Rubric!$B$5+G67*Rubric!$B$6+H67*Rubric!$B$7+I67*Rubric!$B$8+J67*Rubric!$B$9+K67*Rubric!$B$10-IF(OR(G67&lt;Rubric!$B$12,J67&lt;Rubric!$B$12),Rubric!$B$13,0),2)</f>
        <v>7.65</v>
      </c>
      <c r="M67" s="4" t="n">
        <f aca="false">SUMIFS('Revision Log'!$M:$M,'Revision Log'!$N:$N,O67,'Revision Log'!$C:$C,0)</f>
        <v>7.2</v>
      </c>
      <c r="N67" s="16" t="n">
        <f aca="false">L67-M67</f>
        <v>0.45</v>
      </c>
      <c r="O67" s="14" t="n">
        <v>130</v>
      </c>
    </row>
    <row r="68" customFormat="false" ht="23.85" hidden="false" customHeight="false" outlineLevel="0" collapsed="false">
      <c r="A68" s="2" t="s">
        <v>72</v>
      </c>
      <c r="B68" s="2" t="s">
        <v>73</v>
      </c>
      <c r="C68" s="14" t="n">
        <v>2</v>
      </c>
      <c r="D68" s="2" t="s">
        <v>376</v>
      </c>
      <c r="E68" s="15" t="n">
        <v>9</v>
      </c>
      <c r="F68" s="15" t="n">
        <v>8</v>
      </c>
      <c r="G68" s="15" t="n">
        <v>8</v>
      </c>
      <c r="H68" s="15" t="n">
        <v>3</v>
      </c>
      <c r="I68" s="15" t="n">
        <v>8</v>
      </c>
      <c r="J68" s="15" t="n">
        <v>8</v>
      </c>
      <c r="K68" s="15" t="n">
        <v>7</v>
      </c>
      <c r="L68" s="4" t="n">
        <f aca="false">ROUND(E68*Rubric!$B$4+F68*Rubric!$B$5+G68*Rubric!$B$6+H68*Rubric!$B$7+I68*Rubric!$B$8+J68*Rubric!$B$9+K68*Rubric!$B$10-IF(OR(G68&lt;Rubric!$B$12,J68&lt;Rubric!$B$12),Rubric!$B$13,0),2)</f>
        <v>7.5</v>
      </c>
      <c r="M68" s="4" t="n">
        <f aca="false">SUMIFS('Revision Log'!$M:$M,'Revision Log'!$N:$N,O68,'Revision Log'!$C:$C,0)</f>
        <v>7.1</v>
      </c>
      <c r="N68" s="16" t="n">
        <f aca="false">L68-M68</f>
        <v>0.4</v>
      </c>
      <c r="O68" s="14" t="n">
        <v>131</v>
      </c>
    </row>
    <row r="69" customFormat="false" ht="23.85" hidden="false" customHeight="false" outlineLevel="0" collapsed="false">
      <c r="A69" s="2" t="s">
        <v>72</v>
      </c>
      <c r="B69" s="2" t="s">
        <v>73</v>
      </c>
      <c r="C69" s="14" t="n">
        <v>3</v>
      </c>
      <c r="D69" s="2" t="s">
        <v>377</v>
      </c>
      <c r="E69" s="15" t="n">
        <v>9</v>
      </c>
      <c r="F69" s="15" t="n">
        <v>9</v>
      </c>
      <c r="G69" s="15" t="n">
        <v>7</v>
      </c>
      <c r="H69" s="15" t="n">
        <v>3</v>
      </c>
      <c r="I69" s="15" t="n">
        <v>9</v>
      </c>
      <c r="J69" s="15" t="n">
        <v>8</v>
      </c>
      <c r="K69" s="15" t="n">
        <v>8</v>
      </c>
      <c r="L69" s="4" t="n">
        <f aca="false">ROUND(E69*Rubric!$B$4+F69*Rubric!$B$5+G69*Rubric!$B$6+H69*Rubric!$B$7+I69*Rubric!$B$8+J69*Rubric!$B$9+K69*Rubric!$B$10-IF(OR(G69&lt;Rubric!$B$12,J69&lt;Rubric!$B$12),Rubric!$B$13,0),2)</f>
        <v>7.75</v>
      </c>
      <c r="M69" s="4" t="n">
        <f aca="false">SUMIFS('Revision Log'!$M:$M,'Revision Log'!$N:$N,O69,'Revision Log'!$C:$C,0)</f>
        <v>7.75</v>
      </c>
      <c r="N69" s="16" t="n">
        <f aca="false">L69-M69</f>
        <v>0</v>
      </c>
      <c r="O69" s="14" t="n">
        <v>132</v>
      </c>
    </row>
    <row r="70" customFormat="false" ht="23.85" hidden="false" customHeight="false" outlineLevel="0" collapsed="false">
      <c r="A70" s="2" t="s">
        <v>72</v>
      </c>
      <c r="B70" s="2" t="s">
        <v>73</v>
      </c>
      <c r="C70" s="14" t="n">
        <v>4</v>
      </c>
      <c r="D70" s="2" t="s">
        <v>378</v>
      </c>
      <c r="E70" s="15" t="n">
        <v>8</v>
      </c>
      <c r="F70" s="15" t="n">
        <v>8</v>
      </c>
      <c r="G70" s="15" t="n">
        <v>8</v>
      </c>
      <c r="H70" s="15" t="n">
        <v>3</v>
      </c>
      <c r="I70" s="15" t="n">
        <v>8</v>
      </c>
      <c r="J70" s="15" t="n">
        <v>8</v>
      </c>
      <c r="K70" s="15" t="n">
        <v>7</v>
      </c>
      <c r="L70" s="4" t="n">
        <f aca="false">ROUND(E70*Rubric!$B$4+F70*Rubric!$B$5+G70*Rubric!$B$6+H70*Rubric!$B$7+I70*Rubric!$B$8+J70*Rubric!$B$9+K70*Rubric!$B$10-IF(OR(G70&lt;Rubric!$B$12,J70&lt;Rubric!$B$12),Rubric!$B$13,0),2)</f>
        <v>7.4</v>
      </c>
      <c r="M70" s="4" t="n">
        <f aca="false">SUMIFS('Revision Log'!$M:$M,'Revision Log'!$N:$N,O70,'Revision Log'!$C:$C,0)</f>
        <v>7.3</v>
      </c>
      <c r="N70" s="16" t="n">
        <f aca="false">L70-M70</f>
        <v>0.100000000000001</v>
      </c>
      <c r="O70" s="14" t="n">
        <v>133</v>
      </c>
    </row>
    <row r="71" customFormat="false" ht="23.85" hidden="false" customHeight="false" outlineLevel="0" collapsed="false">
      <c r="A71" s="2" t="s">
        <v>72</v>
      </c>
      <c r="B71" s="2" t="s">
        <v>73</v>
      </c>
      <c r="C71" s="14" t="n">
        <v>5</v>
      </c>
      <c r="D71" s="2" t="s">
        <v>379</v>
      </c>
      <c r="E71" s="15" t="n">
        <v>8</v>
      </c>
      <c r="F71" s="15" t="n">
        <v>8</v>
      </c>
      <c r="G71" s="15" t="n">
        <v>7</v>
      </c>
      <c r="H71" s="15" t="n">
        <v>9</v>
      </c>
      <c r="I71" s="15" t="n">
        <v>8</v>
      </c>
      <c r="J71" s="15" t="n">
        <v>8</v>
      </c>
      <c r="K71" s="15" t="n">
        <v>9</v>
      </c>
      <c r="L71" s="4" t="n">
        <f aca="false">ROUND(E71*Rubric!$B$4+F71*Rubric!$B$5+G71*Rubric!$B$6+H71*Rubric!$B$7+I71*Rubric!$B$8+J71*Rubric!$B$9+K71*Rubric!$B$10-IF(OR(G71&lt;Rubric!$B$12,J71&lt;Rubric!$B$12),Rubric!$B$13,0),2)</f>
        <v>8</v>
      </c>
      <c r="M71" s="4" t="n">
        <f aca="false">SUMIFS('Revision Log'!$M:$M,'Revision Log'!$N:$N,O71,'Revision Log'!$C:$C,0)</f>
        <v>8</v>
      </c>
      <c r="N71" s="16" t="n">
        <f aca="false">L71-M71</f>
        <v>0</v>
      </c>
      <c r="O71" s="14" t="n">
        <v>134</v>
      </c>
    </row>
    <row r="72" customFormat="false" ht="23.85" hidden="false" customHeight="false" outlineLevel="0" collapsed="false">
      <c r="A72" s="2" t="s">
        <v>77</v>
      </c>
      <c r="B72" s="2" t="s">
        <v>78</v>
      </c>
      <c r="C72" s="14" t="n">
        <v>1</v>
      </c>
      <c r="D72" s="2" t="s">
        <v>316</v>
      </c>
      <c r="E72" s="15" t="n">
        <v>9</v>
      </c>
      <c r="F72" s="15" t="n">
        <v>9</v>
      </c>
      <c r="G72" s="15" t="n">
        <v>8</v>
      </c>
      <c r="H72" s="15" t="n">
        <v>3</v>
      </c>
      <c r="I72" s="15" t="n">
        <v>8</v>
      </c>
      <c r="J72" s="15" t="n">
        <v>9</v>
      </c>
      <c r="K72" s="15" t="n">
        <v>9</v>
      </c>
      <c r="L72" s="4" t="n">
        <f aca="false">ROUND(E72*Rubric!$B$4+F72*Rubric!$B$5+G72*Rubric!$B$6+H72*Rubric!$B$7+I72*Rubric!$B$8+J72*Rubric!$B$9+K72*Rubric!$B$10-IF(OR(G72&lt;Rubric!$B$12,J72&lt;Rubric!$B$12),Rubric!$B$13,0),2)</f>
        <v>8.05</v>
      </c>
      <c r="M72" s="4" t="s">
        <v>81</v>
      </c>
      <c r="N72" s="16" t="s">
        <v>81</v>
      </c>
      <c r="O72" s="14" t="n">
        <v>1000</v>
      </c>
    </row>
    <row r="73" customFormat="false" ht="23.85" hidden="false" customHeight="false" outlineLevel="0" collapsed="false">
      <c r="A73" s="2" t="s">
        <v>77</v>
      </c>
      <c r="B73" s="2" t="s">
        <v>78</v>
      </c>
      <c r="C73" s="14" t="n">
        <v>2</v>
      </c>
      <c r="D73" s="2" t="s">
        <v>311</v>
      </c>
      <c r="E73" s="15" t="n">
        <v>9</v>
      </c>
      <c r="F73" s="15" t="n">
        <v>9</v>
      </c>
      <c r="G73" s="15" t="n">
        <v>8</v>
      </c>
      <c r="H73" s="15" t="n">
        <v>4</v>
      </c>
      <c r="I73" s="15" t="n">
        <v>7</v>
      </c>
      <c r="J73" s="15" t="n">
        <v>9</v>
      </c>
      <c r="K73" s="15" t="n">
        <v>8</v>
      </c>
      <c r="L73" s="4" t="n">
        <f aca="false">ROUND(E73*Rubric!$B$4+F73*Rubric!$B$5+G73*Rubric!$B$6+H73*Rubric!$B$7+I73*Rubric!$B$8+J73*Rubric!$B$9+K73*Rubric!$B$10-IF(OR(G73&lt;Rubric!$B$12,J73&lt;Rubric!$B$12),Rubric!$B$13,0),2)</f>
        <v>7.9</v>
      </c>
      <c r="M73" s="4" t="s">
        <v>81</v>
      </c>
      <c r="N73" s="16" t="s">
        <v>81</v>
      </c>
      <c r="O73" s="14" t="n">
        <v>1001</v>
      </c>
    </row>
    <row r="74" customFormat="false" ht="23.85" hidden="false" customHeight="false" outlineLevel="0" collapsed="false">
      <c r="A74" s="2" t="s">
        <v>77</v>
      </c>
      <c r="B74" s="2" t="s">
        <v>78</v>
      </c>
      <c r="C74" s="14" t="n">
        <v>3</v>
      </c>
      <c r="D74" s="2" t="s">
        <v>317</v>
      </c>
      <c r="E74" s="15" t="n">
        <v>9</v>
      </c>
      <c r="F74" s="15" t="n">
        <v>9</v>
      </c>
      <c r="G74" s="15" t="n">
        <v>7</v>
      </c>
      <c r="H74" s="15" t="n">
        <v>3</v>
      </c>
      <c r="I74" s="15" t="n">
        <v>7</v>
      </c>
      <c r="J74" s="15" t="n">
        <v>9</v>
      </c>
      <c r="K74" s="15" t="n">
        <v>9</v>
      </c>
      <c r="L74" s="4" t="n">
        <f aca="false">ROUND(E74*Rubric!$B$4+F74*Rubric!$B$5+G74*Rubric!$B$6+H74*Rubric!$B$7+I74*Rubric!$B$8+J74*Rubric!$B$9+K74*Rubric!$B$10-IF(OR(G74&lt;Rubric!$B$12,J74&lt;Rubric!$B$12),Rubric!$B$13,0),2)</f>
        <v>7.7</v>
      </c>
      <c r="M74" s="4" t="s">
        <v>81</v>
      </c>
      <c r="N74" s="16" t="s">
        <v>81</v>
      </c>
      <c r="O74" s="14" t="n">
        <v>1002</v>
      </c>
    </row>
    <row r="75" customFormat="false" ht="23.85" hidden="false" customHeight="false" outlineLevel="0" collapsed="false">
      <c r="A75" s="2" t="s">
        <v>77</v>
      </c>
      <c r="B75" s="2" t="s">
        <v>78</v>
      </c>
      <c r="C75" s="14" t="n">
        <v>4</v>
      </c>
      <c r="D75" s="2" t="s">
        <v>318</v>
      </c>
      <c r="E75" s="15" t="n">
        <v>9</v>
      </c>
      <c r="F75" s="15" t="n">
        <v>8</v>
      </c>
      <c r="G75" s="15" t="n">
        <v>8</v>
      </c>
      <c r="H75" s="15" t="n">
        <v>3</v>
      </c>
      <c r="I75" s="15" t="n">
        <v>7</v>
      </c>
      <c r="J75" s="15" t="n">
        <v>8</v>
      </c>
      <c r="K75" s="15" t="n">
        <v>8</v>
      </c>
      <c r="L75" s="4" t="n">
        <f aca="false">ROUND(E75*Rubric!$B$4+F75*Rubric!$B$5+G75*Rubric!$B$6+H75*Rubric!$B$7+I75*Rubric!$B$8+J75*Rubric!$B$9+K75*Rubric!$B$10-IF(OR(G75&lt;Rubric!$B$12,J75&lt;Rubric!$B$12),Rubric!$B$13,0),2)</f>
        <v>7.45</v>
      </c>
      <c r="M75" s="4" t="s">
        <v>81</v>
      </c>
      <c r="N75" s="16" t="s">
        <v>81</v>
      </c>
      <c r="O75" s="14" t="n">
        <v>1003</v>
      </c>
    </row>
    <row r="76" customFormat="false" ht="23.85" hidden="false" customHeight="false" outlineLevel="0" collapsed="false">
      <c r="A76" s="2" t="s">
        <v>77</v>
      </c>
      <c r="B76" s="2" t="s">
        <v>78</v>
      </c>
      <c r="C76" s="14" t="n">
        <v>5</v>
      </c>
      <c r="D76" s="2" t="s">
        <v>319</v>
      </c>
      <c r="E76" s="15" t="n">
        <v>8</v>
      </c>
      <c r="F76" s="15" t="n">
        <v>8</v>
      </c>
      <c r="G76" s="15" t="n">
        <v>7</v>
      </c>
      <c r="H76" s="15" t="n">
        <v>9</v>
      </c>
      <c r="I76" s="15" t="n">
        <v>6</v>
      </c>
      <c r="J76" s="15" t="n">
        <v>8</v>
      </c>
      <c r="K76" s="15" t="n">
        <v>9</v>
      </c>
      <c r="L76" s="4" t="n">
        <f aca="false">ROUND(E76*Rubric!$B$4+F76*Rubric!$B$5+G76*Rubric!$B$6+H76*Rubric!$B$7+I76*Rubric!$B$8+J76*Rubric!$B$9+K76*Rubric!$B$10-IF(OR(G76&lt;Rubric!$B$12,J76&lt;Rubric!$B$12),Rubric!$B$13,0),2)</f>
        <v>7.7</v>
      </c>
      <c r="M76" s="4" t="s">
        <v>81</v>
      </c>
      <c r="N76" s="16" t="s">
        <v>81</v>
      </c>
      <c r="O76" s="14" t="n">
        <v>1004</v>
      </c>
    </row>
    <row r="77" customFormat="false" ht="23.85" hidden="false" customHeight="false" outlineLevel="0" collapsed="false">
      <c r="A77" s="2" t="s">
        <v>84</v>
      </c>
      <c r="B77" s="2" t="s">
        <v>85</v>
      </c>
      <c r="C77" s="14" t="n">
        <v>1</v>
      </c>
      <c r="D77" s="2" t="s">
        <v>360</v>
      </c>
      <c r="E77" s="15" t="n">
        <v>8</v>
      </c>
      <c r="F77" s="15" t="n">
        <v>8</v>
      </c>
      <c r="G77" s="15" t="n">
        <v>7</v>
      </c>
      <c r="H77" s="15" t="n">
        <v>10</v>
      </c>
      <c r="I77" s="15" t="n">
        <v>9</v>
      </c>
      <c r="J77" s="15" t="n">
        <v>7</v>
      </c>
      <c r="K77" s="15" t="n">
        <v>9</v>
      </c>
      <c r="L77" s="4" t="n">
        <f aca="false">ROUND(E77*Rubric!$B$4+F77*Rubric!$B$5+G77*Rubric!$B$6+H77*Rubric!$B$7+I77*Rubric!$B$8+J77*Rubric!$B$9+K77*Rubric!$B$10-IF(OR(G77&lt;Rubric!$B$12,J77&lt;Rubric!$B$12),Rubric!$B$13,0),2)</f>
        <v>8.1</v>
      </c>
      <c r="M77" s="4" t="s">
        <v>81</v>
      </c>
      <c r="N77" s="16" t="s">
        <v>81</v>
      </c>
      <c r="O77" s="14" t="n">
        <v>1010</v>
      </c>
    </row>
    <row r="78" customFormat="false" ht="23.85" hidden="false" customHeight="false" outlineLevel="0" collapsed="false">
      <c r="A78" s="2" t="s">
        <v>84</v>
      </c>
      <c r="B78" s="2" t="s">
        <v>85</v>
      </c>
      <c r="C78" s="14" t="n">
        <v>2</v>
      </c>
      <c r="D78" s="2" t="s">
        <v>361</v>
      </c>
      <c r="E78" s="15" t="n">
        <v>9</v>
      </c>
      <c r="F78" s="15" t="n">
        <v>8</v>
      </c>
      <c r="G78" s="15" t="n">
        <v>8</v>
      </c>
      <c r="H78" s="15" t="n">
        <v>10</v>
      </c>
      <c r="I78" s="15" t="n">
        <v>8</v>
      </c>
      <c r="J78" s="15" t="n">
        <v>8</v>
      </c>
      <c r="K78" s="15" t="n">
        <v>9</v>
      </c>
      <c r="L78" s="4" t="n">
        <f aca="false">ROUND(E78*Rubric!$B$4+F78*Rubric!$B$5+G78*Rubric!$B$6+H78*Rubric!$B$7+I78*Rubric!$B$8+J78*Rubric!$B$9+K78*Rubric!$B$10-IF(OR(G78&lt;Rubric!$B$12,J78&lt;Rubric!$B$12),Rubric!$B$13,0),2)</f>
        <v>8.4</v>
      </c>
      <c r="M78" s="4" t="s">
        <v>81</v>
      </c>
      <c r="N78" s="16" t="s">
        <v>81</v>
      </c>
      <c r="O78" s="14" t="n">
        <v>1011</v>
      </c>
    </row>
    <row r="79" customFormat="false" ht="23.85" hidden="false" customHeight="false" outlineLevel="0" collapsed="false">
      <c r="A79" s="2" t="s">
        <v>84</v>
      </c>
      <c r="B79" s="2" t="s">
        <v>85</v>
      </c>
      <c r="C79" s="14" t="n">
        <v>3</v>
      </c>
      <c r="D79" s="2" t="s">
        <v>353</v>
      </c>
      <c r="E79" s="15" t="n">
        <v>7</v>
      </c>
      <c r="F79" s="15" t="n">
        <v>8</v>
      </c>
      <c r="G79" s="15" t="n">
        <v>8</v>
      </c>
      <c r="H79" s="15" t="n">
        <v>10</v>
      </c>
      <c r="I79" s="15" t="n">
        <v>8</v>
      </c>
      <c r="J79" s="15" t="n">
        <v>8</v>
      </c>
      <c r="K79" s="15" t="n">
        <v>9</v>
      </c>
      <c r="L79" s="4" t="n">
        <f aca="false">ROUND(E79*Rubric!$B$4+F79*Rubric!$B$5+G79*Rubric!$B$6+H79*Rubric!$B$7+I79*Rubric!$B$8+J79*Rubric!$B$9+K79*Rubric!$B$10-IF(OR(G79&lt;Rubric!$B$12,J79&lt;Rubric!$B$12),Rubric!$B$13,0),2)</f>
        <v>8.2</v>
      </c>
      <c r="M79" s="4" t="s">
        <v>81</v>
      </c>
      <c r="N79" s="16" t="s">
        <v>81</v>
      </c>
      <c r="O79" s="14" t="n">
        <v>1012</v>
      </c>
    </row>
    <row r="80" customFormat="false" ht="23.85" hidden="false" customHeight="false" outlineLevel="0" collapsed="false">
      <c r="A80" s="2" t="s">
        <v>84</v>
      </c>
      <c r="B80" s="2" t="s">
        <v>85</v>
      </c>
      <c r="C80" s="14" t="n">
        <v>4</v>
      </c>
      <c r="D80" s="2" t="s">
        <v>374</v>
      </c>
      <c r="E80" s="15" t="n">
        <v>8</v>
      </c>
      <c r="F80" s="15" t="n">
        <v>8</v>
      </c>
      <c r="G80" s="15" t="n">
        <v>8</v>
      </c>
      <c r="H80" s="15" t="n">
        <v>9</v>
      </c>
      <c r="I80" s="15" t="n">
        <v>6</v>
      </c>
      <c r="J80" s="15" t="n">
        <v>8</v>
      </c>
      <c r="K80" s="15" t="n">
        <v>8</v>
      </c>
      <c r="L80" s="4" t="n">
        <f aca="false">ROUND(E80*Rubric!$B$4+F80*Rubric!$B$5+G80*Rubric!$B$6+H80*Rubric!$B$7+I80*Rubric!$B$8+J80*Rubric!$B$9+K80*Rubric!$B$10-IF(OR(G80&lt;Rubric!$B$12,J80&lt;Rubric!$B$12),Rubric!$B$13,0),2)</f>
        <v>7.8</v>
      </c>
      <c r="M80" s="4" t="s">
        <v>81</v>
      </c>
      <c r="N80" s="16" t="s">
        <v>81</v>
      </c>
      <c r="O80" s="14" t="n">
        <v>1013</v>
      </c>
    </row>
    <row r="81" customFormat="false" ht="23.85" hidden="false" customHeight="false" outlineLevel="0" collapsed="false">
      <c r="A81" s="2" t="s">
        <v>84</v>
      </c>
      <c r="B81" s="2" t="s">
        <v>85</v>
      </c>
      <c r="C81" s="14" t="n">
        <v>5</v>
      </c>
      <c r="D81" s="2" t="s">
        <v>329</v>
      </c>
      <c r="E81" s="15" t="n">
        <v>8</v>
      </c>
      <c r="F81" s="15" t="n">
        <v>8</v>
      </c>
      <c r="G81" s="15" t="n">
        <v>7</v>
      </c>
      <c r="H81" s="15" t="n">
        <v>9</v>
      </c>
      <c r="I81" s="15" t="n">
        <v>7</v>
      </c>
      <c r="J81" s="15" t="n">
        <v>8</v>
      </c>
      <c r="K81" s="15" t="n">
        <v>9</v>
      </c>
      <c r="L81" s="4" t="n">
        <f aca="false">ROUND(E81*Rubric!$B$4+F81*Rubric!$B$5+G81*Rubric!$B$6+H81*Rubric!$B$7+I81*Rubric!$B$8+J81*Rubric!$B$9+K81*Rubric!$B$10-IF(OR(G81&lt;Rubric!$B$12,J81&lt;Rubric!$B$12),Rubric!$B$13,0),2)</f>
        <v>7.85</v>
      </c>
      <c r="M81" s="4" t="s">
        <v>81</v>
      </c>
      <c r="N81" s="16" t="s">
        <v>81</v>
      </c>
      <c r="O81" s="14" t="n">
        <v>1014</v>
      </c>
    </row>
    <row r="82" customFormat="false" ht="23.85" hidden="false" customHeight="false" outlineLevel="0" collapsed="false">
      <c r="A82" s="2" t="s">
        <v>90</v>
      </c>
      <c r="B82" s="2" t="s">
        <v>91</v>
      </c>
      <c r="C82" s="14" t="n">
        <v>1</v>
      </c>
      <c r="D82" s="2" t="s">
        <v>352</v>
      </c>
      <c r="E82" s="15" t="n">
        <v>9</v>
      </c>
      <c r="F82" s="15" t="n">
        <v>9</v>
      </c>
      <c r="G82" s="15" t="n">
        <v>7</v>
      </c>
      <c r="H82" s="15" t="n">
        <v>10</v>
      </c>
      <c r="I82" s="15" t="n">
        <v>9</v>
      </c>
      <c r="J82" s="15" t="n">
        <v>8</v>
      </c>
      <c r="K82" s="15" t="n">
        <v>10</v>
      </c>
      <c r="L82" s="4" t="n">
        <f aca="false">ROUND(E82*Rubric!$B$4+F82*Rubric!$B$5+G82*Rubric!$B$6+H82*Rubric!$B$7+I82*Rubric!$B$8+J82*Rubric!$B$9+K82*Rubric!$B$10-IF(OR(G82&lt;Rubric!$B$12,J82&lt;Rubric!$B$12),Rubric!$B$13,0),2)</f>
        <v>8.65</v>
      </c>
      <c r="M82" s="4" t="s">
        <v>81</v>
      </c>
      <c r="N82" s="16" t="s">
        <v>81</v>
      </c>
      <c r="O82" s="14" t="n">
        <v>1020</v>
      </c>
    </row>
    <row r="83" customFormat="false" ht="23.85" hidden="false" customHeight="false" outlineLevel="0" collapsed="false">
      <c r="A83" s="2" t="s">
        <v>90</v>
      </c>
      <c r="B83" s="2" t="s">
        <v>91</v>
      </c>
      <c r="C83" s="14" t="n">
        <v>2</v>
      </c>
      <c r="D83" s="2" t="s">
        <v>361</v>
      </c>
      <c r="E83" s="15" t="n">
        <v>9</v>
      </c>
      <c r="F83" s="15" t="n">
        <v>8</v>
      </c>
      <c r="G83" s="15" t="n">
        <v>8</v>
      </c>
      <c r="H83" s="15" t="n">
        <v>10</v>
      </c>
      <c r="I83" s="15" t="n">
        <v>8</v>
      </c>
      <c r="J83" s="15" t="n">
        <v>8</v>
      </c>
      <c r="K83" s="15" t="n">
        <v>9</v>
      </c>
      <c r="L83" s="4" t="n">
        <f aca="false">ROUND(E83*Rubric!$B$4+F83*Rubric!$B$5+G83*Rubric!$B$6+H83*Rubric!$B$7+I83*Rubric!$B$8+J83*Rubric!$B$9+K83*Rubric!$B$10-IF(OR(G83&lt;Rubric!$B$12,J83&lt;Rubric!$B$12),Rubric!$B$13,0),2)</f>
        <v>8.4</v>
      </c>
      <c r="M83" s="4" t="s">
        <v>81</v>
      </c>
      <c r="N83" s="16" t="s">
        <v>81</v>
      </c>
      <c r="O83" s="14" t="n">
        <v>1021</v>
      </c>
    </row>
    <row r="84" customFormat="false" ht="23.85" hidden="false" customHeight="false" outlineLevel="0" collapsed="false">
      <c r="A84" s="2" t="s">
        <v>90</v>
      </c>
      <c r="B84" s="2" t="s">
        <v>91</v>
      </c>
      <c r="C84" s="14" t="n">
        <v>3</v>
      </c>
      <c r="D84" s="2" t="s">
        <v>338</v>
      </c>
      <c r="E84" s="15" t="n">
        <v>8</v>
      </c>
      <c r="F84" s="15" t="n">
        <v>8</v>
      </c>
      <c r="G84" s="15" t="n">
        <v>7</v>
      </c>
      <c r="H84" s="15" t="n">
        <v>10</v>
      </c>
      <c r="I84" s="15" t="n">
        <v>8</v>
      </c>
      <c r="J84" s="15" t="n">
        <v>7</v>
      </c>
      <c r="K84" s="15" t="n">
        <v>9</v>
      </c>
      <c r="L84" s="4" t="n">
        <f aca="false">ROUND(E84*Rubric!$B$4+F84*Rubric!$B$5+G84*Rubric!$B$6+H84*Rubric!$B$7+I84*Rubric!$B$8+J84*Rubric!$B$9+K84*Rubric!$B$10-IF(OR(G84&lt;Rubric!$B$12,J84&lt;Rubric!$B$12),Rubric!$B$13,0),2)</f>
        <v>7.95</v>
      </c>
      <c r="M84" s="4" t="s">
        <v>81</v>
      </c>
      <c r="N84" s="16" t="s">
        <v>81</v>
      </c>
      <c r="O84" s="14" t="n">
        <v>1022</v>
      </c>
    </row>
    <row r="85" customFormat="false" ht="23.85" hidden="false" customHeight="false" outlineLevel="0" collapsed="false">
      <c r="A85" s="2" t="s">
        <v>90</v>
      </c>
      <c r="B85" s="2" t="s">
        <v>91</v>
      </c>
      <c r="C85" s="14" t="n">
        <v>4</v>
      </c>
      <c r="D85" s="2" t="s">
        <v>357</v>
      </c>
      <c r="E85" s="15" t="n">
        <v>8</v>
      </c>
      <c r="F85" s="15" t="n">
        <v>8</v>
      </c>
      <c r="G85" s="15" t="n">
        <v>7</v>
      </c>
      <c r="H85" s="15" t="n">
        <v>10</v>
      </c>
      <c r="I85" s="15" t="n">
        <v>9</v>
      </c>
      <c r="J85" s="15" t="n">
        <v>7</v>
      </c>
      <c r="K85" s="15" t="n">
        <v>9</v>
      </c>
      <c r="L85" s="4" t="n">
        <f aca="false">ROUND(E85*Rubric!$B$4+F85*Rubric!$B$5+G85*Rubric!$B$6+H85*Rubric!$B$7+I85*Rubric!$B$8+J85*Rubric!$B$9+K85*Rubric!$B$10-IF(OR(G85&lt;Rubric!$B$12,J85&lt;Rubric!$B$12),Rubric!$B$13,0),2)</f>
        <v>8.1</v>
      </c>
      <c r="M85" s="4" t="s">
        <v>81</v>
      </c>
      <c r="N85" s="16" t="s">
        <v>81</v>
      </c>
      <c r="O85" s="14" t="n">
        <v>1023</v>
      </c>
    </row>
    <row r="86" customFormat="false" ht="15" hidden="false" customHeight="false" outlineLevel="0" collapsed="false">
      <c r="A86" s="2" t="s">
        <v>90</v>
      </c>
      <c r="B86" s="2" t="s">
        <v>91</v>
      </c>
      <c r="C86" s="14" t="n">
        <v>5</v>
      </c>
      <c r="D86" s="2" t="s">
        <v>349</v>
      </c>
      <c r="E86" s="15" t="n">
        <v>8</v>
      </c>
      <c r="F86" s="15" t="n">
        <v>8</v>
      </c>
      <c r="G86" s="15" t="n">
        <v>8</v>
      </c>
      <c r="H86" s="15" t="n">
        <v>9</v>
      </c>
      <c r="I86" s="15" t="n">
        <v>7</v>
      </c>
      <c r="J86" s="15" t="n">
        <v>8</v>
      </c>
      <c r="K86" s="15" t="n">
        <v>9</v>
      </c>
      <c r="L86" s="4" t="n">
        <f aca="false">ROUND(E86*Rubric!$B$4+F86*Rubric!$B$5+G86*Rubric!$B$6+H86*Rubric!$B$7+I86*Rubric!$B$8+J86*Rubric!$B$9+K86*Rubric!$B$10-IF(OR(G86&lt;Rubric!$B$12,J86&lt;Rubric!$B$12),Rubric!$B$13,0),2)</f>
        <v>8.05</v>
      </c>
      <c r="M86" s="4" t="s">
        <v>81</v>
      </c>
      <c r="N86" s="16" t="s">
        <v>81</v>
      </c>
      <c r="O86" s="14" t="n">
        <v>1024</v>
      </c>
    </row>
    <row r="87" customFormat="false" ht="23.85" hidden="false" customHeight="false" outlineLevel="0" collapsed="false">
      <c r="A87" s="2" t="s">
        <v>95</v>
      </c>
      <c r="B87" s="2" t="s">
        <v>96</v>
      </c>
      <c r="C87" s="14" t="n">
        <v>1</v>
      </c>
      <c r="D87" s="2" t="s">
        <v>338</v>
      </c>
      <c r="E87" s="15" t="n">
        <v>8</v>
      </c>
      <c r="F87" s="15" t="n">
        <v>8</v>
      </c>
      <c r="G87" s="15" t="n">
        <v>7</v>
      </c>
      <c r="H87" s="15" t="n">
        <v>10</v>
      </c>
      <c r="I87" s="15" t="n">
        <v>8</v>
      </c>
      <c r="J87" s="15" t="n">
        <v>7</v>
      </c>
      <c r="K87" s="15" t="n">
        <v>9</v>
      </c>
      <c r="L87" s="4" t="n">
        <f aca="false">ROUND(E87*Rubric!$B$4+F87*Rubric!$B$5+G87*Rubric!$B$6+H87*Rubric!$B$7+I87*Rubric!$B$8+J87*Rubric!$B$9+K87*Rubric!$B$10-IF(OR(G87&lt;Rubric!$B$12,J87&lt;Rubric!$B$12),Rubric!$B$13,0),2)</f>
        <v>7.95</v>
      </c>
      <c r="M87" s="4" t="s">
        <v>81</v>
      </c>
      <c r="N87" s="16" t="s">
        <v>81</v>
      </c>
      <c r="O87" s="14" t="n">
        <v>1030</v>
      </c>
    </row>
    <row r="88" customFormat="false" ht="23.85" hidden="false" customHeight="false" outlineLevel="0" collapsed="false">
      <c r="A88" s="2" t="s">
        <v>95</v>
      </c>
      <c r="B88" s="2" t="s">
        <v>96</v>
      </c>
      <c r="C88" s="14" t="n">
        <v>2</v>
      </c>
      <c r="D88" s="2" t="s">
        <v>351</v>
      </c>
      <c r="E88" s="15" t="n">
        <v>8</v>
      </c>
      <c r="F88" s="15" t="n">
        <v>8</v>
      </c>
      <c r="G88" s="15" t="n">
        <v>7</v>
      </c>
      <c r="H88" s="15" t="n">
        <v>9</v>
      </c>
      <c r="I88" s="15" t="n">
        <v>8</v>
      </c>
      <c r="J88" s="15" t="n">
        <v>7</v>
      </c>
      <c r="K88" s="15" t="n">
        <v>9</v>
      </c>
      <c r="L88" s="4" t="n">
        <f aca="false">ROUND(E88*Rubric!$B$4+F88*Rubric!$B$5+G88*Rubric!$B$6+H88*Rubric!$B$7+I88*Rubric!$B$8+J88*Rubric!$B$9+K88*Rubric!$B$10-IF(OR(G88&lt;Rubric!$B$12,J88&lt;Rubric!$B$12),Rubric!$B$13,0),2)</f>
        <v>7.85</v>
      </c>
      <c r="M88" s="4" t="s">
        <v>81</v>
      </c>
      <c r="N88" s="16" t="s">
        <v>81</v>
      </c>
      <c r="O88" s="14" t="n">
        <v>1031</v>
      </c>
    </row>
    <row r="89" customFormat="false" ht="23.85" hidden="false" customHeight="false" outlineLevel="0" collapsed="false">
      <c r="A89" s="2" t="s">
        <v>95</v>
      </c>
      <c r="B89" s="2" t="s">
        <v>96</v>
      </c>
      <c r="C89" s="14" t="n">
        <v>3</v>
      </c>
      <c r="D89" s="2" t="s">
        <v>352</v>
      </c>
      <c r="E89" s="15" t="n">
        <v>9</v>
      </c>
      <c r="F89" s="15" t="n">
        <v>9</v>
      </c>
      <c r="G89" s="15" t="n">
        <v>7</v>
      </c>
      <c r="H89" s="15" t="n">
        <v>10</v>
      </c>
      <c r="I89" s="15" t="n">
        <v>9</v>
      </c>
      <c r="J89" s="15" t="n">
        <v>8</v>
      </c>
      <c r="K89" s="15" t="n">
        <v>10</v>
      </c>
      <c r="L89" s="4" t="n">
        <f aca="false">ROUND(E89*Rubric!$B$4+F89*Rubric!$B$5+G89*Rubric!$B$6+H89*Rubric!$B$7+I89*Rubric!$B$8+J89*Rubric!$B$9+K89*Rubric!$B$10-IF(OR(G89&lt;Rubric!$B$12,J89&lt;Rubric!$B$12),Rubric!$B$13,0),2)</f>
        <v>8.65</v>
      </c>
      <c r="M89" s="4" t="s">
        <v>81</v>
      </c>
      <c r="N89" s="16" t="s">
        <v>81</v>
      </c>
      <c r="O89" s="14" t="n">
        <v>1032</v>
      </c>
    </row>
    <row r="90" customFormat="false" ht="23.85" hidden="false" customHeight="false" outlineLevel="0" collapsed="false">
      <c r="A90" s="2" t="s">
        <v>95</v>
      </c>
      <c r="B90" s="2" t="s">
        <v>96</v>
      </c>
      <c r="C90" s="14" t="n">
        <v>4</v>
      </c>
      <c r="D90" s="2" t="s">
        <v>319</v>
      </c>
      <c r="E90" s="15" t="n">
        <v>8</v>
      </c>
      <c r="F90" s="15" t="n">
        <v>8</v>
      </c>
      <c r="G90" s="15" t="n">
        <v>7</v>
      </c>
      <c r="H90" s="15" t="n">
        <v>9</v>
      </c>
      <c r="I90" s="15" t="n">
        <v>6</v>
      </c>
      <c r="J90" s="15" t="n">
        <v>8</v>
      </c>
      <c r="K90" s="15" t="n">
        <v>9</v>
      </c>
      <c r="L90" s="4" t="n">
        <f aca="false">ROUND(E90*Rubric!$B$4+F90*Rubric!$B$5+G90*Rubric!$B$6+H90*Rubric!$B$7+I90*Rubric!$B$8+J90*Rubric!$B$9+K90*Rubric!$B$10-IF(OR(G90&lt;Rubric!$B$12,J90&lt;Rubric!$B$12),Rubric!$B$13,0),2)</f>
        <v>7.7</v>
      </c>
      <c r="M90" s="4" t="s">
        <v>81</v>
      </c>
      <c r="N90" s="16" t="s">
        <v>81</v>
      </c>
      <c r="O90" s="14" t="n">
        <v>1033</v>
      </c>
    </row>
    <row r="91" customFormat="false" ht="23.85" hidden="false" customHeight="false" outlineLevel="0" collapsed="false">
      <c r="A91" s="2" t="s">
        <v>95</v>
      </c>
      <c r="B91" s="2" t="s">
        <v>96</v>
      </c>
      <c r="C91" s="14" t="n">
        <v>5</v>
      </c>
      <c r="D91" s="2" t="s">
        <v>314</v>
      </c>
      <c r="E91" s="15" t="n">
        <v>9</v>
      </c>
      <c r="F91" s="15" t="n">
        <v>7</v>
      </c>
      <c r="G91" s="15" t="n">
        <v>8</v>
      </c>
      <c r="H91" s="15" t="n">
        <v>8</v>
      </c>
      <c r="I91" s="15" t="n">
        <v>6</v>
      </c>
      <c r="J91" s="15" t="n">
        <v>8</v>
      </c>
      <c r="K91" s="15" t="n">
        <v>7</v>
      </c>
      <c r="L91" s="4" t="n">
        <f aca="false">ROUND(E91*Rubric!$B$4+F91*Rubric!$B$5+G91*Rubric!$B$6+H91*Rubric!$B$7+I91*Rubric!$B$8+J91*Rubric!$B$9+K91*Rubric!$B$10-IF(OR(G91&lt;Rubric!$B$12,J91&lt;Rubric!$B$12),Rubric!$B$13,0),2)</f>
        <v>7.5</v>
      </c>
      <c r="M91" s="4" t="s">
        <v>81</v>
      </c>
      <c r="N91" s="16" t="s">
        <v>81</v>
      </c>
      <c r="O91" s="14" t="n">
        <v>1034</v>
      </c>
    </row>
    <row r="92" customFormat="false" ht="23.85" hidden="false" customHeight="false" outlineLevel="0" collapsed="false">
      <c r="A92" s="2" t="s">
        <v>100</v>
      </c>
      <c r="B92" s="2" t="s">
        <v>101</v>
      </c>
      <c r="C92" s="14" t="n">
        <v>1</v>
      </c>
      <c r="D92" s="2" t="s">
        <v>365</v>
      </c>
      <c r="E92" s="15" t="n">
        <v>9</v>
      </c>
      <c r="F92" s="15" t="n">
        <v>8</v>
      </c>
      <c r="G92" s="15" t="n">
        <v>8</v>
      </c>
      <c r="H92" s="15" t="n">
        <v>3</v>
      </c>
      <c r="I92" s="15" t="n">
        <v>7</v>
      </c>
      <c r="J92" s="15" t="n">
        <v>8</v>
      </c>
      <c r="K92" s="15" t="n">
        <v>7</v>
      </c>
      <c r="L92" s="4" t="n">
        <f aca="false">ROUND(E92*Rubric!$B$4+F92*Rubric!$B$5+G92*Rubric!$B$6+H92*Rubric!$B$7+I92*Rubric!$B$8+J92*Rubric!$B$9+K92*Rubric!$B$10-IF(OR(G92&lt;Rubric!$B$12,J92&lt;Rubric!$B$12),Rubric!$B$13,0),2)</f>
        <v>7.35</v>
      </c>
      <c r="M92" s="4" t="s">
        <v>81</v>
      </c>
      <c r="N92" s="16" t="s">
        <v>81</v>
      </c>
      <c r="O92" s="14" t="n">
        <v>1040</v>
      </c>
    </row>
    <row r="93" customFormat="false" ht="23.85" hidden="false" customHeight="false" outlineLevel="0" collapsed="false">
      <c r="A93" s="2" t="s">
        <v>100</v>
      </c>
      <c r="B93" s="2" t="s">
        <v>101</v>
      </c>
      <c r="C93" s="14" t="n">
        <v>2</v>
      </c>
      <c r="D93" s="2" t="s">
        <v>357</v>
      </c>
      <c r="E93" s="15" t="n">
        <v>8</v>
      </c>
      <c r="F93" s="15" t="n">
        <v>8</v>
      </c>
      <c r="G93" s="15" t="n">
        <v>7</v>
      </c>
      <c r="H93" s="15" t="n">
        <v>10</v>
      </c>
      <c r="I93" s="15" t="n">
        <v>9</v>
      </c>
      <c r="J93" s="15" t="n">
        <v>7</v>
      </c>
      <c r="K93" s="15" t="n">
        <v>9</v>
      </c>
      <c r="L93" s="4" t="n">
        <f aca="false">ROUND(E93*Rubric!$B$4+F93*Rubric!$B$5+G93*Rubric!$B$6+H93*Rubric!$B$7+I93*Rubric!$B$8+J93*Rubric!$B$9+K93*Rubric!$B$10-IF(OR(G93&lt;Rubric!$B$12,J93&lt;Rubric!$B$12),Rubric!$B$13,0),2)</f>
        <v>8.1</v>
      </c>
      <c r="M93" s="4" t="s">
        <v>81</v>
      </c>
      <c r="N93" s="16" t="s">
        <v>81</v>
      </c>
      <c r="O93" s="14" t="n">
        <v>1041</v>
      </c>
    </row>
    <row r="94" customFormat="false" ht="23.85" hidden="false" customHeight="false" outlineLevel="0" collapsed="false">
      <c r="A94" s="2" t="s">
        <v>100</v>
      </c>
      <c r="B94" s="2" t="s">
        <v>101</v>
      </c>
      <c r="C94" s="14" t="n">
        <v>3</v>
      </c>
      <c r="D94" s="2" t="s">
        <v>361</v>
      </c>
      <c r="E94" s="15" t="n">
        <v>9</v>
      </c>
      <c r="F94" s="15" t="n">
        <v>8</v>
      </c>
      <c r="G94" s="15" t="n">
        <v>8</v>
      </c>
      <c r="H94" s="15" t="n">
        <v>10</v>
      </c>
      <c r="I94" s="15" t="n">
        <v>8</v>
      </c>
      <c r="J94" s="15" t="n">
        <v>8</v>
      </c>
      <c r="K94" s="15" t="n">
        <v>9</v>
      </c>
      <c r="L94" s="4" t="n">
        <f aca="false">ROUND(E94*Rubric!$B$4+F94*Rubric!$B$5+G94*Rubric!$B$6+H94*Rubric!$B$7+I94*Rubric!$B$8+J94*Rubric!$B$9+K94*Rubric!$B$10-IF(OR(G94&lt;Rubric!$B$12,J94&lt;Rubric!$B$12),Rubric!$B$13,0),2)</f>
        <v>8.4</v>
      </c>
      <c r="M94" s="4" t="s">
        <v>81</v>
      </c>
      <c r="N94" s="16" t="s">
        <v>81</v>
      </c>
      <c r="O94" s="14" t="n">
        <v>1042</v>
      </c>
    </row>
    <row r="95" customFormat="false" ht="23.85" hidden="false" customHeight="false" outlineLevel="0" collapsed="false">
      <c r="A95" s="2" t="s">
        <v>100</v>
      </c>
      <c r="B95" s="2" t="s">
        <v>101</v>
      </c>
      <c r="C95" s="14" t="n">
        <v>4</v>
      </c>
      <c r="D95" s="2" t="s">
        <v>332</v>
      </c>
      <c r="E95" s="15" t="n">
        <v>9</v>
      </c>
      <c r="F95" s="15" t="n">
        <v>8</v>
      </c>
      <c r="G95" s="15" t="n">
        <v>7</v>
      </c>
      <c r="H95" s="15" t="n">
        <v>4</v>
      </c>
      <c r="I95" s="15" t="n">
        <v>7</v>
      </c>
      <c r="J95" s="15" t="n">
        <v>7</v>
      </c>
      <c r="K95" s="15" t="n">
        <v>7</v>
      </c>
      <c r="L95" s="4" t="n">
        <f aca="false">ROUND(E95*Rubric!$B$4+F95*Rubric!$B$5+G95*Rubric!$B$6+H95*Rubric!$B$7+I95*Rubric!$B$8+J95*Rubric!$B$9+K95*Rubric!$B$10-IF(OR(G95&lt;Rubric!$B$12,J95&lt;Rubric!$B$12),Rubric!$B$13,0),2)</f>
        <v>7.1</v>
      </c>
      <c r="M95" s="4" t="s">
        <v>81</v>
      </c>
      <c r="N95" s="16" t="s">
        <v>81</v>
      </c>
      <c r="O95" s="14" t="n">
        <v>1043</v>
      </c>
    </row>
    <row r="96" customFormat="false" ht="23.85" hidden="false" customHeight="false" outlineLevel="0" collapsed="false">
      <c r="A96" s="2" t="s">
        <v>100</v>
      </c>
      <c r="B96" s="2" t="s">
        <v>101</v>
      </c>
      <c r="C96" s="14" t="n">
        <v>5</v>
      </c>
      <c r="D96" s="2" t="s">
        <v>329</v>
      </c>
      <c r="E96" s="15" t="n">
        <v>8</v>
      </c>
      <c r="F96" s="15" t="n">
        <v>8</v>
      </c>
      <c r="G96" s="15" t="n">
        <v>7</v>
      </c>
      <c r="H96" s="15" t="n">
        <v>9</v>
      </c>
      <c r="I96" s="15" t="n">
        <v>7</v>
      </c>
      <c r="J96" s="15" t="n">
        <v>8</v>
      </c>
      <c r="K96" s="15" t="n">
        <v>9</v>
      </c>
      <c r="L96" s="4" t="n">
        <f aca="false">ROUND(E96*Rubric!$B$4+F96*Rubric!$B$5+G96*Rubric!$B$6+H96*Rubric!$B$7+I96*Rubric!$B$8+J96*Rubric!$B$9+K96*Rubric!$B$10-IF(OR(G96&lt;Rubric!$B$12,J96&lt;Rubric!$B$12),Rubric!$B$13,0),2)</f>
        <v>7.85</v>
      </c>
      <c r="M96" s="4" t="s">
        <v>81</v>
      </c>
      <c r="N96" s="16" t="s">
        <v>81</v>
      </c>
      <c r="O96" s="14" t="n">
        <v>1044</v>
      </c>
    </row>
    <row r="97" customFormat="false" ht="23.85" hidden="false" customHeight="false" outlineLevel="0" collapsed="false">
      <c r="A97" s="2" t="s">
        <v>106</v>
      </c>
      <c r="B97" s="2" t="s">
        <v>107</v>
      </c>
      <c r="C97" s="14" t="n">
        <v>1</v>
      </c>
      <c r="D97" s="2" t="s">
        <v>375</v>
      </c>
      <c r="E97" s="15" t="n">
        <v>8</v>
      </c>
      <c r="F97" s="15" t="n">
        <v>9</v>
      </c>
      <c r="G97" s="15" t="n">
        <v>7</v>
      </c>
      <c r="H97" s="15" t="n">
        <v>3</v>
      </c>
      <c r="I97" s="15" t="n">
        <v>8</v>
      </c>
      <c r="J97" s="15" t="n">
        <v>8</v>
      </c>
      <c r="K97" s="15" t="n">
        <v>8</v>
      </c>
      <c r="L97" s="4" t="n">
        <f aca="false">ROUND(E97*Rubric!$B$4+F97*Rubric!$B$5+G97*Rubric!$B$6+H97*Rubric!$B$7+I97*Rubric!$B$8+J97*Rubric!$B$9+K97*Rubric!$B$10-IF(OR(G97&lt;Rubric!$B$12,J97&lt;Rubric!$B$12),Rubric!$B$13,0),2)</f>
        <v>7.5</v>
      </c>
      <c r="M97" s="4" t="s">
        <v>81</v>
      </c>
      <c r="N97" s="16" t="s">
        <v>81</v>
      </c>
      <c r="O97" s="14" t="n">
        <v>1050</v>
      </c>
    </row>
    <row r="98" customFormat="false" ht="15" hidden="false" customHeight="false" outlineLevel="0" collapsed="false">
      <c r="A98" s="2" t="s">
        <v>106</v>
      </c>
      <c r="B98" s="2" t="s">
        <v>107</v>
      </c>
      <c r="C98" s="14" t="n">
        <v>2</v>
      </c>
      <c r="D98" s="2" t="s">
        <v>377</v>
      </c>
      <c r="E98" s="15" t="n">
        <v>9</v>
      </c>
      <c r="F98" s="15" t="n">
        <v>9</v>
      </c>
      <c r="G98" s="15" t="n">
        <v>7</v>
      </c>
      <c r="H98" s="15" t="n">
        <v>3</v>
      </c>
      <c r="I98" s="15" t="n">
        <v>8</v>
      </c>
      <c r="J98" s="15" t="n">
        <v>8</v>
      </c>
      <c r="K98" s="15" t="n">
        <v>8</v>
      </c>
      <c r="L98" s="4" t="n">
        <f aca="false">ROUND(E98*Rubric!$B$4+F98*Rubric!$B$5+G98*Rubric!$B$6+H98*Rubric!$B$7+I98*Rubric!$B$8+J98*Rubric!$B$9+K98*Rubric!$B$10-IF(OR(G98&lt;Rubric!$B$12,J98&lt;Rubric!$B$12),Rubric!$B$13,0),2)</f>
        <v>7.6</v>
      </c>
      <c r="M98" s="4" t="s">
        <v>81</v>
      </c>
      <c r="N98" s="16" t="s">
        <v>81</v>
      </c>
      <c r="O98" s="14" t="n">
        <v>1051</v>
      </c>
    </row>
    <row r="99" customFormat="false" ht="23.85" hidden="false" customHeight="false" outlineLevel="0" collapsed="false">
      <c r="A99" s="2" t="s">
        <v>106</v>
      </c>
      <c r="B99" s="2" t="s">
        <v>107</v>
      </c>
      <c r="C99" s="14" t="n">
        <v>3</v>
      </c>
      <c r="D99" s="2" t="s">
        <v>333</v>
      </c>
      <c r="E99" s="15" t="n">
        <v>8</v>
      </c>
      <c r="F99" s="15" t="n">
        <v>8</v>
      </c>
      <c r="G99" s="15" t="n">
        <v>8</v>
      </c>
      <c r="H99" s="15" t="n">
        <v>3</v>
      </c>
      <c r="I99" s="15" t="n">
        <v>7</v>
      </c>
      <c r="J99" s="15" t="n">
        <v>8</v>
      </c>
      <c r="K99" s="15" t="n">
        <v>7</v>
      </c>
      <c r="L99" s="4" t="n">
        <f aca="false">ROUND(E99*Rubric!$B$4+F99*Rubric!$B$5+G99*Rubric!$B$6+H99*Rubric!$B$7+I99*Rubric!$B$8+J99*Rubric!$B$9+K99*Rubric!$B$10-IF(OR(G99&lt;Rubric!$B$12,J99&lt;Rubric!$B$12),Rubric!$B$13,0),2)</f>
        <v>7.25</v>
      </c>
      <c r="M99" s="4" t="s">
        <v>81</v>
      </c>
      <c r="N99" s="16" t="s">
        <v>81</v>
      </c>
      <c r="O99" s="14" t="n">
        <v>1052</v>
      </c>
    </row>
    <row r="100" customFormat="false" ht="23.85" hidden="false" customHeight="false" outlineLevel="0" collapsed="false">
      <c r="A100" s="2" t="s">
        <v>106</v>
      </c>
      <c r="B100" s="2" t="s">
        <v>107</v>
      </c>
      <c r="C100" s="14" t="n">
        <v>4</v>
      </c>
      <c r="D100" s="2" t="s">
        <v>369</v>
      </c>
      <c r="E100" s="15" t="n">
        <v>8</v>
      </c>
      <c r="F100" s="15" t="n">
        <v>8</v>
      </c>
      <c r="G100" s="15" t="n">
        <v>8</v>
      </c>
      <c r="H100" s="15" t="n">
        <v>3</v>
      </c>
      <c r="I100" s="15" t="n">
        <v>7</v>
      </c>
      <c r="J100" s="15" t="n">
        <v>8</v>
      </c>
      <c r="K100" s="15" t="n">
        <v>8</v>
      </c>
      <c r="L100" s="4" t="n">
        <f aca="false">ROUND(E100*Rubric!$B$4+F100*Rubric!$B$5+G100*Rubric!$B$6+H100*Rubric!$B$7+I100*Rubric!$B$8+J100*Rubric!$B$9+K100*Rubric!$B$10-IF(OR(G100&lt;Rubric!$B$12,J100&lt;Rubric!$B$12),Rubric!$B$13,0),2)</f>
        <v>7.35</v>
      </c>
      <c r="M100" s="4" t="s">
        <v>81</v>
      </c>
      <c r="N100" s="16" t="s">
        <v>81</v>
      </c>
      <c r="O100" s="14" t="n">
        <v>1053</v>
      </c>
    </row>
    <row r="101" customFormat="false" ht="23.85" hidden="false" customHeight="false" outlineLevel="0" collapsed="false">
      <c r="A101" s="2" t="s">
        <v>106</v>
      </c>
      <c r="B101" s="2" t="s">
        <v>107</v>
      </c>
      <c r="C101" s="14" t="n">
        <v>5</v>
      </c>
      <c r="D101" s="2" t="s">
        <v>334</v>
      </c>
      <c r="E101" s="15" t="n">
        <v>8</v>
      </c>
      <c r="F101" s="15" t="n">
        <v>8</v>
      </c>
      <c r="G101" s="15" t="n">
        <v>8</v>
      </c>
      <c r="H101" s="15" t="n">
        <v>8</v>
      </c>
      <c r="I101" s="15" t="n">
        <v>6</v>
      </c>
      <c r="J101" s="15" t="n">
        <v>7</v>
      </c>
      <c r="K101" s="15" t="n">
        <v>8</v>
      </c>
      <c r="L101" s="4" t="n">
        <f aca="false">ROUND(E101*Rubric!$B$4+F101*Rubric!$B$5+G101*Rubric!$B$6+H101*Rubric!$B$7+I101*Rubric!$B$8+J101*Rubric!$B$9+K101*Rubric!$B$10-IF(OR(G101&lt;Rubric!$B$12,J101&lt;Rubric!$B$12),Rubric!$B$13,0),2)</f>
        <v>7.55</v>
      </c>
      <c r="M101" s="4" t="s">
        <v>81</v>
      </c>
      <c r="N101" s="16" t="s">
        <v>81</v>
      </c>
      <c r="O101" s="14" t="n">
        <v>1054</v>
      </c>
    </row>
    <row r="102" customFormat="false" ht="23.85" hidden="false" customHeight="false" outlineLevel="0" collapsed="false">
      <c r="A102" s="2" t="s">
        <v>112</v>
      </c>
      <c r="B102" s="2" t="s">
        <v>113</v>
      </c>
      <c r="C102" s="14" t="n">
        <v>1</v>
      </c>
      <c r="D102" s="2" t="s">
        <v>325</v>
      </c>
      <c r="E102" s="15" t="n">
        <v>8</v>
      </c>
      <c r="F102" s="15" t="n">
        <v>8</v>
      </c>
      <c r="G102" s="15" t="n">
        <v>8</v>
      </c>
      <c r="H102" s="15" t="n">
        <v>3</v>
      </c>
      <c r="I102" s="15" t="n">
        <v>8</v>
      </c>
      <c r="J102" s="15" t="n">
        <v>8</v>
      </c>
      <c r="K102" s="15" t="n">
        <v>7</v>
      </c>
      <c r="L102" s="4" t="n">
        <f aca="false">ROUND(E102*Rubric!$B$4+F102*Rubric!$B$5+G102*Rubric!$B$6+H102*Rubric!$B$7+I102*Rubric!$B$8+J102*Rubric!$B$9+K102*Rubric!$B$10-IF(OR(G102&lt;Rubric!$B$12,J102&lt;Rubric!$B$12),Rubric!$B$13,0),2)</f>
        <v>7.4</v>
      </c>
      <c r="M102" s="4" t="s">
        <v>81</v>
      </c>
      <c r="N102" s="16" t="s">
        <v>81</v>
      </c>
      <c r="O102" s="14" t="n">
        <v>1060</v>
      </c>
    </row>
    <row r="103" customFormat="false" ht="15" hidden="false" customHeight="false" outlineLevel="0" collapsed="false">
      <c r="A103" s="2" t="s">
        <v>112</v>
      </c>
      <c r="B103" s="2" t="s">
        <v>113</v>
      </c>
      <c r="C103" s="14" t="n">
        <v>2</v>
      </c>
      <c r="D103" s="2" t="s">
        <v>327</v>
      </c>
      <c r="E103" s="15" t="n">
        <v>9</v>
      </c>
      <c r="F103" s="15" t="n">
        <v>9</v>
      </c>
      <c r="G103" s="15" t="n">
        <v>8</v>
      </c>
      <c r="H103" s="15" t="n">
        <v>3</v>
      </c>
      <c r="I103" s="15" t="n">
        <v>8</v>
      </c>
      <c r="J103" s="15" t="n">
        <v>9</v>
      </c>
      <c r="K103" s="15" t="n">
        <v>8</v>
      </c>
      <c r="L103" s="4" t="n">
        <f aca="false">ROUND(E103*Rubric!$B$4+F103*Rubric!$B$5+G103*Rubric!$B$6+H103*Rubric!$B$7+I103*Rubric!$B$8+J103*Rubric!$B$9+K103*Rubric!$B$10-IF(OR(G103&lt;Rubric!$B$12,J103&lt;Rubric!$B$12),Rubric!$B$13,0),2)</f>
        <v>7.95</v>
      </c>
      <c r="M103" s="4" t="s">
        <v>81</v>
      </c>
      <c r="N103" s="16" t="s">
        <v>81</v>
      </c>
      <c r="O103" s="14" t="n">
        <v>1061</v>
      </c>
    </row>
    <row r="104" customFormat="false" ht="23.85" hidden="false" customHeight="false" outlineLevel="0" collapsed="false">
      <c r="A104" s="2" t="s">
        <v>112</v>
      </c>
      <c r="B104" s="2" t="s">
        <v>113</v>
      </c>
      <c r="C104" s="14" t="n">
        <v>3</v>
      </c>
      <c r="D104" s="2" t="s">
        <v>326</v>
      </c>
      <c r="E104" s="15" t="n">
        <v>8</v>
      </c>
      <c r="F104" s="15" t="n">
        <v>9</v>
      </c>
      <c r="G104" s="15" t="n">
        <v>7</v>
      </c>
      <c r="H104" s="15" t="n">
        <v>3</v>
      </c>
      <c r="I104" s="15" t="n">
        <v>8</v>
      </c>
      <c r="J104" s="15" t="n">
        <v>8</v>
      </c>
      <c r="K104" s="15" t="n">
        <v>8</v>
      </c>
      <c r="L104" s="4" t="n">
        <f aca="false">ROUND(E104*Rubric!$B$4+F104*Rubric!$B$5+G104*Rubric!$B$6+H104*Rubric!$B$7+I104*Rubric!$B$8+J104*Rubric!$B$9+K104*Rubric!$B$10-IF(OR(G104&lt;Rubric!$B$12,J104&lt;Rubric!$B$12),Rubric!$B$13,0),2)</f>
        <v>7.5</v>
      </c>
      <c r="M104" s="4" t="s">
        <v>81</v>
      </c>
      <c r="N104" s="16" t="s">
        <v>81</v>
      </c>
      <c r="O104" s="14" t="n">
        <v>1062</v>
      </c>
    </row>
    <row r="105" customFormat="false" ht="23.85" hidden="false" customHeight="false" outlineLevel="0" collapsed="false">
      <c r="A105" s="2" t="s">
        <v>112</v>
      </c>
      <c r="B105" s="2" t="s">
        <v>113</v>
      </c>
      <c r="C105" s="14" t="n">
        <v>4</v>
      </c>
      <c r="D105" s="2" t="s">
        <v>330</v>
      </c>
      <c r="E105" s="15" t="n">
        <v>9</v>
      </c>
      <c r="F105" s="15" t="n">
        <v>8</v>
      </c>
      <c r="G105" s="15" t="n">
        <v>8</v>
      </c>
      <c r="H105" s="15" t="n">
        <v>3</v>
      </c>
      <c r="I105" s="15" t="n">
        <v>7</v>
      </c>
      <c r="J105" s="15" t="n">
        <v>8</v>
      </c>
      <c r="K105" s="15" t="n">
        <v>7</v>
      </c>
      <c r="L105" s="4" t="n">
        <f aca="false">ROUND(E105*Rubric!$B$4+F105*Rubric!$B$5+G105*Rubric!$B$6+H105*Rubric!$B$7+I105*Rubric!$B$8+J105*Rubric!$B$9+K105*Rubric!$B$10-IF(OR(G105&lt;Rubric!$B$12,J105&lt;Rubric!$B$12),Rubric!$B$13,0),2)</f>
        <v>7.35</v>
      </c>
      <c r="M105" s="4" t="s">
        <v>81</v>
      </c>
      <c r="N105" s="16" t="s">
        <v>81</v>
      </c>
      <c r="O105" s="14" t="n">
        <v>1063</v>
      </c>
    </row>
    <row r="106" customFormat="false" ht="23.85" hidden="false" customHeight="false" outlineLevel="0" collapsed="false">
      <c r="A106" s="2" t="s">
        <v>112</v>
      </c>
      <c r="B106" s="2" t="s">
        <v>113</v>
      </c>
      <c r="C106" s="14" t="n">
        <v>5</v>
      </c>
      <c r="D106" s="2" t="s">
        <v>329</v>
      </c>
      <c r="E106" s="15" t="n">
        <v>8</v>
      </c>
      <c r="F106" s="15" t="n">
        <v>8</v>
      </c>
      <c r="G106" s="15" t="n">
        <v>7</v>
      </c>
      <c r="H106" s="15" t="n">
        <v>9</v>
      </c>
      <c r="I106" s="15" t="n">
        <v>7</v>
      </c>
      <c r="J106" s="15" t="n">
        <v>8</v>
      </c>
      <c r="K106" s="15" t="n">
        <v>9</v>
      </c>
      <c r="L106" s="4" t="n">
        <f aca="false">ROUND(E106*Rubric!$B$4+F106*Rubric!$B$5+G106*Rubric!$B$6+H106*Rubric!$B$7+I106*Rubric!$B$8+J106*Rubric!$B$9+K106*Rubric!$B$10-IF(OR(G106&lt;Rubric!$B$12,J106&lt;Rubric!$B$12),Rubric!$B$13,0),2)</f>
        <v>7.85</v>
      </c>
      <c r="M106" s="4" t="s">
        <v>81</v>
      </c>
      <c r="N106" s="16" t="s">
        <v>81</v>
      </c>
      <c r="O106" s="14" t="n">
        <v>1064</v>
      </c>
    </row>
    <row r="107" customFormat="false" ht="23.85" hidden="false" customHeight="false" outlineLevel="0" collapsed="false">
      <c r="A107" s="2" t="s">
        <v>117</v>
      </c>
      <c r="B107" s="2" t="s">
        <v>118</v>
      </c>
      <c r="C107" s="14" t="n">
        <v>1</v>
      </c>
      <c r="D107" s="2" t="s">
        <v>352</v>
      </c>
      <c r="E107" s="15" t="n">
        <v>9</v>
      </c>
      <c r="F107" s="15" t="n">
        <v>9</v>
      </c>
      <c r="G107" s="15" t="n">
        <v>7</v>
      </c>
      <c r="H107" s="15" t="n">
        <v>10</v>
      </c>
      <c r="I107" s="15" t="n">
        <v>9</v>
      </c>
      <c r="J107" s="15" t="n">
        <v>8</v>
      </c>
      <c r="K107" s="15" t="n">
        <v>10</v>
      </c>
      <c r="L107" s="4" t="n">
        <f aca="false">ROUND(E107*Rubric!$B$4+F107*Rubric!$B$5+G107*Rubric!$B$6+H107*Rubric!$B$7+I107*Rubric!$B$8+J107*Rubric!$B$9+K107*Rubric!$B$10-IF(OR(G107&lt;Rubric!$B$12,J107&lt;Rubric!$B$12),Rubric!$B$13,0),2)</f>
        <v>8.65</v>
      </c>
      <c r="M107" s="4" t="s">
        <v>81</v>
      </c>
      <c r="N107" s="16" t="s">
        <v>81</v>
      </c>
      <c r="O107" s="14" t="n">
        <v>1070</v>
      </c>
    </row>
    <row r="108" customFormat="false" ht="23.85" hidden="false" customHeight="false" outlineLevel="0" collapsed="false">
      <c r="A108" s="2" t="s">
        <v>117</v>
      </c>
      <c r="B108" s="2" t="s">
        <v>118</v>
      </c>
      <c r="C108" s="14" t="n">
        <v>2</v>
      </c>
      <c r="D108" s="2" t="s">
        <v>361</v>
      </c>
      <c r="E108" s="15" t="n">
        <v>9</v>
      </c>
      <c r="F108" s="15" t="n">
        <v>8</v>
      </c>
      <c r="G108" s="15" t="n">
        <v>8</v>
      </c>
      <c r="H108" s="15" t="n">
        <v>10</v>
      </c>
      <c r="I108" s="15" t="n">
        <v>8</v>
      </c>
      <c r="J108" s="15" t="n">
        <v>8</v>
      </c>
      <c r="K108" s="15" t="n">
        <v>9</v>
      </c>
      <c r="L108" s="4" t="n">
        <f aca="false">ROUND(E108*Rubric!$B$4+F108*Rubric!$B$5+G108*Rubric!$B$6+H108*Rubric!$B$7+I108*Rubric!$B$8+J108*Rubric!$B$9+K108*Rubric!$B$10-IF(OR(G108&lt;Rubric!$B$12,J108&lt;Rubric!$B$12),Rubric!$B$13,0),2)</f>
        <v>8.4</v>
      </c>
      <c r="M108" s="4" t="s">
        <v>81</v>
      </c>
      <c r="N108" s="16" t="s">
        <v>81</v>
      </c>
      <c r="O108" s="14" t="n">
        <v>1071</v>
      </c>
    </row>
    <row r="109" customFormat="false" ht="23.85" hidden="false" customHeight="false" outlineLevel="0" collapsed="false">
      <c r="A109" s="2" t="s">
        <v>117</v>
      </c>
      <c r="B109" s="2" t="s">
        <v>118</v>
      </c>
      <c r="C109" s="14" t="n">
        <v>3</v>
      </c>
      <c r="D109" s="2" t="s">
        <v>338</v>
      </c>
      <c r="E109" s="15" t="n">
        <v>8</v>
      </c>
      <c r="F109" s="15" t="n">
        <v>8</v>
      </c>
      <c r="G109" s="15" t="n">
        <v>7</v>
      </c>
      <c r="H109" s="15" t="n">
        <v>10</v>
      </c>
      <c r="I109" s="15" t="n">
        <v>8</v>
      </c>
      <c r="J109" s="15" t="n">
        <v>7</v>
      </c>
      <c r="K109" s="15" t="n">
        <v>9</v>
      </c>
      <c r="L109" s="4" t="n">
        <f aca="false">ROUND(E109*Rubric!$B$4+F109*Rubric!$B$5+G109*Rubric!$B$6+H109*Rubric!$B$7+I109*Rubric!$B$8+J109*Rubric!$B$9+K109*Rubric!$B$10-IF(OR(G109&lt;Rubric!$B$12,J109&lt;Rubric!$B$12),Rubric!$B$13,0),2)</f>
        <v>7.95</v>
      </c>
      <c r="M109" s="4" t="s">
        <v>81</v>
      </c>
      <c r="N109" s="16" t="s">
        <v>81</v>
      </c>
      <c r="O109" s="14" t="n">
        <v>1072</v>
      </c>
    </row>
    <row r="110" customFormat="false" ht="23.85" hidden="false" customHeight="false" outlineLevel="0" collapsed="false">
      <c r="A110" s="2" t="s">
        <v>117</v>
      </c>
      <c r="B110" s="2" t="s">
        <v>118</v>
      </c>
      <c r="C110" s="14" t="n">
        <v>4</v>
      </c>
      <c r="D110" s="2" t="s">
        <v>357</v>
      </c>
      <c r="E110" s="15" t="n">
        <v>8</v>
      </c>
      <c r="F110" s="15" t="n">
        <v>8</v>
      </c>
      <c r="G110" s="15" t="n">
        <v>7</v>
      </c>
      <c r="H110" s="15" t="n">
        <v>10</v>
      </c>
      <c r="I110" s="15" t="n">
        <v>9</v>
      </c>
      <c r="J110" s="15" t="n">
        <v>7</v>
      </c>
      <c r="K110" s="15" t="n">
        <v>9</v>
      </c>
      <c r="L110" s="4" t="n">
        <f aca="false">ROUND(E110*Rubric!$B$4+F110*Rubric!$B$5+G110*Rubric!$B$6+H110*Rubric!$B$7+I110*Rubric!$B$8+J110*Rubric!$B$9+K110*Rubric!$B$10-IF(OR(G110&lt;Rubric!$B$12,J110&lt;Rubric!$B$12),Rubric!$B$13,0),2)</f>
        <v>8.1</v>
      </c>
      <c r="M110" s="4" t="s">
        <v>81</v>
      </c>
      <c r="N110" s="16" t="s">
        <v>81</v>
      </c>
      <c r="O110" s="14" t="n">
        <v>1073</v>
      </c>
    </row>
    <row r="111" customFormat="false" ht="15" hidden="false" customHeight="false" outlineLevel="0" collapsed="false">
      <c r="A111" s="2" t="s">
        <v>117</v>
      </c>
      <c r="B111" s="2" t="s">
        <v>118</v>
      </c>
      <c r="C111" s="14" t="n">
        <v>5</v>
      </c>
      <c r="D111" s="2" t="s">
        <v>349</v>
      </c>
      <c r="E111" s="15" t="n">
        <v>8</v>
      </c>
      <c r="F111" s="15" t="n">
        <v>8</v>
      </c>
      <c r="G111" s="15" t="n">
        <v>8</v>
      </c>
      <c r="H111" s="15" t="n">
        <v>9</v>
      </c>
      <c r="I111" s="15" t="n">
        <v>7</v>
      </c>
      <c r="J111" s="15" t="n">
        <v>8</v>
      </c>
      <c r="K111" s="15" t="n">
        <v>9</v>
      </c>
      <c r="L111" s="4" t="n">
        <f aca="false">ROUND(E111*Rubric!$B$4+F111*Rubric!$B$5+G111*Rubric!$B$6+H111*Rubric!$B$7+I111*Rubric!$B$8+J111*Rubric!$B$9+K111*Rubric!$B$10-IF(OR(G111&lt;Rubric!$B$12,J111&lt;Rubric!$B$12),Rubric!$B$13,0),2)</f>
        <v>8.05</v>
      </c>
      <c r="M111" s="4" t="s">
        <v>81</v>
      </c>
      <c r="N111" s="16" t="s">
        <v>81</v>
      </c>
      <c r="O111" s="14" t="n">
        <v>1074</v>
      </c>
    </row>
    <row r="112" customFormat="false" ht="23.85" hidden="false" customHeight="false" outlineLevel="0" collapsed="false">
      <c r="A112" s="2" t="s">
        <v>121</v>
      </c>
      <c r="B112" s="2" t="s">
        <v>122</v>
      </c>
      <c r="C112" s="14" t="n">
        <v>1</v>
      </c>
      <c r="D112" s="2" t="s">
        <v>360</v>
      </c>
      <c r="E112" s="15" t="n">
        <v>8</v>
      </c>
      <c r="F112" s="15" t="n">
        <v>8</v>
      </c>
      <c r="G112" s="15" t="n">
        <v>7</v>
      </c>
      <c r="H112" s="15" t="n">
        <v>10</v>
      </c>
      <c r="I112" s="15" t="n">
        <v>9</v>
      </c>
      <c r="J112" s="15" t="n">
        <v>7</v>
      </c>
      <c r="K112" s="15" t="n">
        <v>9</v>
      </c>
      <c r="L112" s="4" t="n">
        <f aca="false">ROUND(E112*Rubric!$B$4+F112*Rubric!$B$5+G112*Rubric!$B$6+H112*Rubric!$B$7+I112*Rubric!$B$8+J112*Rubric!$B$9+K112*Rubric!$B$10-IF(OR(G112&lt;Rubric!$B$12,J112&lt;Rubric!$B$12),Rubric!$B$13,0),2)</f>
        <v>8.1</v>
      </c>
      <c r="M112" s="4" t="s">
        <v>81</v>
      </c>
      <c r="N112" s="16" t="s">
        <v>81</v>
      </c>
      <c r="O112" s="14" t="n">
        <v>1080</v>
      </c>
    </row>
    <row r="113" customFormat="false" ht="23.85" hidden="false" customHeight="false" outlineLevel="0" collapsed="false">
      <c r="A113" s="2" t="s">
        <v>121</v>
      </c>
      <c r="B113" s="2" t="s">
        <v>122</v>
      </c>
      <c r="C113" s="14" t="n">
        <v>2</v>
      </c>
      <c r="D113" s="2" t="s">
        <v>361</v>
      </c>
      <c r="E113" s="15" t="n">
        <v>9</v>
      </c>
      <c r="F113" s="15" t="n">
        <v>8</v>
      </c>
      <c r="G113" s="15" t="n">
        <v>8</v>
      </c>
      <c r="H113" s="15" t="n">
        <v>10</v>
      </c>
      <c r="I113" s="15" t="n">
        <v>8</v>
      </c>
      <c r="J113" s="15" t="n">
        <v>8</v>
      </c>
      <c r="K113" s="15" t="n">
        <v>9</v>
      </c>
      <c r="L113" s="4" t="n">
        <f aca="false">ROUND(E113*Rubric!$B$4+F113*Rubric!$B$5+G113*Rubric!$B$6+H113*Rubric!$B$7+I113*Rubric!$B$8+J113*Rubric!$B$9+K113*Rubric!$B$10-IF(OR(G113&lt;Rubric!$B$12,J113&lt;Rubric!$B$12),Rubric!$B$13,0),2)</f>
        <v>8.4</v>
      </c>
      <c r="M113" s="4" t="s">
        <v>81</v>
      </c>
      <c r="N113" s="16" t="s">
        <v>81</v>
      </c>
      <c r="O113" s="14" t="n">
        <v>1081</v>
      </c>
    </row>
    <row r="114" customFormat="false" ht="23.85" hidden="false" customHeight="false" outlineLevel="0" collapsed="false">
      <c r="A114" s="2" t="s">
        <v>121</v>
      </c>
      <c r="B114" s="2" t="s">
        <v>122</v>
      </c>
      <c r="C114" s="14" t="n">
        <v>3</v>
      </c>
      <c r="D114" s="2" t="s">
        <v>353</v>
      </c>
      <c r="E114" s="15" t="n">
        <v>7</v>
      </c>
      <c r="F114" s="15" t="n">
        <v>8</v>
      </c>
      <c r="G114" s="15" t="n">
        <v>8</v>
      </c>
      <c r="H114" s="15" t="n">
        <v>10</v>
      </c>
      <c r="I114" s="15" t="n">
        <v>8</v>
      </c>
      <c r="J114" s="15" t="n">
        <v>8</v>
      </c>
      <c r="K114" s="15" t="n">
        <v>9</v>
      </c>
      <c r="L114" s="4" t="n">
        <f aca="false">ROUND(E114*Rubric!$B$4+F114*Rubric!$B$5+G114*Rubric!$B$6+H114*Rubric!$B$7+I114*Rubric!$B$8+J114*Rubric!$B$9+K114*Rubric!$B$10-IF(OR(G114&lt;Rubric!$B$12,J114&lt;Rubric!$B$12),Rubric!$B$13,0),2)</f>
        <v>8.2</v>
      </c>
      <c r="M114" s="4" t="s">
        <v>81</v>
      </c>
      <c r="N114" s="16" t="s">
        <v>81</v>
      </c>
      <c r="O114" s="14" t="n">
        <v>1082</v>
      </c>
    </row>
    <row r="115" customFormat="false" ht="23.85" hidden="false" customHeight="false" outlineLevel="0" collapsed="false">
      <c r="A115" s="2" t="s">
        <v>121</v>
      </c>
      <c r="B115" s="2" t="s">
        <v>122</v>
      </c>
      <c r="C115" s="14" t="n">
        <v>4</v>
      </c>
      <c r="D115" s="2" t="s">
        <v>374</v>
      </c>
      <c r="E115" s="15" t="n">
        <v>8</v>
      </c>
      <c r="F115" s="15" t="n">
        <v>8</v>
      </c>
      <c r="G115" s="15" t="n">
        <v>8</v>
      </c>
      <c r="H115" s="15" t="n">
        <v>9</v>
      </c>
      <c r="I115" s="15" t="n">
        <v>6</v>
      </c>
      <c r="J115" s="15" t="n">
        <v>8</v>
      </c>
      <c r="K115" s="15" t="n">
        <v>8</v>
      </c>
      <c r="L115" s="4" t="n">
        <f aca="false">ROUND(E115*Rubric!$B$4+F115*Rubric!$B$5+G115*Rubric!$B$6+H115*Rubric!$B$7+I115*Rubric!$B$8+J115*Rubric!$B$9+K115*Rubric!$B$10-IF(OR(G115&lt;Rubric!$B$12,J115&lt;Rubric!$B$12),Rubric!$B$13,0),2)</f>
        <v>7.8</v>
      </c>
      <c r="M115" s="4" t="s">
        <v>81</v>
      </c>
      <c r="N115" s="16" t="s">
        <v>81</v>
      </c>
      <c r="O115" s="14" t="n">
        <v>1083</v>
      </c>
    </row>
    <row r="116" customFormat="false" ht="23.85" hidden="false" customHeight="false" outlineLevel="0" collapsed="false">
      <c r="A116" s="2" t="s">
        <v>121</v>
      </c>
      <c r="B116" s="2" t="s">
        <v>122</v>
      </c>
      <c r="C116" s="14" t="n">
        <v>5</v>
      </c>
      <c r="D116" s="2" t="s">
        <v>329</v>
      </c>
      <c r="E116" s="15" t="n">
        <v>8</v>
      </c>
      <c r="F116" s="15" t="n">
        <v>8</v>
      </c>
      <c r="G116" s="15" t="n">
        <v>7</v>
      </c>
      <c r="H116" s="15" t="n">
        <v>9</v>
      </c>
      <c r="I116" s="15" t="n">
        <v>7</v>
      </c>
      <c r="J116" s="15" t="n">
        <v>8</v>
      </c>
      <c r="K116" s="15" t="n">
        <v>9</v>
      </c>
      <c r="L116" s="4" t="n">
        <f aca="false">ROUND(E116*Rubric!$B$4+F116*Rubric!$B$5+G116*Rubric!$B$6+H116*Rubric!$B$7+I116*Rubric!$B$8+J116*Rubric!$B$9+K116*Rubric!$B$10-IF(OR(G116&lt;Rubric!$B$12,J116&lt;Rubric!$B$12),Rubric!$B$13,0),2)</f>
        <v>7.85</v>
      </c>
      <c r="M116" s="4" t="s">
        <v>81</v>
      </c>
      <c r="N116" s="16" t="s">
        <v>81</v>
      </c>
      <c r="O116" s="14" t="n">
        <v>1084</v>
      </c>
    </row>
    <row r="117" customFormat="false" ht="23.85" hidden="false" customHeight="false" outlineLevel="0" collapsed="false">
      <c r="A117" s="2" t="s">
        <v>125</v>
      </c>
      <c r="B117" s="2" t="s">
        <v>126</v>
      </c>
      <c r="C117" s="14" t="n">
        <v>1</v>
      </c>
      <c r="D117" s="2" t="s">
        <v>336</v>
      </c>
      <c r="E117" s="15" t="n">
        <v>9</v>
      </c>
      <c r="F117" s="15" t="n">
        <v>9</v>
      </c>
      <c r="G117" s="15" t="n">
        <v>7</v>
      </c>
      <c r="H117" s="15" t="n">
        <v>3</v>
      </c>
      <c r="I117" s="15" t="n">
        <v>8</v>
      </c>
      <c r="J117" s="15" t="n">
        <v>8</v>
      </c>
      <c r="K117" s="15" t="n">
        <v>8</v>
      </c>
      <c r="L117" s="4" t="n">
        <f aca="false">ROUND(E117*Rubric!$B$4+F117*Rubric!$B$5+G117*Rubric!$B$6+H117*Rubric!$B$7+I117*Rubric!$B$8+J117*Rubric!$B$9+K117*Rubric!$B$10-IF(OR(G117&lt;Rubric!$B$12,J117&lt;Rubric!$B$12),Rubric!$B$13,0),2)</f>
        <v>7.6</v>
      </c>
      <c r="M117" s="4" t="s">
        <v>81</v>
      </c>
      <c r="N117" s="16" t="s">
        <v>81</v>
      </c>
      <c r="O117" s="14" t="n">
        <v>1090</v>
      </c>
    </row>
    <row r="118" customFormat="false" ht="23.85" hidden="false" customHeight="false" outlineLevel="0" collapsed="false">
      <c r="A118" s="2" t="s">
        <v>125</v>
      </c>
      <c r="B118" s="2" t="s">
        <v>126</v>
      </c>
      <c r="C118" s="14" t="n">
        <v>2</v>
      </c>
      <c r="D118" s="2" t="s">
        <v>311</v>
      </c>
      <c r="E118" s="15" t="n">
        <v>9</v>
      </c>
      <c r="F118" s="15" t="n">
        <v>9</v>
      </c>
      <c r="G118" s="15" t="n">
        <v>8</v>
      </c>
      <c r="H118" s="15" t="n">
        <v>4</v>
      </c>
      <c r="I118" s="15" t="n">
        <v>7</v>
      </c>
      <c r="J118" s="15" t="n">
        <v>9</v>
      </c>
      <c r="K118" s="15" t="n">
        <v>8</v>
      </c>
      <c r="L118" s="4" t="n">
        <f aca="false">ROUND(E118*Rubric!$B$4+F118*Rubric!$B$5+G118*Rubric!$B$6+H118*Rubric!$B$7+I118*Rubric!$B$8+J118*Rubric!$B$9+K118*Rubric!$B$10-IF(OR(G118&lt;Rubric!$B$12,J118&lt;Rubric!$B$12),Rubric!$B$13,0),2)</f>
        <v>7.9</v>
      </c>
      <c r="M118" s="4" t="s">
        <v>81</v>
      </c>
      <c r="N118" s="16" t="s">
        <v>81</v>
      </c>
      <c r="O118" s="14" t="n">
        <v>1091</v>
      </c>
    </row>
    <row r="119" customFormat="false" ht="23.85" hidden="false" customHeight="false" outlineLevel="0" collapsed="false">
      <c r="A119" s="2" t="s">
        <v>125</v>
      </c>
      <c r="B119" s="2" t="s">
        <v>126</v>
      </c>
      <c r="C119" s="14" t="n">
        <v>3</v>
      </c>
      <c r="D119" s="2" t="s">
        <v>337</v>
      </c>
      <c r="E119" s="15" t="n">
        <v>9</v>
      </c>
      <c r="F119" s="15" t="n">
        <v>8</v>
      </c>
      <c r="G119" s="15" t="n">
        <v>8</v>
      </c>
      <c r="H119" s="15" t="n">
        <v>3</v>
      </c>
      <c r="I119" s="15" t="n">
        <v>7</v>
      </c>
      <c r="J119" s="15" t="n">
        <v>8</v>
      </c>
      <c r="K119" s="15" t="n">
        <v>7</v>
      </c>
      <c r="L119" s="4" t="n">
        <f aca="false">ROUND(E119*Rubric!$B$4+F119*Rubric!$B$5+G119*Rubric!$B$6+H119*Rubric!$B$7+I119*Rubric!$B$8+J119*Rubric!$B$9+K119*Rubric!$B$10-IF(OR(G119&lt;Rubric!$B$12,J119&lt;Rubric!$B$12),Rubric!$B$13,0),2)</f>
        <v>7.35</v>
      </c>
      <c r="M119" s="4" t="s">
        <v>81</v>
      </c>
      <c r="N119" s="16" t="s">
        <v>81</v>
      </c>
      <c r="O119" s="14" t="n">
        <v>1092</v>
      </c>
    </row>
    <row r="120" customFormat="false" ht="23.85" hidden="false" customHeight="false" outlineLevel="0" collapsed="false">
      <c r="A120" s="2" t="s">
        <v>125</v>
      </c>
      <c r="B120" s="2" t="s">
        <v>126</v>
      </c>
      <c r="C120" s="14" t="n">
        <v>4</v>
      </c>
      <c r="D120" s="2" t="s">
        <v>335</v>
      </c>
      <c r="E120" s="15" t="n">
        <v>9</v>
      </c>
      <c r="F120" s="15" t="n">
        <v>8</v>
      </c>
      <c r="G120" s="15" t="n">
        <v>8</v>
      </c>
      <c r="H120" s="15" t="n">
        <v>4</v>
      </c>
      <c r="I120" s="15" t="n">
        <v>7</v>
      </c>
      <c r="J120" s="15" t="n">
        <v>8</v>
      </c>
      <c r="K120" s="15" t="n">
        <v>7</v>
      </c>
      <c r="L120" s="4" t="n">
        <f aca="false">ROUND(E120*Rubric!$B$4+F120*Rubric!$B$5+G120*Rubric!$B$6+H120*Rubric!$B$7+I120*Rubric!$B$8+J120*Rubric!$B$9+K120*Rubric!$B$10-IF(OR(G120&lt;Rubric!$B$12,J120&lt;Rubric!$B$12),Rubric!$B$13,0),2)</f>
        <v>7.45</v>
      </c>
      <c r="M120" s="4" t="s">
        <v>81</v>
      </c>
      <c r="N120" s="16" t="s">
        <v>81</v>
      </c>
      <c r="O120" s="14" t="n">
        <v>1093</v>
      </c>
    </row>
    <row r="121" customFormat="false" ht="23.85" hidden="false" customHeight="false" outlineLevel="0" collapsed="false">
      <c r="A121" s="2" t="s">
        <v>125</v>
      </c>
      <c r="B121" s="2" t="s">
        <v>126</v>
      </c>
      <c r="C121" s="14" t="n">
        <v>5</v>
      </c>
      <c r="D121" s="2" t="s">
        <v>319</v>
      </c>
      <c r="E121" s="15" t="n">
        <v>8</v>
      </c>
      <c r="F121" s="15" t="n">
        <v>8</v>
      </c>
      <c r="G121" s="15" t="n">
        <v>7</v>
      </c>
      <c r="H121" s="15" t="n">
        <v>9</v>
      </c>
      <c r="I121" s="15" t="n">
        <v>6</v>
      </c>
      <c r="J121" s="15" t="n">
        <v>8</v>
      </c>
      <c r="K121" s="15" t="n">
        <v>9</v>
      </c>
      <c r="L121" s="4" t="n">
        <f aca="false">ROUND(E121*Rubric!$B$4+F121*Rubric!$B$5+G121*Rubric!$B$6+H121*Rubric!$B$7+I121*Rubric!$B$8+J121*Rubric!$B$9+K121*Rubric!$B$10-IF(OR(G121&lt;Rubric!$B$12,J121&lt;Rubric!$B$12),Rubric!$B$13,0),2)</f>
        <v>7.7</v>
      </c>
      <c r="M121" s="4" t="s">
        <v>81</v>
      </c>
      <c r="N121" s="16" t="s">
        <v>81</v>
      </c>
      <c r="O121" s="14" t="n">
        <v>1094</v>
      </c>
    </row>
    <row r="122" customFormat="false" ht="23.85" hidden="false" customHeight="false" outlineLevel="0" collapsed="false">
      <c r="A122" s="2" t="s">
        <v>131</v>
      </c>
      <c r="B122" s="2" t="s">
        <v>132</v>
      </c>
      <c r="C122" s="14" t="n">
        <v>1</v>
      </c>
      <c r="D122" s="2" t="s">
        <v>325</v>
      </c>
      <c r="E122" s="15" t="n">
        <v>8</v>
      </c>
      <c r="F122" s="15" t="n">
        <v>8</v>
      </c>
      <c r="G122" s="15" t="n">
        <v>8</v>
      </c>
      <c r="H122" s="15" t="n">
        <v>3</v>
      </c>
      <c r="I122" s="15" t="n">
        <v>8</v>
      </c>
      <c r="J122" s="15" t="n">
        <v>8</v>
      </c>
      <c r="K122" s="15" t="n">
        <v>7</v>
      </c>
      <c r="L122" s="4" t="n">
        <f aca="false">ROUND(E122*Rubric!$B$4+F122*Rubric!$B$5+G122*Rubric!$B$6+H122*Rubric!$B$7+I122*Rubric!$B$8+J122*Rubric!$B$9+K122*Rubric!$B$10-IF(OR(G122&lt;Rubric!$B$12,J122&lt;Rubric!$B$12),Rubric!$B$13,0),2)</f>
        <v>7.4</v>
      </c>
      <c r="M122" s="4" t="s">
        <v>81</v>
      </c>
      <c r="N122" s="16" t="s">
        <v>81</v>
      </c>
      <c r="O122" s="14" t="n">
        <v>1100</v>
      </c>
    </row>
    <row r="123" customFormat="false" ht="15" hidden="false" customHeight="false" outlineLevel="0" collapsed="false">
      <c r="A123" s="2" t="s">
        <v>131</v>
      </c>
      <c r="B123" s="2" t="s">
        <v>132</v>
      </c>
      <c r="C123" s="14" t="n">
        <v>2</v>
      </c>
      <c r="D123" s="2" t="s">
        <v>327</v>
      </c>
      <c r="E123" s="15" t="n">
        <v>9</v>
      </c>
      <c r="F123" s="15" t="n">
        <v>9</v>
      </c>
      <c r="G123" s="15" t="n">
        <v>8</v>
      </c>
      <c r="H123" s="15" t="n">
        <v>3</v>
      </c>
      <c r="I123" s="15" t="n">
        <v>8</v>
      </c>
      <c r="J123" s="15" t="n">
        <v>9</v>
      </c>
      <c r="K123" s="15" t="n">
        <v>8</v>
      </c>
      <c r="L123" s="4" t="n">
        <f aca="false">ROUND(E123*Rubric!$B$4+F123*Rubric!$B$5+G123*Rubric!$B$6+H123*Rubric!$B$7+I123*Rubric!$B$8+J123*Rubric!$B$9+K123*Rubric!$B$10-IF(OR(G123&lt;Rubric!$B$12,J123&lt;Rubric!$B$12),Rubric!$B$13,0),2)</f>
        <v>7.95</v>
      </c>
      <c r="M123" s="4" t="s">
        <v>81</v>
      </c>
      <c r="N123" s="16" t="s">
        <v>81</v>
      </c>
      <c r="O123" s="14" t="n">
        <v>1101</v>
      </c>
    </row>
    <row r="124" customFormat="false" ht="23.85" hidden="false" customHeight="false" outlineLevel="0" collapsed="false">
      <c r="A124" s="2" t="s">
        <v>131</v>
      </c>
      <c r="B124" s="2" t="s">
        <v>132</v>
      </c>
      <c r="C124" s="14" t="n">
        <v>3</v>
      </c>
      <c r="D124" s="2" t="s">
        <v>326</v>
      </c>
      <c r="E124" s="15" t="n">
        <v>8</v>
      </c>
      <c r="F124" s="15" t="n">
        <v>9</v>
      </c>
      <c r="G124" s="15" t="n">
        <v>7</v>
      </c>
      <c r="H124" s="15" t="n">
        <v>3</v>
      </c>
      <c r="I124" s="15" t="n">
        <v>8</v>
      </c>
      <c r="J124" s="15" t="n">
        <v>8</v>
      </c>
      <c r="K124" s="15" t="n">
        <v>8</v>
      </c>
      <c r="L124" s="4" t="n">
        <f aca="false">ROUND(E124*Rubric!$B$4+F124*Rubric!$B$5+G124*Rubric!$B$6+H124*Rubric!$B$7+I124*Rubric!$B$8+J124*Rubric!$B$9+K124*Rubric!$B$10-IF(OR(G124&lt;Rubric!$B$12,J124&lt;Rubric!$B$12),Rubric!$B$13,0),2)</f>
        <v>7.5</v>
      </c>
      <c r="M124" s="4" t="s">
        <v>81</v>
      </c>
      <c r="N124" s="16" t="s">
        <v>81</v>
      </c>
      <c r="O124" s="14" t="n">
        <v>1102</v>
      </c>
    </row>
    <row r="125" customFormat="false" ht="23.85" hidden="false" customHeight="false" outlineLevel="0" collapsed="false">
      <c r="A125" s="2" t="s">
        <v>131</v>
      </c>
      <c r="B125" s="2" t="s">
        <v>132</v>
      </c>
      <c r="C125" s="14" t="n">
        <v>4</v>
      </c>
      <c r="D125" s="2" t="s">
        <v>330</v>
      </c>
      <c r="E125" s="15" t="n">
        <v>9</v>
      </c>
      <c r="F125" s="15" t="n">
        <v>8</v>
      </c>
      <c r="G125" s="15" t="n">
        <v>8</v>
      </c>
      <c r="H125" s="15" t="n">
        <v>3</v>
      </c>
      <c r="I125" s="15" t="n">
        <v>7</v>
      </c>
      <c r="J125" s="15" t="n">
        <v>8</v>
      </c>
      <c r="K125" s="15" t="n">
        <v>7</v>
      </c>
      <c r="L125" s="4" t="n">
        <f aca="false">ROUND(E125*Rubric!$B$4+F125*Rubric!$B$5+G125*Rubric!$B$6+H125*Rubric!$B$7+I125*Rubric!$B$8+J125*Rubric!$B$9+K125*Rubric!$B$10-IF(OR(G125&lt;Rubric!$B$12,J125&lt;Rubric!$B$12),Rubric!$B$13,0),2)</f>
        <v>7.35</v>
      </c>
      <c r="M125" s="4" t="s">
        <v>81</v>
      </c>
      <c r="N125" s="16" t="s">
        <v>81</v>
      </c>
      <c r="O125" s="14" t="n">
        <v>1103</v>
      </c>
    </row>
    <row r="126" customFormat="false" ht="23.85" hidden="false" customHeight="false" outlineLevel="0" collapsed="false">
      <c r="A126" s="2" t="s">
        <v>131</v>
      </c>
      <c r="B126" s="2" t="s">
        <v>132</v>
      </c>
      <c r="C126" s="14" t="n">
        <v>5</v>
      </c>
      <c r="D126" s="2" t="s">
        <v>329</v>
      </c>
      <c r="E126" s="15" t="n">
        <v>8</v>
      </c>
      <c r="F126" s="15" t="n">
        <v>8</v>
      </c>
      <c r="G126" s="15" t="n">
        <v>7</v>
      </c>
      <c r="H126" s="15" t="n">
        <v>9</v>
      </c>
      <c r="I126" s="15" t="n">
        <v>7</v>
      </c>
      <c r="J126" s="15" t="n">
        <v>8</v>
      </c>
      <c r="K126" s="15" t="n">
        <v>9</v>
      </c>
      <c r="L126" s="4" t="n">
        <f aca="false">ROUND(E126*Rubric!$B$4+F126*Rubric!$B$5+G126*Rubric!$B$6+H126*Rubric!$B$7+I126*Rubric!$B$8+J126*Rubric!$B$9+K126*Rubric!$B$10-IF(OR(G126&lt;Rubric!$B$12,J126&lt;Rubric!$B$12),Rubric!$B$13,0),2)</f>
        <v>7.85</v>
      </c>
      <c r="M126" s="4" t="s">
        <v>81</v>
      </c>
      <c r="N126" s="16" t="s">
        <v>81</v>
      </c>
      <c r="O126" s="14" t="n">
        <v>1104</v>
      </c>
    </row>
    <row r="127" customFormat="false" ht="23.85" hidden="false" customHeight="false" outlineLevel="0" collapsed="false">
      <c r="A127" s="2" t="s">
        <v>135</v>
      </c>
      <c r="B127" s="2" t="s">
        <v>136</v>
      </c>
      <c r="C127" s="14" t="n">
        <v>1</v>
      </c>
      <c r="D127" s="2" t="s">
        <v>365</v>
      </c>
      <c r="E127" s="15" t="n">
        <v>9</v>
      </c>
      <c r="F127" s="15" t="n">
        <v>8</v>
      </c>
      <c r="G127" s="15" t="n">
        <v>8</v>
      </c>
      <c r="H127" s="15" t="n">
        <v>3</v>
      </c>
      <c r="I127" s="15" t="n">
        <v>7</v>
      </c>
      <c r="J127" s="15" t="n">
        <v>8</v>
      </c>
      <c r="K127" s="15" t="n">
        <v>7</v>
      </c>
      <c r="L127" s="4" t="n">
        <f aca="false">ROUND(E127*Rubric!$B$4+F127*Rubric!$B$5+G127*Rubric!$B$6+H127*Rubric!$B$7+I127*Rubric!$B$8+J127*Rubric!$B$9+K127*Rubric!$B$10-IF(OR(G127&lt;Rubric!$B$12,J127&lt;Rubric!$B$12),Rubric!$B$13,0),2)</f>
        <v>7.35</v>
      </c>
      <c r="M127" s="4" t="s">
        <v>81</v>
      </c>
      <c r="N127" s="16" t="s">
        <v>81</v>
      </c>
      <c r="O127" s="14" t="n">
        <v>1110</v>
      </c>
    </row>
    <row r="128" customFormat="false" ht="15" hidden="false" customHeight="false" outlineLevel="0" collapsed="false">
      <c r="A128" s="2" t="s">
        <v>135</v>
      </c>
      <c r="B128" s="2" t="s">
        <v>136</v>
      </c>
      <c r="C128" s="14" t="n">
        <v>2</v>
      </c>
      <c r="D128" s="2" t="s">
        <v>366</v>
      </c>
      <c r="E128" s="15" t="n">
        <v>9</v>
      </c>
      <c r="F128" s="15" t="n">
        <v>9</v>
      </c>
      <c r="G128" s="15" t="n">
        <v>8</v>
      </c>
      <c r="H128" s="15" t="n">
        <v>3</v>
      </c>
      <c r="I128" s="15" t="n">
        <v>7</v>
      </c>
      <c r="J128" s="15" t="n">
        <v>9</v>
      </c>
      <c r="K128" s="15" t="n">
        <v>8</v>
      </c>
      <c r="L128" s="4" t="n">
        <f aca="false">ROUND(E128*Rubric!$B$4+F128*Rubric!$B$5+G128*Rubric!$B$6+H128*Rubric!$B$7+I128*Rubric!$B$8+J128*Rubric!$B$9+K128*Rubric!$B$10-IF(OR(G128&lt;Rubric!$B$12,J128&lt;Rubric!$B$12),Rubric!$B$13,0),2)</f>
        <v>7.8</v>
      </c>
      <c r="M128" s="4" t="s">
        <v>81</v>
      </c>
      <c r="N128" s="16" t="s">
        <v>81</v>
      </c>
      <c r="O128" s="14" t="n">
        <v>1111</v>
      </c>
    </row>
    <row r="129" customFormat="false" ht="23.85" hidden="false" customHeight="false" outlineLevel="0" collapsed="false">
      <c r="A129" s="2" t="s">
        <v>135</v>
      </c>
      <c r="B129" s="2" t="s">
        <v>136</v>
      </c>
      <c r="C129" s="14" t="n">
        <v>3</v>
      </c>
      <c r="D129" s="2" t="s">
        <v>355</v>
      </c>
      <c r="E129" s="15" t="n">
        <v>9</v>
      </c>
      <c r="F129" s="15" t="n">
        <v>9</v>
      </c>
      <c r="G129" s="15" t="n">
        <v>7</v>
      </c>
      <c r="H129" s="15" t="n">
        <v>4</v>
      </c>
      <c r="I129" s="15" t="n">
        <v>7</v>
      </c>
      <c r="J129" s="15" t="n">
        <v>7</v>
      </c>
      <c r="K129" s="15" t="n">
        <v>8</v>
      </c>
      <c r="L129" s="4" t="n">
        <f aca="false">ROUND(E129*Rubric!$B$4+F129*Rubric!$B$5+G129*Rubric!$B$6+H129*Rubric!$B$7+I129*Rubric!$B$8+J129*Rubric!$B$9+K129*Rubric!$B$10-IF(OR(G129&lt;Rubric!$B$12,J129&lt;Rubric!$B$12),Rubric!$B$13,0),2)</f>
        <v>7.4</v>
      </c>
      <c r="M129" s="4" t="s">
        <v>81</v>
      </c>
      <c r="N129" s="16" t="s">
        <v>81</v>
      </c>
      <c r="O129" s="14" t="n">
        <v>1112</v>
      </c>
    </row>
    <row r="130" customFormat="false" ht="23.85" hidden="false" customHeight="false" outlineLevel="0" collapsed="false">
      <c r="A130" s="2" t="s">
        <v>135</v>
      </c>
      <c r="B130" s="2" t="s">
        <v>136</v>
      </c>
      <c r="C130" s="14" t="n">
        <v>4</v>
      </c>
      <c r="D130" s="2" t="s">
        <v>332</v>
      </c>
      <c r="E130" s="15" t="n">
        <v>9</v>
      </c>
      <c r="F130" s="15" t="n">
        <v>8</v>
      </c>
      <c r="G130" s="15" t="n">
        <v>7</v>
      </c>
      <c r="H130" s="15" t="n">
        <v>4</v>
      </c>
      <c r="I130" s="15" t="n">
        <v>7</v>
      </c>
      <c r="J130" s="15" t="n">
        <v>7</v>
      </c>
      <c r="K130" s="15" t="n">
        <v>7</v>
      </c>
      <c r="L130" s="4" t="n">
        <f aca="false">ROUND(E130*Rubric!$B$4+F130*Rubric!$B$5+G130*Rubric!$B$6+H130*Rubric!$B$7+I130*Rubric!$B$8+J130*Rubric!$B$9+K130*Rubric!$B$10-IF(OR(G130&lt;Rubric!$B$12,J130&lt;Rubric!$B$12),Rubric!$B$13,0),2)</f>
        <v>7.1</v>
      </c>
      <c r="M130" s="4" t="s">
        <v>81</v>
      </c>
      <c r="N130" s="16" t="s">
        <v>81</v>
      </c>
      <c r="O130" s="14" t="n">
        <v>1113</v>
      </c>
    </row>
    <row r="131" customFormat="false" ht="23.85" hidden="false" customHeight="false" outlineLevel="0" collapsed="false">
      <c r="A131" s="2" t="s">
        <v>135</v>
      </c>
      <c r="B131" s="2" t="s">
        <v>136</v>
      </c>
      <c r="C131" s="14" t="n">
        <v>5</v>
      </c>
      <c r="D131" s="2" t="s">
        <v>357</v>
      </c>
      <c r="E131" s="15" t="n">
        <v>8</v>
      </c>
      <c r="F131" s="15" t="n">
        <v>8</v>
      </c>
      <c r="G131" s="15" t="n">
        <v>7</v>
      </c>
      <c r="H131" s="15" t="n">
        <v>10</v>
      </c>
      <c r="I131" s="15" t="n">
        <v>9</v>
      </c>
      <c r="J131" s="15" t="n">
        <v>7</v>
      </c>
      <c r="K131" s="15" t="n">
        <v>9</v>
      </c>
      <c r="L131" s="4" t="n">
        <f aca="false">ROUND(E131*Rubric!$B$4+F131*Rubric!$B$5+G131*Rubric!$B$6+H131*Rubric!$B$7+I131*Rubric!$B$8+J131*Rubric!$B$9+K131*Rubric!$B$10-IF(OR(G131&lt;Rubric!$B$12,J131&lt;Rubric!$B$12),Rubric!$B$13,0),2)</f>
        <v>8.1</v>
      </c>
      <c r="M131" s="4" t="s">
        <v>81</v>
      </c>
      <c r="N131" s="16" t="s">
        <v>81</v>
      </c>
      <c r="O131" s="14" t="n">
        <v>1114</v>
      </c>
    </row>
    <row r="132" customFormat="false" ht="23.85" hidden="false" customHeight="false" outlineLevel="0" collapsed="false">
      <c r="A132" s="2" t="s">
        <v>140</v>
      </c>
      <c r="B132" s="2" t="s">
        <v>141</v>
      </c>
      <c r="C132" s="14" t="n">
        <v>1</v>
      </c>
      <c r="D132" s="2" t="s">
        <v>375</v>
      </c>
      <c r="E132" s="15" t="n">
        <v>8</v>
      </c>
      <c r="F132" s="15" t="n">
        <v>9</v>
      </c>
      <c r="G132" s="15" t="n">
        <v>7</v>
      </c>
      <c r="H132" s="15" t="n">
        <v>3</v>
      </c>
      <c r="I132" s="15" t="n">
        <v>8</v>
      </c>
      <c r="J132" s="15" t="n">
        <v>8</v>
      </c>
      <c r="K132" s="15" t="n">
        <v>8</v>
      </c>
      <c r="L132" s="4" t="n">
        <f aca="false">ROUND(E132*Rubric!$B$4+F132*Rubric!$B$5+G132*Rubric!$B$6+H132*Rubric!$B$7+I132*Rubric!$B$8+J132*Rubric!$B$9+K132*Rubric!$B$10-IF(OR(G132&lt;Rubric!$B$12,J132&lt;Rubric!$B$12),Rubric!$B$13,0),2)</f>
        <v>7.5</v>
      </c>
      <c r="M132" s="4" t="s">
        <v>81</v>
      </c>
      <c r="N132" s="16" t="s">
        <v>81</v>
      </c>
      <c r="O132" s="14" t="n">
        <v>1120</v>
      </c>
    </row>
    <row r="133" customFormat="false" ht="15" hidden="false" customHeight="false" outlineLevel="0" collapsed="false">
      <c r="A133" s="2" t="s">
        <v>140</v>
      </c>
      <c r="B133" s="2" t="s">
        <v>141</v>
      </c>
      <c r="C133" s="14" t="n">
        <v>2</v>
      </c>
      <c r="D133" s="2" t="s">
        <v>377</v>
      </c>
      <c r="E133" s="15" t="n">
        <v>9</v>
      </c>
      <c r="F133" s="15" t="n">
        <v>9</v>
      </c>
      <c r="G133" s="15" t="n">
        <v>7</v>
      </c>
      <c r="H133" s="15" t="n">
        <v>3</v>
      </c>
      <c r="I133" s="15" t="n">
        <v>8</v>
      </c>
      <c r="J133" s="15" t="n">
        <v>8</v>
      </c>
      <c r="K133" s="15" t="n">
        <v>8</v>
      </c>
      <c r="L133" s="4" t="n">
        <f aca="false">ROUND(E133*Rubric!$B$4+F133*Rubric!$B$5+G133*Rubric!$B$6+H133*Rubric!$B$7+I133*Rubric!$B$8+J133*Rubric!$B$9+K133*Rubric!$B$10-IF(OR(G133&lt;Rubric!$B$12,J133&lt;Rubric!$B$12),Rubric!$B$13,0),2)</f>
        <v>7.6</v>
      </c>
      <c r="M133" s="4" t="s">
        <v>81</v>
      </c>
      <c r="N133" s="16" t="s">
        <v>81</v>
      </c>
      <c r="O133" s="14" t="n">
        <v>1121</v>
      </c>
    </row>
    <row r="134" customFormat="false" ht="23.85" hidden="false" customHeight="false" outlineLevel="0" collapsed="false">
      <c r="A134" s="2" t="s">
        <v>140</v>
      </c>
      <c r="B134" s="2" t="s">
        <v>141</v>
      </c>
      <c r="C134" s="14" t="n">
        <v>3</v>
      </c>
      <c r="D134" s="2" t="s">
        <v>333</v>
      </c>
      <c r="E134" s="15" t="n">
        <v>8</v>
      </c>
      <c r="F134" s="15" t="n">
        <v>8</v>
      </c>
      <c r="G134" s="15" t="n">
        <v>8</v>
      </c>
      <c r="H134" s="15" t="n">
        <v>3</v>
      </c>
      <c r="I134" s="15" t="n">
        <v>7</v>
      </c>
      <c r="J134" s="15" t="n">
        <v>8</v>
      </c>
      <c r="K134" s="15" t="n">
        <v>7</v>
      </c>
      <c r="L134" s="4" t="n">
        <f aca="false">ROUND(E134*Rubric!$B$4+F134*Rubric!$B$5+G134*Rubric!$B$6+H134*Rubric!$B$7+I134*Rubric!$B$8+J134*Rubric!$B$9+K134*Rubric!$B$10-IF(OR(G134&lt;Rubric!$B$12,J134&lt;Rubric!$B$12),Rubric!$B$13,0),2)</f>
        <v>7.25</v>
      </c>
      <c r="M134" s="4" t="s">
        <v>81</v>
      </c>
      <c r="N134" s="16" t="s">
        <v>81</v>
      </c>
      <c r="O134" s="14" t="n">
        <v>1122</v>
      </c>
    </row>
    <row r="135" customFormat="false" ht="23.85" hidden="false" customHeight="false" outlineLevel="0" collapsed="false">
      <c r="A135" s="2" t="s">
        <v>140</v>
      </c>
      <c r="B135" s="2" t="s">
        <v>141</v>
      </c>
      <c r="C135" s="14" t="n">
        <v>4</v>
      </c>
      <c r="D135" s="2" t="s">
        <v>369</v>
      </c>
      <c r="E135" s="15" t="n">
        <v>8</v>
      </c>
      <c r="F135" s="15" t="n">
        <v>8</v>
      </c>
      <c r="G135" s="15" t="n">
        <v>8</v>
      </c>
      <c r="H135" s="15" t="n">
        <v>3</v>
      </c>
      <c r="I135" s="15" t="n">
        <v>7</v>
      </c>
      <c r="J135" s="15" t="n">
        <v>8</v>
      </c>
      <c r="K135" s="15" t="n">
        <v>8</v>
      </c>
      <c r="L135" s="4" t="n">
        <f aca="false">ROUND(E135*Rubric!$B$4+F135*Rubric!$B$5+G135*Rubric!$B$6+H135*Rubric!$B$7+I135*Rubric!$B$8+J135*Rubric!$B$9+K135*Rubric!$B$10-IF(OR(G135&lt;Rubric!$B$12,J135&lt;Rubric!$B$12),Rubric!$B$13,0),2)</f>
        <v>7.35</v>
      </c>
      <c r="M135" s="4" t="s">
        <v>81</v>
      </c>
      <c r="N135" s="16" t="s">
        <v>81</v>
      </c>
      <c r="O135" s="14" t="n">
        <v>1123</v>
      </c>
    </row>
    <row r="136" customFormat="false" ht="23.85" hidden="false" customHeight="false" outlineLevel="0" collapsed="false">
      <c r="A136" s="2" t="s">
        <v>140</v>
      </c>
      <c r="B136" s="2" t="s">
        <v>141</v>
      </c>
      <c r="C136" s="14" t="n">
        <v>5</v>
      </c>
      <c r="D136" s="2" t="s">
        <v>334</v>
      </c>
      <c r="E136" s="15" t="n">
        <v>8</v>
      </c>
      <c r="F136" s="15" t="n">
        <v>8</v>
      </c>
      <c r="G136" s="15" t="n">
        <v>8</v>
      </c>
      <c r="H136" s="15" t="n">
        <v>8</v>
      </c>
      <c r="I136" s="15" t="n">
        <v>6</v>
      </c>
      <c r="J136" s="15" t="n">
        <v>7</v>
      </c>
      <c r="K136" s="15" t="n">
        <v>8</v>
      </c>
      <c r="L136" s="4" t="n">
        <f aca="false">ROUND(E136*Rubric!$B$4+F136*Rubric!$B$5+G136*Rubric!$B$6+H136*Rubric!$B$7+I136*Rubric!$B$8+J136*Rubric!$B$9+K136*Rubric!$B$10-IF(OR(G136&lt;Rubric!$B$12,J136&lt;Rubric!$B$12),Rubric!$B$13,0),2)</f>
        <v>7.55</v>
      </c>
      <c r="M136" s="4" t="s">
        <v>81</v>
      </c>
      <c r="N136" s="16" t="s">
        <v>81</v>
      </c>
      <c r="O136" s="14" t="n">
        <v>1124</v>
      </c>
    </row>
    <row r="137" customFormat="false" ht="23.85" hidden="false" customHeight="false" outlineLevel="0" collapsed="false">
      <c r="A137" s="2" t="s">
        <v>144</v>
      </c>
      <c r="B137" s="2" t="s">
        <v>145</v>
      </c>
      <c r="C137" s="14" t="n">
        <v>1</v>
      </c>
      <c r="D137" s="2" t="s">
        <v>325</v>
      </c>
      <c r="E137" s="15" t="n">
        <v>8</v>
      </c>
      <c r="F137" s="15" t="n">
        <v>8</v>
      </c>
      <c r="G137" s="15" t="n">
        <v>8</v>
      </c>
      <c r="H137" s="15" t="n">
        <v>3</v>
      </c>
      <c r="I137" s="15" t="n">
        <v>8</v>
      </c>
      <c r="J137" s="15" t="n">
        <v>8</v>
      </c>
      <c r="K137" s="15" t="n">
        <v>7</v>
      </c>
      <c r="L137" s="4" t="n">
        <f aca="false">ROUND(E137*Rubric!$B$4+F137*Rubric!$B$5+G137*Rubric!$B$6+H137*Rubric!$B$7+I137*Rubric!$B$8+J137*Rubric!$B$9+K137*Rubric!$B$10-IF(OR(G137&lt;Rubric!$B$12,J137&lt;Rubric!$B$12),Rubric!$B$13,0),2)</f>
        <v>7.4</v>
      </c>
      <c r="M137" s="4" t="s">
        <v>81</v>
      </c>
      <c r="N137" s="16" t="s">
        <v>81</v>
      </c>
      <c r="O137" s="14" t="n">
        <v>1130</v>
      </c>
    </row>
    <row r="138" customFormat="false" ht="23.85" hidden="false" customHeight="false" outlineLevel="0" collapsed="false">
      <c r="A138" s="2" t="s">
        <v>144</v>
      </c>
      <c r="B138" s="2" t="s">
        <v>145</v>
      </c>
      <c r="C138" s="14" t="n">
        <v>2</v>
      </c>
      <c r="D138" s="2" t="s">
        <v>311</v>
      </c>
      <c r="E138" s="15" t="n">
        <v>9</v>
      </c>
      <c r="F138" s="15" t="n">
        <v>9</v>
      </c>
      <c r="G138" s="15" t="n">
        <v>8</v>
      </c>
      <c r="H138" s="15" t="n">
        <v>4</v>
      </c>
      <c r="I138" s="15" t="n">
        <v>7</v>
      </c>
      <c r="J138" s="15" t="n">
        <v>9</v>
      </c>
      <c r="K138" s="15" t="n">
        <v>8</v>
      </c>
      <c r="L138" s="4" t="n">
        <f aca="false">ROUND(E138*Rubric!$B$4+F138*Rubric!$B$5+G138*Rubric!$B$6+H138*Rubric!$B$7+I138*Rubric!$B$8+J138*Rubric!$B$9+K138*Rubric!$B$10-IF(OR(G138&lt;Rubric!$B$12,J138&lt;Rubric!$B$12),Rubric!$B$13,0),2)</f>
        <v>7.9</v>
      </c>
      <c r="M138" s="4" t="s">
        <v>81</v>
      </c>
      <c r="N138" s="16" t="s">
        <v>81</v>
      </c>
      <c r="O138" s="14" t="n">
        <v>1131</v>
      </c>
    </row>
    <row r="139" customFormat="false" ht="23.85" hidden="false" customHeight="false" outlineLevel="0" collapsed="false">
      <c r="A139" s="2" t="s">
        <v>144</v>
      </c>
      <c r="B139" s="2" t="s">
        <v>145</v>
      </c>
      <c r="C139" s="14" t="n">
        <v>3</v>
      </c>
      <c r="D139" s="2" t="s">
        <v>312</v>
      </c>
      <c r="E139" s="15" t="n">
        <v>9</v>
      </c>
      <c r="F139" s="15" t="n">
        <v>8</v>
      </c>
      <c r="G139" s="15" t="n">
        <v>8</v>
      </c>
      <c r="H139" s="15" t="n">
        <v>4</v>
      </c>
      <c r="I139" s="15" t="n">
        <v>6</v>
      </c>
      <c r="J139" s="15" t="n">
        <v>8</v>
      </c>
      <c r="K139" s="15" t="n">
        <v>7</v>
      </c>
      <c r="L139" s="4" t="n">
        <f aca="false">ROUND(E139*Rubric!$B$4+F139*Rubric!$B$5+G139*Rubric!$B$6+H139*Rubric!$B$7+I139*Rubric!$B$8+J139*Rubric!$B$9+K139*Rubric!$B$10-IF(OR(G139&lt;Rubric!$B$12,J139&lt;Rubric!$B$12),Rubric!$B$13,0),2)</f>
        <v>7.3</v>
      </c>
      <c r="M139" s="4" t="s">
        <v>81</v>
      </c>
      <c r="N139" s="16" t="s">
        <v>81</v>
      </c>
      <c r="O139" s="14" t="n">
        <v>1132</v>
      </c>
    </row>
    <row r="140" customFormat="false" ht="23.85" hidden="false" customHeight="false" outlineLevel="0" collapsed="false">
      <c r="A140" s="2" t="s">
        <v>144</v>
      </c>
      <c r="B140" s="2" t="s">
        <v>145</v>
      </c>
      <c r="C140" s="14" t="n">
        <v>4</v>
      </c>
      <c r="D140" s="2" t="s">
        <v>332</v>
      </c>
      <c r="E140" s="15" t="n">
        <v>9</v>
      </c>
      <c r="F140" s="15" t="n">
        <v>8</v>
      </c>
      <c r="G140" s="15" t="n">
        <v>7</v>
      </c>
      <c r="H140" s="15" t="n">
        <v>4</v>
      </c>
      <c r="I140" s="15" t="n">
        <v>7</v>
      </c>
      <c r="J140" s="15" t="n">
        <v>7</v>
      </c>
      <c r="K140" s="15" t="n">
        <v>7</v>
      </c>
      <c r="L140" s="4" t="n">
        <f aca="false">ROUND(E140*Rubric!$B$4+F140*Rubric!$B$5+G140*Rubric!$B$6+H140*Rubric!$B$7+I140*Rubric!$B$8+J140*Rubric!$B$9+K140*Rubric!$B$10-IF(OR(G140&lt;Rubric!$B$12,J140&lt;Rubric!$B$12),Rubric!$B$13,0),2)</f>
        <v>7.1</v>
      </c>
      <c r="M140" s="4" t="s">
        <v>81</v>
      </c>
      <c r="N140" s="16" t="s">
        <v>81</v>
      </c>
      <c r="O140" s="14" t="n">
        <v>1133</v>
      </c>
    </row>
    <row r="141" customFormat="false" ht="23.85" hidden="false" customHeight="false" outlineLevel="0" collapsed="false">
      <c r="A141" s="2" t="s">
        <v>144</v>
      </c>
      <c r="B141" s="2" t="s">
        <v>145</v>
      </c>
      <c r="C141" s="14" t="n">
        <v>5</v>
      </c>
      <c r="D141" s="2" t="s">
        <v>314</v>
      </c>
      <c r="E141" s="15" t="n">
        <v>9</v>
      </c>
      <c r="F141" s="15" t="n">
        <v>7</v>
      </c>
      <c r="G141" s="15" t="n">
        <v>8</v>
      </c>
      <c r="H141" s="15" t="n">
        <v>8</v>
      </c>
      <c r="I141" s="15" t="n">
        <v>6</v>
      </c>
      <c r="J141" s="15" t="n">
        <v>8</v>
      </c>
      <c r="K141" s="15" t="n">
        <v>7</v>
      </c>
      <c r="L141" s="4" t="n">
        <f aca="false">ROUND(E141*Rubric!$B$4+F141*Rubric!$B$5+G141*Rubric!$B$6+H141*Rubric!$B$7+I141*Rubric!$B$8+J141*Rubric!$B$9+K141*Rubric!$B$10-IF(OR(G141&lt;Rubric!$B$12,J141&lt;Rubric!$B$12),Rubric!$B$13,0),2)</f>
        <v>7.5</v>
      </c>
      <c r="M141" s="4" t="s">
        <v>81</v>
      </c>
      <c r="N141" s="16" t="s">
        <v>81</v>
      </c>
      <c r="O141" s="14" t="n">
        <v>1134</v>
      </c>
    </row>
    <row r="142" customFormat="false" ht="23.85" hidden="false" customHeight="false" outlineLevel="0" collapsed="false">
      <c r="A142" s="2" t="s">
        <v>149</v>
      </c>
      <c r="B142" s="2" t="s">
        <v>150</v>
      </c>
      <c r="C142" s="14" t="n">
        <v>1</v>
      </c>
      <c r="D142" s="2" t="s">
        <v>335</v>
      </c>
      <c r="E142" s="15" t="n">
        <v>9</v>
      </c>
      <c r="F142" s="15" t="n">
        <v>8</v>
      </c>
      <c r="G142" s="15" t="n">
        <v>8</v>
      </c>
      <c r="H142" s="15" t="n">
        <v>4</v>
      </c>
      <c r="I142" s="15" t="n">
        <v>7</v>
      </c>
      <c r="J142" s="15" t="n">
        <v>8</v>
      </c>
      <c r="K142" s="15" t="n">
        <v>7</v>
      </c>
      <c r="L142" s="4" t="n">
        <f aca="false">ROUND(E142*Rubric!$B$4+F142*Rubric!$B$5+G142*Rubric!$B$6+H142*Rubric!$B$7+I142*Rubric!$B$8+J142*Rubric!$B$9+K142*Rubric!$B$10-IF(OR(G142&lt;Rubric!$B$12,J142&lt;Rubric!$B$12),Rubric!$B$13,0),2)</f>
        <v>7.45</v>
      </c>
      <c r="M142" s="4" t="s">
        <v>81</v>
      </c>
      <c r="N142" s="16" t="s">
        <v>81</v>
      </c>
      <c r="O142" s="14" t="n">
        <v>1140</v>
      </c>
    </row>
    <row r="143" customFormat="false" ht="23.85" hidden="false" customHeight="false" outlineLevel="0" collapsed="false">
      <c r="A143" s="2" t="s">
        <v>149</v>
      </c>
      <c r="B143" s="2" t="s">
        <v>150</v>
      </c>
      <c r="C143" s="14" t="n">
        <v>2</v>
      </c>
      <c r="D143" s="2" t="s">
        <v>339</v>
      </c>
      <c r="E143" s="15" t="n">
        <v>9</v>
      </c>
      <c r="F143" s="15" t="n">
        <v>8</v>
      </c>
      <c r="G143" s="15" t="n">
        <v>8</v>
      </c>
      <c r="H143" s="15" t="n">
        <v>3</v>
      </c>
      <c r="I143" s="15" t="n">
        <v>7</v>
      </c>
      <c r="J143" s="15" t="n">
        <v>8</v>
      </c>
      <c r="K143" s="15" t="n">
        <v>7</v>
      </c>
      <c r="L143" s="4" t="n">
        <f aca="false">ROUND(E143*Rubric!$B$4+F143*Rubric!$B$5+G143*Rubric!$B$6+H143*Rubric!$B$7+I143*Rubric!$B$8+J143*Rubric!$B$9+K143*Rubric!$B$10-IF(OR(G143&lt;Rubric!$B$12,J143&lt;Rubric!$B$12),Rubric!$B$13,0),2)</f>
        <v>7.35</v>
      </c>
      <c r="M143" s="4" t="s">
        <v>81</v>
      </c>
      <c r="N143" s="16" t="s">
        <v>81</v>
      </c>
      <c r="O143" s="14" t="n">
        <v>1141</v>
      </c>
    </row>
    <row r="144" customFormat="false" ht="23.85" hidden="false" customHeight="false" outlineLevel="0" collapsed="false">
      <c r="A144" s="2" t="s">
        <v>149</v>
      </c>
      <c r="B144" s="2" t="s">
        <v>150</v>
      </c>
      <c r="C144" s="14" t="n">
        <v>3</v>
      </c>
      <c r="D144" s="2" t="s">
        <v>337</v>
      </c>
      <c r="E144" s="15" t="n">
        <v>9</v>
      </c>
      <c r="F144" s="15" t="n">
        <v>8</v>
      </c>
      <c r="G144" s="15" t="n">
        <v>8</v>
      </c>
      <c r="H144" s="15" t="n">
        <v>3</v>
      </c>
      <c r="I144" s="15" t="n">
        <v>7</v>
      </c>
      <c r="J144" s="15" t="n">
        <v>8</v>
      </c>
      <c r="K144" s="15" t="n">
        <v>7</v>
      </c>
      <c r="L144" s="4" t="n">
        <f aca="false">ROUND(E144*Rubric!$B$4+F144*Rubric!$B$5+G144*Rubric!$B$6+H144*Rubric!$B$7+I144*Rubric!$B$8+J144*Rubric!$B$9+K144*Rubric!$B$10-IF(OR(G144&lt;Rubric!$B$12,J144&lt;Rubric!$B$12),Rubric!$B$13,0),2)</f>
        <v>7.35</v>
      </c>
      <c r="M144" s="4" t="s">
        <v>81</v>
      </c>
      <c r="N144" s="16" t="s">
        <v>81</v>
      </c>
      <c r="O144" s="14" t="n">
        <v>1142</v>
      </c>
    </row>
    <row r="145" customFormat="false" ht="15" hidden="false" customHeight="false" outlineLevel="0" collapsed="false">
      <c r="A145" s="2" t="s">
        <v>149</v>
      </c>
      <c r="B145" s="2" t="s">
        <v>150</v>
      </c>
      <c r="C145" s="14" t="n">
        <v>4</v>
      </c>
      <c r="D145" s="2" t="s">
        <v>342</v>
      </c>
      <c r="E145" s="15" t="n">
        <v>9</v>
      </c>
      <c r="F145" s="15" t="n">
        <v>8</v>
      </c>
      <c r="G145" s="15" t="n">
        <v>8</v>
      </c>
      <c r="H145" s="15" t="n">
        <v>3</v>
      </c>
      <c r="I145" s="15" t="n">
        <v>7</v>
      </c>
      <c r="J145" s="15" t="n">
        <v>8</v>
      </c>
      <c r="K145" s="15" t="n">
        <v>8</v>
      </c>
      <c r="L145" s="4" t="n">
        <f aca="false">ROUND(E145*Rubric!$B$4+F145*Rubric!$B$5+G145*Rubric!$B$6+H145*Rubric!$B$7+I145*Rubric!$B$8+J145*Rubric!$B$9+K145*Rubric!$B$10-IF(OR(G145&lt;Rubric!$B$12,J145&lt;Rubric!$B$12),Rubric!$B$13,0),2)</f>
        <v>7.45</v>
      </c>
      <c r="M145" s="4" t="s">
        <v>81</v>
      </c>
      <c r="N145" s="16" t="s">
        <v>81</v>
      </c>
      <c r="O145" s="14" t="n">
        <v>1143</v>
      </c>
    </row>
    <row r="146" customFormat="false" ht="23.85" hidden="false" customHeight="false" outlineLevel="0" collapsed="false">
      <c r="A146" s="2" t="s">
        <v>149</v>
      </c>
      <c r="B146" s="2" t="s">
        <v>150</v>
      </c>
      <c r="C146" s="14" t="n">
        <v>5</v>
      </c>
      <c r="D146" s="2" t="s">
        <v>312</v>
      </c>
      <c r="E146" s="15" t="n">
        <v>9</v>
      </c>
      <c r="F146" s="15" t="n">
        <v>8</v>
      </c>
      <c r="G146" s="15" t="n">
        <v>8</v>
      </c>
      <c r="H146" s="15" t="n">
        <v>4</v>
      </c>
      <c r="I146" s="15" t="n">
        <v>6</v>
      </c>
      <c r="J146" s="15" t="n">
        <v>8</v>
      </c>
      <c r="K146" s="15" t="n">
        <v>7</v>
      </c>
      <c r="L146" s="4" t="n">
        <f aca="false">ROUND(E146*Rubric!$B$4+F146*Rubric!$B$5+G146*Rubric!$B$6+H146*Rubric!$B$7+I146*Rubric!$B$8+J146*Rubric!$B$9+K146*Rubric!$B$10-IF(OR(G146&lt;Rubric!$B$12,J146&lt;Rubric!$B$12),Rubric!$B$13,0),2)</f>
        <v>7.3</v>
      </c>
      <c r="M146" s="4" t="s">
        <v>81</v>
      </c>
      <c r="N146" s="16" t="s">
        <v>81</v>
      </c>
      <c r="O146" s="14" t="n">
        <v>1144</v>
      </c>
    </row>
    <row r="147" customFormat="false" ht="23.85" hidden="false" customHeight="false" outlineLevel="0" collapsed="false">
      <c r="A147" s="2" t="s">
        <v>155</v>
      </c>
      <c r="B147" s="2" t="s">
        <v>156</v>
      </c>
      <c r="C147" s="14" t="n">
        <v>1</v>
      </c>
      <c r="D147" s="2" t="s">
        <v>311</v>
      </c>
      <c r="E147" s="15" t="n">
        <v>9</v>
      </c>
      <c r="F147" s="15" t="n">
        <v>9</v>
      </c>
      <c r="G147" s="15" t="n">
        <v>8</v>
      </c>
      <c r="H147" s="15" t="n">
        <v>4</v>
      </c>
      <c r="I147" s="15" t="n">
        <v>7</v>
      </c>
      <c r="J147" s="15" t="n">
        <v>9</v>
      </c>
      <c r="K147" s="15" t="n">
        <v>8</v>
      </c>
      <c r="L147" s="4" t="n">
        <f aca="false">ROUND(E147*Rubric!$B$4+F147*Rubric!$B$5+G147*Rubric!$B$6+H147*Rubric!$B$7+I147*Rubric!$B$8+J147*Rubric!$B$9+K147*Rubric!$B$10-IF(OR(G147&lt;Rubric!$B$12,J147&lt;Rubric!$B$12),Rubric!$B$13,0),2)</f>
        <v>7.9</v>
      </c>
      <c r="M147" s="4" t="s">
        <v>81</v>
      </c>
      <c r="N147" s="16" t="s">
        <v>81</v>
      </c>
      <c r="O147" s="14" t="n">
        <v>1150</v>
      </c>
    </row>
    <row r="148" customFormat="false" ht="23.85" hidden="false" customHeight="false" outlineLevel="0" collapsed="false">
      <c r="A148" s="2" t="s">
        <v>155</v>
      </c>
      <c r="B148" s="2" t="s">
        <v>156</v>
      </c>
      <c r="C148" s="14" t="n">
        <v>2</v>
      </c>
      <c r="D148" s="2" t="s">
        <v>316</v>
      </c>
      <c r="E148" s="15" t="n">
        <v>9</v>
      </c>
      <c r="F148" s="15" t="n">
        <v>9</v>
      </c>
      <c r="G148" s="15" t="n">
        <v>8</v>
      </c>
      <c r="H148" s="15" t="n">
        <v>3</v>
      </c>
      <c r="I148" s="15" t="n">
        <v>8</v>
      </c>
      <c r="J148" s="15" t="n">
        <v>9</v>
      </c>
      <c r="K148" s="15" t="n">
        <v>9</v>
      </c>
      <c r="L148" s="4" t="n">
        <f aca="false">ROUND(E148*Rubric!$B$4+F148*Rubric!$B$5+G148*Rubric!$B$6+H148*Rubric!$B$7+I148*Rubric!$B$8+J148*Rubric!$B$9+K148*Rubric!$B$10-IF(OR(G148&lt;Rubric!$B$12,J148&lt;Rubric!$B$12),Rubric!$B$13,0),2)</f>
        <v>8.05</v>
      </c>
      <c r="M148" s="4" t="s">
        <v>81</v>
      </c>
      <c r="N148" s="16" t="s">
        <v>81</v>
      </c>
      <c r="O148" s="14" t="n">
        <v>1151</v>
      </c>
    </row>
    <row r="149" customFormat="false" ht="23.85" hidden="false" customHeight="false" outlineLevel="0" collapsed="false">
      <c r="A149" s="2" t="s">
        <v>155</v>
      </c>
      <c r="B149" s="2" t="s">
        <v>156</v>
      </c>
      <c r="C149" s="14" t="n">
        <v>3</v>
      </c>
      <c r="D149" s="2" t="s">
        <v>327</v>
      </c>
      <c r="E149" s="15" t="n">
        <v>9</v>
      </c>
      <c r="F149" s="15" t="n">
        <v>9</v>
      </c>
      <c r="G149" s="15" t="n">
        <v>8</v>
      </c>
      <c r="H149" s="15" t="n">
        <v>3</v>
      </c>
      <c r="I149" s="15" t="n">
        <v>8</v>
      </c>
      <c r="J149" s="15" t="n">
        <v>9</v>
      </c>
      <c r="K149" s="15" t="n">
        <v>8</v>
      </c>
      <c r="L149" s="4" t="n">
        <f aca="false">ROUND(E149*Rubric!$B$4+F149*Rubric!$B$5+G149*Rubric!$B$6+H149*Rubric!$B$7+I149*Rubric!$B$8+J149*Rubric!$B$9+K149*Rubric!$B$10-IF(OR(G149&lt;Rubric!$B$12,J149&lt;Rubric!$B$12),Rubric!$B$13,0),2)</f>
        <v>7.95</v>
      </c>
      <c r="M149" s="4" t="s">
        <v>81</v>
      </c>
      <c r="N149" s="16" t="s">
        <v>81</v>
      </c>
      <c r="O149" s="14" t="n">
        <v>1152</v>
      </c>
    </row>
    <row r="150" customFormat="false" ht="23.85" hidden="false" customHeight="false" outlineLevel="0" collapsed="false">
      <c r="A150" s="2" t="s">
        <v>155</v>
      </c>
      <c r="B150" s="2" t="s">
        <v>156</v>
      </c>
      <c r="C150" s="14" t="n">
        <v>4</v>
      </c>
      <c r="D150" s="2" t="s">
        <v>363</v>
      </c>
      <c r="E150" s="15" t="n">
        <v>9</v>
      </c>
      <c r="F150" s="15" t="n">
        <v>8</v>
      </c>
      <c r="G150" s="15" t="n">
        <v>8</v>
      </c>
      <c r="H150" s="15" t="n">
        <v>5</v>
      </c>
      <c r="I150" s="15" t="n">
        <v>7</v>
      </c>
      <c r="J150" s="15" t="n">
        <v>7</v>
      </c>
      <c r="K150" s="15" t="n">
        <v>8</v>
      </c>
      <c r="L150" s="4" t="n">
        <f aca="false">ROUND(E150*Rubric!$B$4+F150*Rubric!$B$5+G150*Rubric!$B$6+H150*Rubric!$B$7+I150*Rubric!$B$8+J150*Rubric!$B$9+K150*Rubric!$B$10-IF(OR(G150&lt;Rubric!$B$12,J150&lt;Rubric!$B$12),Rubric!$B$13,0),2)</f>
        <v>7.5</v>
      </c>
      <c r="M150" s="4" t="s">
        <v>81</v>
      </c>
      <c r="N150" s="16" t="s">
        <v>81</v>
      </c>
      <c r="O150" s="14" t="n">
        <v>1153</v>
      </c>
    </row>
    <row r="151" customFormat="false" ht="23.85" hidden="false" customHeight="false" outlineLevel="0" collapsed="false">
      <c r="A151" s="2" t="s">
        <v>155</v>
      </c>
      <c r="B151" s="2" t="s">
        <v>156</v>
      </c>
      <c r="C151" s="14" t="n">
        <v>5</v>
      </c>
      <c r="D151" s="2" t="s">
        <v>334</v>
      </c>
      <c r="E151" s="15" t="n">
        <v>8</v>
      </c>
      <c r="F151" s="15" t="n">
        <v>8</v>
      </c>
      <c r="G151" s="15" t="n">
        <v>8</v>
      </c>
      <c r="H151" s="15" t="n">
        <v>8</v>
      </c>
      <c r="I151" s="15" t="n">
        <v>6</v>
      </c>
      <c r="J151" s="15" t="n">
        <v>7</v>
      </c>
      <c r="K151" s="15" t="n">
        <v>8</v>
      </c>
      <c r="L151" s="4" t="n">
        <f aca="false">ROUND(E151*Rubric!$B$4+F151*Rubric!$B$5+G151*Rubric!$B$6+H151*Rubric!$B$7+I151*Rubric!$B$8+J151*Rubric!$B$9+K151*Rubric!$B$10-IF(OR(G151&lt;Rubric!$B$12,J151&lt;Rubric!$B$12),Rubric!$B$13,0),2)</f>
        <v>7.55</v>
      </c>
      <c r="M151" s="4" t="s">
        <v>81</v>
      </c>
      <c r="N151" s="16" t="s">
        <v>81</v>
      </c>
      <c r="O151" s="14" t="n">
        <v>1154</v>
      </c>
    </row>
    <row r="152" customFormat="false" ht="23.85" hidden="false" customHeight="false" outlineLevel="0" collapsed="false">
      <c r="A152" s="2" t="s">
        <v>161</v>
      </c>
      <c r="B152" s="2" t="s">
        <v>162</v>
      </c>
      <c r="C152" s="14" t="n">
        <v>1</v>
      </c>
      <c r="D152" s="2" t="s">
        <v>334</v>
      </c>
      <c r="E152" s="15" t="n">
        <v>8</v>
      </c>
      <c r="F152" s="15" t="n">
        <v>8</v>
      </c>
      <c r="G152" s="15" t="n">
        <v>8</v>
      </c>
      <c r="H152" s="15" t="n">
        <v>8</v>
      </c>
      <c r="I152" s="15" t="n">
        <v>6</v>
      </c>
      <c r="J152" s="15" t="n">
        <v>7</v>
      </c>
      <c r="K152" s="15" t="n">
        <v>8</v>
      </c>
      <c r="L152" s="4" t="n">
        <f aca="false">ROUND(E152*Rubric!$B$4+F152*Rubric!$B$5+G152*Rubric!$B$6+H152*Rubric!$B$7+I152*Rubric!$B$8+J152*Rubric!$B$9+K152*Rubric!$B$10-IF(OR(G152&lt;Rubric!$B$12,J152&lt;Rubric!$B$12),Rubric!$B$13,0),2)</f>
        <v>7.55</v>
      </c>
      <c r="M152" s="4" t="s">
        <v>81</v>
      </c>
      <c r="N152" s="16" t="s">
        <v>81</v>
      </c>
      <c r="O152" s="14" t="n">
        <v>1160</v>
      </c>
    </row>
    <row r="153" customFormat="false" ht="23.85" hidden="false" customHeight="false" outlineLevel="0" collapsed="false">
      <c r="A153" s="2" t="s">
        <v>161</v>
      </c>
      <c r="B153" s="2" t="s">
        <v>162</v>
      </c>
      <c r="C153" s="14" t="n">
        <v>2</v>
      </c>
      <c r="D153" s="2" t="s">
        <v>360</v>
      </c>
      <c r="E153" s="15" t="n">
        <v>8</v>
      </c>
      <c r="F153" s="15" t="n">
        <v>8</v>
      </c>
      <c r="G153" s="15" t="n">
        <v>7</v>
      </c>
      <c r="H153" s="15" t="n">
        <v>10</v>
      </c>
      <c r="I153" s="15" t="n">
        <v>9</v>
      </c>
      <c r="J153" s="15" t="n">
        <v>7</v>
      </c>
      <c r="K153" s="15" t="n">
        <v>9</v>
      </c>
      <c r="L153" s="4" t="n">
        <f aca="false">ROUND(E153*Rubric!$B$4+F153*Rubric!$B$5+G153*Rubric!$B$6+H153*Rubric!$B$7+I153*Rubric!$B$8+J153*Rubric!$B$9+K153*Rubric!$B$10-IF(OR(G153&lt;Rubric!$B$12,J153&lt;Rubric!$B$12),Rubric!$B$13,0),2)</f>
        <v>8.1</v>
      </c>
      <c r="M153" s="4" t="s">
        <v>81</v>
      </c>
      <c r="N153" s="16" t="s">
        <v>81</v>
      </c>
      <c r="O153" s="14" t="n">
        <v>1161</v>
      </c>
    </row>
    <row r="154" customFormat="false" ht="23.85" hidden="false" customHeight="false" outlineLevel="0" collapsed="false">
      <c r="A154" s="2" t="s">
        <v>161</v>
      </c>
      <c r="B154" s="2" t="s">
        <v>162</v>
      </c>
      <c r="C154" s="14" t="n">
        <v>3</v>
      </c>
      <c r="D154" s="2" t="s">
        <v>325</v>
      </c>
      <c r="E154" s="15" t="n">
        <v>8</v>
      </c>
      <c r="F154" s="15" t="n">
        <v>8</v>
      </c>
      <c r="G154" s="15" t="n">
        <v>8</v>
      </c>
      <c r="H154" s="15" t="n">
        <v>3</v>
      </c>
      <c r="I154" s="15" t="n">
        <v>8</v>
      </c>
      <c r="J154" s="15" t="n">
        <v>8</v>
      </c>
      <c r="K154" s="15" t="n">
        <v>7</v>
      </c>
      <c r="L154" s="4" t="n">
        <f aca="false">ROUND(E154*Rubric!$B$4+F154*Rubric!$B$5+G154*Rubric!$B$6+H154*Rubric!$B$7+I154*Rubric!$B$8+J154*Rubric!$B$9+K154*Rubric!$B$10-IF(OR(G154&lt;Rubric!$B$12,J154&lt;Rubric!$B$12),Rubric!$B$13,0),2)</f>
        <v>7.4</v>
      </c>
      <c r="M154" s="4" t="s">
        <v>81</v>
      </c>
      <c r="N154" s="16" t="s">
        <v>81</v>
      </c>
      <c r="O154" s="14" t="n">
        <v>1162</v>
      </c>
    </row>
    <row r="155" customFormat="false" ht="23.85" hidden="false" customHeight="false" outlineLevel="0" collapsed="false">
      <c r="A155" s="2" t="s">
        <v>161</v>
      </c>
      <c r="B155" s="2" t="s">
        <v>162</v>
      </c>
      <c r="C155" s="14" t="n">
        <v>4</v>
      </c>
      <c r="D155" s="2" t="s">
        <v>332</v>
      </c>
      <c r="E155" s="15" t="n">
        <v>9</v>
      </c>
      <c r="F155" s="15" t="n">
        <v>8</v>
      </c>
      <c r="G155" s="15" t="n">
        <v>7</v>
      </c>
      <c r="H155" s="15" t="n">
        <v>4</v>
      </c>
      <c r="I155" s="15" t="n">
        <v>7</v>
      </c>
      <c r="J155" s="15" t="n">
        <v>7</v>
      </c>
      <c r="K155" s="15" t="n">
        <v>7</v>
      </c>
      <c r="L155" s="4" t="n">
        <f aca="false">ROUND(E155*Rubric!$B$4+F155*Rubric!$B$5+G155*Rubric!$B$6+H155*Rubric!$B$7+I155*Rubric!$B$8+J155*Rubric!$B$9+K155*Rubric!$B$10-IF(OR(G155&lt;Rubric!$B$12,J155&lt;Rubric!$B$12),Rubric!$B$13,0),2)</f>
        <v>7.1</v>
      </c>
      <c r="M155" s="4" t="s">
        <v>81</v>
      </c>
      <c r="N155" s="16" t="s">
        <v>81</v>
      </c>
      <c r="O155" s="14" t="n">
        <v>1163</v>
      </c>
    </row>
    <row r="156" customFormat="false" ht="23.85" hidden="false" customHeight="false" outlineLevel="0" collapsed="false">
      <c r="A156" s="2" t="s">
        <v>161</v>
      </c>
      <c r="B156" s="2" t="s">
        <v>162</v>
      </c>
      <c r="C156" s="14" t="n">
        <v>5</v>
      </c>
      <c r="D156" s="2" t="s">
        <v>314</v>
      </c>
      <c r="E156" s="15" t="n">
        <v>9</v>
      </c>
      <c r="F156" s="15" t="n">
        <v>7</v>
      </c>
      <c r="G156" s="15" t="n">
        <v>8</v>
      </c>
      <c r="H156" s="15" t="n">
        <v>8</v>
      </c>
      <c r="I156" s="15" t="n">
        <v>6</v>
      </c>
      <c r="J156" s="15" t="n">
        <v>8</v>
      </c>
      <c r="K156" s="15" t="n">
        <v>7</v>
      </c>
      <c r="L156" s="4" t="n">
        <f aca="false">ROUND(E156*Rubric!$B$4+F156*Rubric!$B$5+G156*Rubric!$B$6+H156*Rubric!$B$7+I156*Rubric!$B$8+J156*Rubric!$B$9+K156*Rubric!$B$10-IF(OR(G156&lt;Rubric!$B$12,J156&lt;Rubric!$B$12),Rubric!$B$13,0),2)</f>
        <v>7.5</v>
      </c>
      <c r="M156" s="4" t="s">
        <v>81</v>
      </c>
      <c r="N156" s="16" t="s">
        <v>81</v>
      </c>
      <c r="O156" s="14" t="n">
        <v>1164</v>
      </c>
    </row>
    <row r="157" customFormat="false" ht="23.85" hidden="false" customHeight="false" outlineLevel="0" collapsed="false">
      <c r="A157" s="2" t="s">
        <v>166</v>
      </c>
      <c r="B157" s="2" t="s">
        <v>167</v>
      </c>
      <c r="C157" s="14" t="n">
        <v>1</v>
      </c>
      <c r="D157" s="2" t="s">
        <v>310</v>
      </c>
      <c r="E157" s="15" t="n">
        <v>7</v>
      </c>
      <c r="F157" s="15" t="n">
        <v>8</v>
      </c>
      <c r="G157" s="15" t="n">
        <v>8</v>
      </c>
      <c r="H157" s="15" t="n">
        <v>4</v>
      </c>
      <c r="I157" s="15" t="n">
        <v>7</v>
      </c>
      <c r="J157" s="15" t="n">
        <v>8</v>
      </c>
      <c r="K157" s="15" t="n">
        <v>8</v>
      </c>
      <c r="L157" s="4" t="n">
        <f aca="false">ROUND(E157*Rubric!$B$4+F157*Rubric!$B$5+G157*Rubric!$B$6+H157*Rubric!$B$7+I157*Rubric!$B$8+J157*Rubric!$B$9+K157*Rubric!$B$10-IF(OR(G157&lt;Rubric!$B$12,J157&lt;Rubric!$B$12),Rubric!$B$13,0),2)</f>
        <v>7.35</v>
      </c>
      <c r="M157" s="4" t="s">
        <v>81</v>
      </c>
      <c r="N157" s="16" t="s">
        <v>81</v>
      </c>
      <c r="O157" s="14" t="n">
        <v>1170</v>
      </c>
    </row>
    <row r="158" customFormat="false" ht="23.85" hidden="false" customHeight="false" outlineLevel="0" collapsed="false">
      <c r="A158" s="2" t="s">
        <v>166</v>
      </c>
      <c r="B158" s="2" t="s">
        <v>167</v>
      </c>
      <c r="C158" s="14" t="n">
        <v>2</v>
      </c>
      <c r="D158" s="2" t="s">
        <v>311</v>
      </c>
      <c r="E158" s="15" t="n">
        <v>9</v>
      </c>
      <c r="F158" s="15" t="n">
        <v>9</v>
      </c>
      <c r="G158" s="15" t="n">
        <v>8</v>
      </c>
      <c r="H158" s="15" t="n">
        <v>4</v>
      </c>
      <c r="I158" s="15" t="n">
        <v>7</v>
      </c>
      <c r="J158" s="15" t="n">
        <v>9</v>
      </c>
      <c r="K158" s="15" t="n">
        <v>8</v>
      </c>
      <c r="L158" s="4" t="n">
        <f aca="false">ROUND(E158*Rubric!$B$4+F158*Rubric!$B$5+G158*Rubric!$B$6+H158*Rubric!$B$7+I158*Rubric!$B$8+J158*Rubric!$B$9+K158*Rubric!$B$10-IF(OR(G158&lt;Rubric!$B$12,J158&lt;Rubric!$B$12),Rubric!$B$13,0),2)</f>
        <v>7.9</v>
      </c>
      <c r="M158" s="4" t="s">
        <v>81</v>
      </c>
      <c r="N158" s="16" t="s">
        <v>81</v>
      </c>
      <c r="O158" s="14" t="n">
        <v>1171</v>
      </c>
    </row>
    <row r="159" customFormat="false" ht="23.85" hidden="false" customHeight="false" outlineLevel="0" collapsed="false">
      <c r="A159" s="2" t="s">
        <v>166</v>
      </c>
      <c r="B159" s="2" t="s">
        <v>167</v>
      </c>
      <c r="C159" s="14" t="n">
        <v>3</v>
      </c>
      <c r="D159" s="2" t="s">
        <v>321</v>
      </c>
      <c r="E159" s="15" t="n">
        <v>8</v>
      </c>
      <c r="F159" s="15" t="n">
        <v>8</v>
      </c>
      <c r="G159" s="15" t="n">
        <v>8</v>
      </c>
      <c r="H159" s="15" t="n">
        <v>3</v>
      </c>
      <c r="I159" s="15" t="n">
        <v>7</v>
      </c>
      <c r="J159" s="15" t="n">
        <v>8</v>
      </c>
      <c r="K159" s="15" t="n">
        <v>7</v>
      </c>
      <c r="L159" s="4" t="n">
        <f aca="false">ROUND(E159*Rubric!$B$4+F159*Rubric!$B$5+G159*Rubric!$B$6+H159*Rubric!$B$7+I159*Rubric!$B$8+J159*Rubric!$B$9+K159*Rubric!$B$10-IF(OR(G159&lt;Rubric!$B$12,J159&lt;Rubric!$B$12),Rubric!$B$13,0),2)</f>
        <v>7.25</v>
      </c>
      <c r="M159" s="4" t="s">
        <v>81</v>
      </c>
      <c r="N159" s="16" t="s">
        <v>81</v>
      </c>
      <c r="O159" s="14" t="n">
        <v>1172</v>
      </c>
    </row>
    <row r="160" customFormat="false" ht="23.85" hidden="false" customHeight="false" outlineLevel="0" collapsed="false">
      <c r="A160" s="2" t="s">
        <v>166</v>
      </c>
      <c r="B160" s="2" t="s">
        <v>167</v>
      </c>
      <c r="C160" s="14" t="n">
        <v>4</v>
      </c>
      <c r="D160" s="2" t="s">
        <v>312</v>
      </c>
      <c r="E160" s="15" t="n">
        <v>9</v>
      </c>
      <c r="F160" s="15" t="n">
        <v>8</v>
      </c>
      <c r="G160" s="15" t="n">
        <v>8</v>
      </c>
      <c r="H160" s="15" t="n">
        <v>4</v>
      </c>
      <c r="I160" s="15" t="n">
        <v>6</v>
      </c>
      <c r="J160" s="15" t="n">
        <v>8</v>
      </c>
      <c r="K160" s="15" t="n">
        <v>7</v>
      </c>
      <c r="L160" s="4" t="n">
        <f aca="false">ROUND(E160*Rubric!$B$4+F160*Rubric!$B$5+G160*Rubric!$B$6+H160*Rubric!$B$7+I160*Rubric!$B$8+J160*Rubric!$B$9+K160*Rubric!$B$10-IF(OR(G160&lt;Rubric!$B$12,J160&lt;Rubric!$B$12),Rubric!$B$13,0),2)</f>
        <v>7.3</v>
      </c>
      <c r="M160" s="4" t="s">
        <v>81</v>
      </c>
      <c r="N160" s="16" t="s">
        <v>81</v>
      </c>
      <c r="O160" s="14" t="n">
        <v>1173</v>
      </c>
    </row>
    <row r="161" customFormat="false" ht="23.85" hidden="false" customHeight="false" outlineLevel="0" collapsed="false">
      <c r="A161" s="2" t="s">
        <v>166</v>
      </c>
      <c r="B161" s="2" t="s">
        <v>167</v>
      </c>
      <c r="C161" s="14" t="n">
        <v>5</v>
      </c>
      <c r="D161" s="2" t="s">
        <v>314</v>
      </c>
      <c r="E161" s="15" t="n">
        <v>9</v>
      </c>
      <c r="F161" s="15" t="n">
        <v>7</v>
      </c>
      <c r="G161" s="15" t="n">
        <v>8</v>
      </c>
      <c r="H161" s="15" t="n">
        <v>8</v>
      </c>
      <c r="I161" s="15" t="n">
        <v>6</v>
      </c>
      <c r="J161" s="15" t="n">
        <v>8</v>
      </c>
      <c r="K161" s="15" t="n">
        <v>7</v>
      </c>
      <c r="L161" s="4" t="n">
        <f aca="false">ROUND(E161*Rubric!$B$4+F161*Rubric!$B$5+G161*Rubric!$B$6+H161*Rubric!$B$7+I161*Rubric!$B$8+J161*Rubric!$B$9+K161*Rubric!$B$10-IF(OR(G161&lt;Rubric!$B$12,J161&lt;Rubric!$B$12),Rubric!$B$13,0),2)</f>
        <v>7.5</v>
      </c>
      <c r="M161" s="4" t="s">
        <v>81</v>
      </c>
      <c r="N161" s="16" t="s">
        <v>81</v>
      </c>
      <c r="O161" s="14" t="n">
        <v>1174</v>
      </c>
    </row>
    <row r="162" customFormat="false" ht="23.85" hidden="false" customHeight="false" outlineLevel="0" collapsed="false">
      <c r="A162" s="2" t="s">
        <v>171</v>
      </c>
      <c r="B162" s="2" t="s">
        <v>172</v>
      </c>
      <c r="C162" s="14" t="n">
        <v>1</v>
      </c>
      <c r="D162" s="2" t="s">
        <v>311</v>
      </c>
      <c r="E162" s="15" t="n">
        <v>9</v>
      </c>
      <c r="F162" s="15" t="n">
        <v>9</v>
      </c>
      <c r="G162" s="15" t="n">
        <v>8</v>
      </c>
      <c r="H162" s="15" t="n">
        <v>4</v>
      </c>
      <c r="I162" s="15" t="n">
        <v>7</v>
      </c>
      <c r="J162" s="15" t="n">
        <v>9</v>
      </c>
      <c r="K162" s="15" t="n">
        <v>8</v>
      </c>
      <c r="L162" s="4" t="n">
        <f aca="false">ROUND(E162*Rubric!$B$4+F162*Rubric!$B$5+G162*Rubric!$B$6+H162*Rubric!$B$7+I162*Rubric!$B$8+J162*Rubric!$B$9+K162*Rubric!$B$10-IF(OR(G162&lt;Rubric!$B$12,J162&lt;Rubric!$B$12),Rubric!$B$13,0),2)</f>
        <v>7.9</v>
      </c>
      <c r="M162" s="4" t="s">
        <v>81</v>
      </c>
      <c r="N162" s="16" t="s">
        <v>81</v>
      </c>
      <c r="O162" s="14" t="n">
        <v>1180</v>
      </c>
    </row>
    <row r="163" customFormat="false" ht="23.85" hidden="false" customHeight="false" outlineLevel="0" collapsed="false">
      <c r="A163" s="2" t="s">
        <v>171</v>
      </c>
      <c r="B163" s="2" t="s">
        <v>172</v>
      </c>
      <c r="C163" s="14" t="n">
        <v>2</v>
      </c>
      <c r="D163" s="2" t="s">
        <v>316</v>
      </c>
      <c r="E163" s="15" t="n">
        <v>9</v>
      </c>
      <c r="F163" s="15" t="n">
        <v>9</v>
      </c>
      <c r="G163" s="15" t="n">
        <v>8</v>
      </c>
      <c r="H163" s="15" t="n">
        <v>3</v>
      </c>
      <c r="I163" s="15" t="n">
        <v>8</v>
      </c>
      <c r="J163" s="15" t="n">
        <v>9</v>
      </c>
      <c r="K163" s="15" t="n">
        <v>9</v>
      </c>
      <c r="L163" s="4" t="n">
        <f aca="false">ROUND(E163*Rubric!$B$4+F163*Rubric!$B$5+G163*Rubric!$B$6+H163*Rubric!$B$7+I163*Rubric!$B$8+J163*Rubric!$B$9+K163*Rubric!$B$10-IF(OR(G163&lt;Rubric!$B$12,J163&lt;Rubric!$B$12),Rubric!$B$13,0),2)</f>
        <v>8.05</v>
      </c>
      <c r="M163" s="4" t="s">
        <v>81</v>
      </c>
      <c r="N163" s="16" t="s">
        <v>81</v>
      </c>
      <c r="O163" s="14" t="n">
        <v>1181</v>
      </c>
    </row>
    <row r="164" customFormat="false" ht="23.85" hidden="false" customHeight="false" outlineLevel="0" collapsed="false">
      <c r="A164" s="2" t="s">
        <v>171</v>
      </c>
      <c r="B164" s="2" t="s">
        <v>172</v>
      </c>
      <c r="C164" s="14" t="n">
        <v>3</v>
      </c>
      <c r="D164" s="2" t="s">
        <v>327</v>
      </c>
      <c r="E164" s="15" t="n">
        <v>9</v>
      </c>
      <c r="F164" s="15" t="n">
        <v>9</v>
      </c>
      <c r="G164" s="15" t="n">
        <v>8</v>
      </c>
      <c r="H164" s="15" t="n">
        <v>3</v>
      </c>
      <c r="I164" s="15" t="n">
        <v>8</v>
      </c>
      <c r="J164" s="15" t="n">
        <v>9</v>
      </c>
      <c r="K164" s="15" t="n">
        <v>8</v>
      </c>
      <c r="L164" s="4" t="n">
        <f aca="false">ROUND(E164*Rubric!$B$4+F164*Rubric!$B$5+G164*Rubric!$B$6+H164*Rubric!$B$7+I164*Rubric!$B$8+J164*Rubric!$B$9+K164*Rubric!$B$10-IF(OR(G164&lt;Rubric!$B$12,J164&lt;Rubric!$B$12),Rubric!$B$13,0),2)</f>
        <v>7.95</v>
      </c>
      <c r="M164" s="4" t="s">
        <v>81</v>
      </c>
      <c r="N164" s="16" t="s">
        <v>81</v>
      </c>
      <c r="O164" s="14" t="n">
        <v>1182</v>
      </c>
    </row>
    <row r="165" customFormat="false" ht="23.85" hidden="false" customHeight="false" outlineLevel="0" collapsed="false">
      <c r="A165" s="2" t="s">
        <v>171</v>
      </c>
      <c r="B165" s="2" t="s">
        <v>172</v>
      </c>
      <c r="C165" s="14" t="n">
        <v>4</v>
      </c>
      <c r="D165" s="2" t="s">
        <v>363</v>
      </c>
      <c r="E165" s="15" t="n">
        <v>9</v>
      </c>
      <c r="F165" s="15" t="n">
        <v>8</v>
      </c>
      <c r="G165" s="15" t="n">
        <v>8</v>
      </c>
      <c r="H165" s="15" t="n">
        <v>5</v>
      </c>
      <c r="I165" s="15" t="n">
        <v>7</v>
      </c>
      <c r="J165" s="15" t="n">
        <v>7</v>
      </c>
      <c r="K165" s="15" t="n">
        <v>8</v>
      </c>
      <c r="L165" s="4" t="n">
        <f aca="false">ROUND(E165*Rubric!$B$4+F165*Rubric!$B$5+G165*Rubric!$B$6+H165*Rubric!$B$7+I165*Rubric!$B$8+J165*Rubric!$B$9+K165*Rubric!$B$10-IF(OR(G165&lt;Rubric!$B$12,J165&lt;Rubric!$B$12),Rubric!$B$13,0),2)</f>
        <v>7.5</v>
      </c>
      <c r="M165" s="4" t="s">
        <v>81</v>
      </c>
      <c r="N165" s="16" t="s">
        <v>81</v>
      </c>
      <c r="O165" s="14" t="n">
        <v>1183</v>
      </c>
    </row>
    <row r="166" customFormat="false" ht="23.85" hidden="false" customHeight="false" outlineLevel="0" collapsed="false">
      <c r="A166" s="2" t="s">
        <v>171</v>
      </c>
      <c r="B166" s="2" t="s">
        <v>172</v>
      </c>
      <c r="C166" s="14" t="n">
        <v>5</v>
      </c>
      <c r="D166" s="2" t="s">
        <v>334</v>
      </c>
      <c r="E166" s="15" t="n">
        <v>8</v>
      </c>
      <c r="F166" s="15" t="n">
        <v>8</v>
      </c>
      <c r="G166" s="15" t="n">
        <v>8</v>
      </c>
      <c r="H166" s="15" t="n">
        <v>8</v>
      </c>
      <c r="I166" s="15" t="n">
        <v>6</v>
      </c>
      <c r="J166" s="15" t="n">
        <v>7</v>
      </c>
      <c r="K166" s="15" t="n">
        <v>8</v>
      </c>
      <c r="L166" s="4" t="n">
        <f aca="false">ROUND(E166*Rubric!$B$4+F166*Rubric!$B$5+G166*Rubric!$B$6+H166*Rubric!$B$7+I166*Rubric!$B$8+J166*Rubric!$B$9+K166*Rubric!$B$10-IF(OR(G166&lt;Rubric!$B$12,J166&lt;Rubric!$B$12),Rubric!$B$13,0),2)</f>
        <v>7.55</v>
      </c>
      <c r="M166" s="4" t="s">
        <v>81</v>
      </c>
      <c r="N166" s="16" t="s">
        <v>81</v>
      </c>
      <c r="O166" s="14" t="n">
        <v>1184</v>
      </c>
    </row>
    <row r="167" customFormat="false" ht="23.85" hidden="false" customHeight="false" outlineLevel="0" collapsed="false">
      <c r="A167" s="2" t="s">
        <v>175</v>
      </c>
      <c r="B167" s="2" t="s">
        <v>176</v>
      </c>
      <c r="C167" s="14" t="n">
        <v>1</v>
      </c>
      <c r="D167" s="2" t="s">
        <v>365</v>
      </c>
      <c r="E167" s="15" t="n">
        <v>9</v>
      </c>
      <c r="F167" s="15" t="n">
        <v>8</v>
      </c>
      <c r="G167" s="15" t="n">
        <v>8</v>
      </c>
      <c r="H167" s="15" t="n">
        <v>3</v>
      </c>
      <c r="I167" s="15" t="n">
        <v>7</v>
      </c>
      <c r="J167" s="15" t="n">
        <v>8</v>
      </c>
      <c r="K167" s="15" t="n">
        <v>7</v>
      </c>
      <c r="L167" s="4" t="n">
        <f aca="false">ROUND(E167*Rubric!$B$4+F167*Rubric!$B$5+G167*Rubric!$B$6+H167*Rubric!$B$7+I167*Rubric!$B$8+J167*Rubric!$B$9+K167*Rubric!$B$10-IF(OR(G167&lt;Rubric!$B$12,J167&lt;Rubric!$B$12),Rubric!$B$13,0),2)</f>
        <v>7.35</v>
      </c>
      <c r="M167" s="4" t="s">
        <v>81</v>
      </c>
      <c r="N167" s="16" t="s">
        <v>81</v>
      </c>
      <c r="O167" s="14" t="n">
        <v>1190</v>
      </c>
    </row>
    <row r="168" customFormat="false" ht="15" hidden="false" customHeight="false" outlineLevel="0" collapsed="false">
      <c r="A168" s="2" t="s">
        <v>175</v>
      </c>
      <c r="B168" s="2" t="s">
        <v>176</v>
      </c>
      <c r="C168" s="14" t="n">
        <v>2</v>
      </c>
      <c r="D168" s="2" t="s">
        <v>366</v>
      </c>
      <c r="E168" s="15" t="n">
        <v>9</v>
      </c>
      <c r="F168" s="15" t="n">
        <v>9</v>
      </c>
      <c r="G168" s="15" t="n">
        <v>8</v>
      </c>
      <c r="H168" s="15" t="n">
        <v>3</v>
      </c>
      <c r="I168" s="15" t="n">
        <v>7</v>
      </c>
      <c r="J168" s="15" t="n">
        <v>9</v>
      </c>
      <c r="K168" s="15" t="n">
        <v>8</v>
      </c>
      <c r="L168" s="4" t="n">
        <f aca="false">ROUND(E168*Rubric!$B$4+F168*Rubric!$B$5+G168*Rubric!$B$6+H168*Rubric!$B$7+I168*Rubric!$B$8+J168*Rubric!$B$9+K168*Rubric!$B$10-IF(OR(G168&lt;Rubric!$B$12,J168&lt;Rubric!$B$12),Rubric!$B$13,0),2)</f>
        <v>7.8</v>
      </c>
      <c r="M168" s="4" t="s">
        <v>81</v>
      </c>
      <c r="N168" s="16" t="s">
        <v>81</v>
      </c>
      <c r="O168" s="14" t="n">
        <v>1191</v>
      </c>
    </row>
    <row r="169" customFormat="false" ht="23.85" hidden="false" customHeight="false" outlineLevel="0" collapsed="false">
      <c r="A169" s="2" t="s">
        <v>175</v>
      </c>
      <c r="B169" s="2" t="s">
        <v>176</v>
      </c>
      <c r="C169" s="14" t="n">
        <v>3</v>
      </c>
      <c r="D169" s="2" t="s">
        <v>355</v>
      </c>
      <c r="E169" s="15" t="n">
        <v>9</v>
      </c>
      <c r="F169" s="15" t="n">
        <v>9</v>
      </c>
      <c r="G169" s="15" t="n">
        <v>7</v>
      </c>
      <c r="H169" s="15" t="n">
        <v>4</v>
      </c>
      <c r="I169" s="15" t="n">
        <v>7</v>
      </c>
      <c r="J169" s="15" t="n">
        <v>7</v>
      </c>
      <c r="K169" s="15" t="n">
        <v>8</v>
      </c>
      <c r="L169" s="4" t="n">
        <f aca="false">ROUND(E169*Rubric!$B$4+F169*Rubric!$B$5+G169*Rubric!$B$6+H169*Rubric!$B$7+I169*Rubric!$B$8+J169*Rubric!$B$9+K169*Rubric!$B$10-IF(OR(G169&lt;Rubric!$B$12,J169&lt;Rubric!$B$12),Rubric!$B$13,0),2)</f>
        <v>7.4</v>
      </c>
      <c r="M169" s="4" t="s">
        <v>81</v>
      </c>
      <c r="N169" s="16" t="s">
        <v>81</v>
      </c>
      <c r="O169" s="14" t="n">
        <v>1192</v>
      </c>
    </row>
    <row r="170" customFormat="false" ht="23.85" hidden="false" customHeight="false" outlineLevel="0" collapsed="false">
      <c r="A170" s="2" t="s">
        <v>175</v>
      </c>
      <c r="B170" s="2" t="s">
        <v>176</v>
      </c>
      <c r="C170" s="14" t="n">
        <v>4</v>
      </c>
      <c r="D170" s="2" t="s">
        <v>332</v>
      </c>
      <c r="E170" s="15" t="n">
        <v>9</v>
      </c>
      <c r="F170" s="15" t="n">
        <v>8</v>
      </c>
      <c r="G170" s="15" t="n">
        <v>7</v>
      </c>
      <c r="H170" s="15" t="n">
        <v>4</v>
      </c>
      <c r="I170" s="15" t="n">
        <v>7</v>
      </c>
      <c r="J170" s="15" t="n">
        <v>7</v>
      </c>
      <c r="K170" s="15" t="n">
        <v>7</v>
      </c>
      <c r="L170" s="4" t="n">
        <f aca="false">ROUND(E170*Rubric!$B$4+F170*Rubric!$B$5+G170*Rubric!$B$6+H170*Rubric!$B$7+I170*Rubric!$B$8+J170*Rubric!$B$9+K170*Rubric!$B$10-IF(OR(G170&lt;Rubric!$B$12,J170&lt;Rubric!$B$12),Rubric!$B$13,0),2)</f>
        <v>7.1</v>
      </c>
      <c r="M170" s="4" t="s">
        <v>81</v>
      </c>
      <c r="N170" s="16" t="s">
        <v>81</v>
      </c>
      <c r="O170" s="14" t="n">
        <v>1193</v>
      </c>
    </row>
    <row r="171" customFormat="false" ht="23.85" hidden="false" customHeight="false" outlineLevel="0" collapsed="false">
      <c r="A171" s="2" t="s">
        <v>175</v>
      </c>
      <c r="B171" s="2" t="s">
        <v>176</v>
      </c>
      <c r="C171" s="14" t="n">
        <v>5</v>
      </c>
      <c r="D171" s="2" t="s">
        <v>357</v>
      </c>
      <c r="E171" s="15" t="n">
        <v>8</v>
      </c>
      <c r="F171" s="15" t="n">
        <v>8</v>
      </c>
      <c r="G171" s="15" t="n">
        <v>7</v>
      </c>
      <c r="H171" s="15" t="n">
        <v>10</v>
      </c>
      <c r="I171" s="15" t="n">
        <v>9</v>
      </c>
      <c r="J171" s="15" t="n">
        <v>7</v>
      </c>
      <c r="K171" s="15" t="n">
        <v>9</v>
      </c>
      <c r="L171" s="4" t="n">
        <f aca="false">ROUND(E171*Rubric!$B$4+F171*Rubric!$B$5+G171*Rubric!$B$6+H171*Rubric!$B$7+I171*Rubric!$B$8+J171*Rubric!$B$9+K171*Rubric!$B$10-IF(OR(G171&lt;Rubric!$B$12,J171&lt;Rubric!$B$12),Rubric!$B$13,0),2)</f>
        <v>8.1</v>
      </c>
      <c r="M171" s="4" t="s">
        <v>81</v>
      </c>
      <c r="N171" s="16" t="s">
        <v>81</v>
      </c>
      <c r="O171" s="14" t="n">
        <v>1194</v>
      </c>
    </row>
    <row r="172" customFormat="false" ht="23.85" hidden="false" customHeight="false" outlineLevel="0" collapsed="false">
      <c r="A172" s="2" t="s">
        <v>179</v>
      </c>
      <c r="B172" s="2" t="s">
        <v>180</v>
      </c>
      <c r="C172" s="14" t="n">
        <v>1</v>
      </c>
      <c r="D172" s="2" t="s">
        <v>320</v>
      </c>
      <c r="E172" s="15" t="n">
        <v>8</v>
      </c>
      <c r="F172" s="15" t="n">
        <v>7</v>
      </c>
      <c r="G172" s="15" t="n">
        <v>9</v>
      </c>
      <c r="H172" s="15" t="n">
        <v>2</v>
      </c>
      <c r="I172" s="15" t="n">
        <v>8</v>
      </c>
      <c r="J172" s="15" t="n">
        <v>8</v>
      </c>
      <c r="K172" s="15" t="n">
        <v>6</v>
      </c>
      <c r="L172" s="4" t="n">
        <f aca="false">ROUND(E172*Rubric!$B$4+F172*Rubric!$B$5+G172*Rubric!$B$6+H172*Rubric!$B$7+I172*Rubric!$B$8+J172*Rubric!$B$9+K172*Rubric!$B$10-IF(OR(G172&lt;Rubric!$B$12,J172&lt;Rubric!$B$12),Rubric!$B$13,0),2)</f>
        <v>7.2</v>
      </c>
      <c r="M172" s="4" t="s">
        <v>81</v>
      </c>
      <c r="N172" s="16" t="s">
        <v>81</v>
      </c>
      <c r="O172" s="14" t="n">
        <v>1200</v>
      </c>
    </row>
    <row r="173" customFormat="false" ht="23.85" hidden="false" customHeight="false" outlineLevel="0" collapsed="false">
      <c r="A173" s="2" t="s">
        <v>179</v>
      </c>
      <c r="B173" s="2" t="s">
        <v>180</v>
      </c>
      <c r="C173" s="14" t="n">
        <v>2</v>
      </c>
      <c r="D173" s="2" t="s">
        <v>321</v>
      </c>
      <c r="E173" s="15" t="n">
        <v>8</v>
      </c>
      <c r="F173" s="15" t="n">
        <v>8</v>
      </c>
      <c r="G173" s="15" t="n">
        <v>8</v>
      </c>
      <c r="H173" s="15" t="n">
        <v>3</v>
      </c>
      <c r="I173" s="15" t="n">
        <v>7</v>
      </c>
      <c r="J173" s="15" t="n">
        <v>8</v>
      </c>
      <c r="K173" s="15" t="n">
        <v>7</v>
      </c>
      <c r="L173" s="4" t="n">
        <f aca="false">ROUND(E173*Rubric!$B$4+F173*Rubric!$B$5+G173*Rubric!$B$6+H173*Rubric!$B$7+I173*Rubric!$B$8+J173*Rubric!$B$9+K173*Rubric!$B$10-IF(OR(G173&lt;Rubric!$B$12,J173&lt;Rubric!$B$12),Rubric!$B$13,0),2)</f>
        <v>7.25</v>
      </c>
      <c r="M173" s="4" t="s">
        <v>81</v>
      </c>
      <c r="N173" s="16" t="s">
        <v>81</v>
      </c>
      <c r="O173" s="14" t="n">
        <v>1201</v>
      </c>
    </row>
    <row r="174" customFormat="false" ht="23.85" hidden="false" customHeight="false" outlineLevel="0" collapsed="false">
      <c r="A174" s="2" t="s">
        <v>179</v>
      </c>
      <c r="B174" s="2" t="s">
        <v>180</v>
      </c>
      <c r="C174" s="14" t="n">
        <v>3</v>
      </c>
      <c r="D174" s="2" t="s">
        <v>322</v>
      </c>
      <c r="E174" s="15" t="n">
        <v>8</v>
      </c>
      <c r="F174" s="15" t="n">
        <v>8</v>
      </c>
      <c r="G174" s="15" t="n">
        <v>8</v>
      </c>
      <c r="H174" s="15" t="n">
        <v>2</v>
      </c>
      <c r="I174" s="15" t="n">
        <v>7</v>
      </c>
      <c r="J174" s="15" t="n">
        <v>8</v>
      </c>
      <c r="K174" s="15" t="n">
        <v>8</v>
      </c>
      <c r="L174" s="4" t="n">
        <f aca="false">ROUND(E174*Rubric!$B$4+F174*Rubric!$B$5+G174*Rubric!$B$6+H174*Rubric!$B$7+I174*Rubric!$B$8+J174*Rubric!$B$9+K174*Rubric!$B$10-IF(OR(G174&lt;Rubric!$B$12,J174&lt;Rubric!$B$12),Rubric!$B$13,0),2)</f>
        <v>7.25</v>
      </c>
      <c r="M174" s="4" t="s">
        <v>81</v>
      </c>
      <c r="N174" s="16" t="s">
        <v>81</v>
      </c>
      <c r="O174" s="14" t="n">
        <v>1202</v>
      </c>
    </row>
    <row r="175" customFormat="false" ht="23.85" hidden="false" customHeight="false" outlineLevel="0" collapsed="false">
      <c r="A175" s="2" t="s">
        <v>179</v>
      </c>
      <c r="B175" s="2" t="s">
        <v>180</v>
      </c>
      <c r="C175" s="14" t="n">
        <v>4</v>
      </c>
      <c r="D175" s="2" t="s">
        <v>324</v>
      </c>
      <c r="E175" s="15" t="n">
        <v>9</v>
      </c>
      <c r="F175" s="15" t="n">
        <v>7</v>
      </c>
      <c r="G175" s="15" t="n">
        <v>8</v>
      </c>
      <c r="H175" s="15" t="n">
        <v>4</v>
      </c>
      <c r="I175" s="15" t="n">
        <v>6</v>
      </c>
      <c r="J175" s="15" t="n">
        <v>8</v>
      </c>
      <c r="K175" s="15" t="n">
        <v>8</v>
      </c>
      <c r="L175" s="4" t="n">
        <f aca="false">ROUND(E175*Rubric!$B$4+F175*Rubric!$B$5+G175*Rubric!$B$6+H175*Rubric!$B$7+I175*Rubric!$B$8+J175*Rubric!$B$9+K175*Rubric!$B$10-IF(OR(G175&lt;Rubric!$B$12,J175&lt;Rubric!$B$12),Rubric!$B$13,0),2)</f>
        <v>7.2</v>
      </c>
      <c r="M175" s="4" t="s">
        <v>81</v>
      </c>
      <c r="N175" s="16" t="s">
        <v>81</v>
      </c>
      <c r="O175" s="14" t="n">
        <v>1203</v>
      </c>
    </row>
    <row r="176" customFormat="false" ht="23.85" hidden="false" customHeight="false" outlineLevel="0" collapsed="false">
      <c r="A176" s="2" t="s">
        <v>179</v>
      </c>
      <c r="B176" s="2" t="s">
        <v>180</v>
      </c>
      <c r="C176" s="14" t="n">
        <v>5</v>
      </c>
      <c r="D176" s="2" t="s">
        <v>314</v>
      </c>
      <c r="E176" s="15" t="n">
        <v>9</v>
      </c>
      <c r="F176" s="15" t="n">
        <v>7</v>
      </c>
      <c r="G176" s="15" t="n">
        <v>8</v>
      </c>
      <c r="H176" s="15" t="n">
        <v>8</v>
      </c>
      <c r="I176" s="15" t="n">
        <v>6</v>
      </c>
      <c r="J176" s="15" t="n">
        <v>8</v>
      </c>
      <c r="K176" s="15" t="n">
        <v>7</v>
      </c>
      <c r="L176" s="4" t="n">
        <f aca="false">ROUND(E176*Rubric!$B$4+F176*Rubric!$B$5+G176*Rubric!$B$6+H176*Rubric!$B$7+I176*Rubric!$B$8+J176*Rubric!$B$9+K176*Rubric!$B$10-IF(OR(G176&lt;Rubric!$B$12,J176&lt;Rubric!$B$12),Rubric!$B$13,0),2)</f>
        <v>7.5</v>
      </c>
      <c r="M176" s="4" t="s">
        <v>81</v>
      </c>
      <c r="N176" s="16" t="s">
        <v>81</v>
      </c>
      <c r="O176" s="14" t="n">
        <v>1204</v>
      </c>
    </row>
    <row r="177" customFormat="false" ht="23.85" hidden="false" customHeight="false" outlineLevel="0" collapsed="false">
      <c r="A177" s="2" t="s">
        <v>184</v>
      </c>
      <c r="B177" s="2" t="s">
        <v>185</v>
      </c>
      <c r="C177" s="14" t="n">
        <v>1</v>
      </c>
      <c r="D177" s="2" t="s">
        <v>320</v>
      </c>
      <c r="E177" s="15" t="n">
        <v>8</v>
      </c>
      <c r="F177" s="15" t="n">
        <v>7</v>
      </c>
      <c r="G177" s="15" t="n">
        <v>9</v>
      </c>
      <c r="H177" s="15" t="n">
        <v>2</v>
      </c>
      <c r="I177" s="15" t="n">
        <v>8</v>
      </c>
      <c r="J177" s="15" t="n">
        <v>8</v>
      </c>
      <c r="K177" s="15" t="n">
        <v>6</v>
      </c>
      <c r="L177" s="4" t="n">
        <f aca="false">ROUND(E177*Rubric!$B$4+F177*Rubric!$B$5+G177*Rubric!$B$6+H177*Rubric!$B$7+I177*Rubric!$B$8+J177*Rubric!$B$9+K177*Rubric!$B$10-IF(OR(G177&lt;Rubric!$B$12,J177&lt;Rubric!$B$12),Rubric!$B$13,0),2)</f>
        <v>7.2</v>
      </c>
      <c r="M177" s="4" t="s">
        <v>81</v>
      </c>
      <c r="N177" s="16" t="s">
        <v>81</v>
      </c>
      <c r="O177" s="14" t="n">
        <v>1210</v>
      </c>
    </row>
    <row r="178" customFormat="false" ht="23.85" hidden="false" customHeight="false" outlineLevel="0" collapsed="false">
      <c r="A178" s="2" t="s">
        <v>184</v>
      </c>
      <c r="B178" s="2" t="s">
        <v>185</v>
      </c>
      <c r="C178" s="14" t="n">
        <v>2</v>
      </c>
      <c r="D178" s="2" t="s">
        <v>321</v>
      </c>
      <c r="E178" s="15" t="n">
        <v>8</v>
      </c>
      <c r="F178" s="15" t="n">
        <v>8</v>
      </c>
      <c r="G178" s="15" t="n">
        <v>8</v>
      </c>
      <c r="H178" s="15" t="n">
        <v>3</v>
      </c>
      <c r="I178" s="15" t="n">
        <v>7</v>
      </c>
      <c r="J178" s="15" t="n">
        <v>8</v>
      </c>
      <c r="K178" s="15" t="n">
        <v>7</v>
      </c>
      <c r="L178" s="4" t="n">
        <f aca="false">ROUND(E178*Rubric!$B$4+F178*Rubric!$B$5+G178*Rubric!$B$6+H178*Rubric!$B$7+I178*Rubric!$B$8+J178*Rubric!$B$9+K178*Rubric!$B$10-IF(OR(G178&lt;Rubric!$B$12,J178&lt;Rubric!$B$12),Rubric!$B$13,0),2)</f>
        <v>7.25</v>
      </c>
      <c r="M178" s="4" t="s">
        <v>81</v>
      </c>
      <c r="N178" s="16" t="s">
        <v>81</v>
      </c>
      <c r="O178" s="14" t="n">
        <v>1211</v>
      </c>
    </row>
    <row r="179" customFormat="false" ht="23.85" hidden="false" customHeight="false" outlineLevel="0" collapsed="false">
      <c r="A179" s="2" t="s">
        <v>184</v>
      </c>
      <c r="B179" s="2" t="s">
        <v>185</v>
      </c>
      <c r="C179" s="14" t="n">
        <v>3</v>
      </c>
      <c r="D179" s="2" t="s">
        <v>322</v>
      </c>
      <c r="E179" s="15" t="n">
        <v>8</v>
      </c>
      <c r="F179" s="15" t="n">
        <v>8</v>
      </c>
      <c r="G179" s="15" t="n">
        <v>8</v>
      </c>
      <c r="H179" s="15" t="n">
        <v>2</v>
      </c>
      <c r="I179" s="15" t="n">
        <v>7</v>
      </c>
      <c r="J179" s="15" t="n">
        <v>8</v>
      </c>
      <c r="K179" s="15" t="n">
        <v>8</v>
      </c>
      <c r="L179" s="4" t="n">
        <f aca="false">ROUND(E179*Rubric!$B$4+F179*Rubric!$B$5+G179*Rubric!$B$6+H179*Rubric!$B$7+I179*Rubric!$B$8+J179*Rubric!$B$9+K179*Rubric!$B$10-IF(OR(G179&lt;Rubric!$B$12,J179&lt;Rubric!$B$12),Rubric!$B$13,0),2)</f>
        <v>7.25</v>
      </c>
      <c r="M179" s="4" t="s">
        <v>81</v>
      </c>
      <c r="N179" s="16" t="s">
        <v>81</v>
      </c>
      <c r="O179" s="14" t="n">
        <v>1212</v>
      </c>
    </row>
    <row r="180" customFormat="false" ht="23.85" hidden="false" customHeight="false" outlineLevel="0" collapsed="false">
      <c r="A180" s="2" t="s">
        <v>184</v>
      </c>
      <c r="B180" s="2" t="s">
        <v>185</v>
      </c>
      <c r="C180" s="14" t="n">
        <v>4</v>
      </c>
      <c r="D180" s="2" t="s">
        <v>324</v>
      </c>
      <c r="E180" s="15" t="n">
        <v>9</v>
      </c>
      <c r="F180" s="15" t="n">
        <v>7</v>
      </c>
      <c r="G180" s="15" t="n">
        <v>8</v>
      </c>
      <c r="H180" s="15" t="n">
        <v>4</v>
      </c>
      <c r="I180" s="15" t="n">
        <v>6</v>
      </c>
      <c r="J180" s="15" t="n">
        <v>8</v>
      </c>
      <c r="K180" s="15" t="n">
        <v>8</v>
      </c>
      <c r="L180" s="4" t="n">
        <f aca="false">ROUND(E180*Rubric!$B$4+F180*Rubric!$B$5+G180*Rubric!$B$6+H180*Rubric!$B$7+I180*Rubric!$B$8+J180*Rubric!$B$9+K180*Rubric!$B$10-IF(OR(G180&lt;Rubric!$B$12,J180&lt;Rubric!$B$12),Rubric!$B$13,0),2)</f>
        <v>7.2</v>
      </c>
      <c r="M180" s="4" t="s">
        <v>81</v>
      </c>
      <c r="N180" s="16" t="s">
        <v>81</v>
      </c>
      <c r="O180" s="14" t="n">
        <v>1213</v>
      </c>
    </row>
    <row r="181" customFormat="false" ht="23.85" hidden="false" customHeight="false" outlineLevel="0" collapsed="false">
      <c r="A181" s="2" t="s">
        <v>184</v>
      </c>
      <c r="B181" s="2" t="s">
        <v>185</v>
      </c>
      <c r="C181" s="14" t="n">
        <v>5</v>
      </c>
      <c r="D181" s="2" t="s">
        <v>314</v>
      </c>
      <c r="E181" s="15" t="n">
        <v>9</v>
      </c>
      <c r="F181" s="15" t="n">
        <v>7</v>
      </c>
      <c r="G181" s="15" t="n">
        <v>8</v>
      </c>
      <c r="H181" s="15" t="n">
        <v>8</v>
      </c>
      <c r="I181" s="15" t="n">
        <v>6</v>
      </c>
      <c r="J181" s="15" t="n">
        <v>8</v>
      </c>
      <c r="K181" s="15" t="n">
        <v>7</v>
      </c>
      <c r="L181" s="4" t="n">
        <f aca="false">ROUND(E181*Rubric!$B$4+F181*Rubric!$B$5+G181*Rubric!$B$6+H181*Rubric!$B$7+I181*Rubric!$B$8+J181*Rubric!$B$9+K181*Rubric!$B$10-IF(OR(G181&lt;Rubric!$B$12,J181&lt;Rubric!$B$12),Rubric!$B$13,0),2)</f>
        <v>7.5</v>
      </c>
      <c r="M181" s="4" t="s">
        <v>81</v>
      </c>
      <c r="N181" s="16" t="s">
        <v>81</v>
      </c>
      <c r="O181" s="14" t="n">
        <v>1214</v>
      </c>
    </row>
    <row r="182" customFormat="false" ht="23.85" hidden="false" customHeight="false" outlineLevel="0" collapsed="false">
      <c r="A182" s="2" t="s">
        <v>188</v>
      </c>
      <c r="B182" s="2" t="s">
        <v>189</v>
      </c>
      <c r="C182" s="14" t="n">
        <v>1</v>
      </c>
      <c r="D182" s="2" t="s">
        <v>341</v>
      </c>
      <c r="E182" s="15" t="n">
        <v>9</v>
      </c>
      <c r="F182" s="15" t="n">
        <v>9</v>
      </c>
      <c r="G182" s="15" t="n">
        <v>7</v>
      </c>
      <c r="H182" s="15" t="n">
        <v>3</v>
      </c>
      <c r="I182" s="15" t="n">
        <v>8</v>
      </c>
      <c r="J182" s="15" t="n">
        <v>7</v>
      </c>
      <c r="K182" s="15" t="n">
        <v>8</v>
      </c>
      <c r="L182" s="4" t="n">
        <f aca="false">ROUND(E182*Rubric!$B$4+F182*Rubric!$B$5+G182*Rubric!$B$6+H182*Rubric!$B$7+I182*Rubric!$B$8+J182*Rubric!$B$9+K182*Rubric!$B$10-IF(OR(G182&lt;Rubric!$B$12,J182&lt;Rubric!$B$12),Rubric!$B$13,0),2)</f>
        <v>7.45</v>
      </c>
      <c r="M182" s="4" t="s">
        <v>81</v>
      </c>
      <c r="N182" s="16" t="s">
        <v>81</v>
      </c>
      <c r="O182" s="14" t="n">
        <v>1220</v>
      </c>
    </row>
    <row r="183" customFormat="false" ht="23.85" hidden="false" customHeight="false" outlineLevel="0" collapsed="false">
      <c r="A183" s="2" t="s">
        <v>188</v>
      </c>
      <c r="B183" s="2" t="s">
        <v>189</v>
      </c>
      <c r="C183" s="14" t="n">
        <v>2</v>
      </c>
      <c r="D183" s="2" t="s">
        <v>342</v>
      </c>
      <c r="E183" s="15" t="n">
        <v>9</v>
      </c>
      <c r="F183" s="15" t="n">
        <v>8</v>
      </c>
      <c r="G183" s="15" t="n">
        <v>8</v>
      </c>
      <c r="H183" s="15" t="n">
        <v>3</v>
      </c>
      <c r="I183" s="15" t="n">
        <v>7</v>
      </c>
      <c r="J183" s="15" t="n">
        <v>8</v>
      </c>
      <c r="K183" s="15" t="n">
        <v>8</v>
      </c>
      <c r="L183" s="4" t="n">
        <f aca="false">ROUND(E183*Rubric!$B$4+F183*Rubric!$B$5+G183*Rubric!$B$6+H183*Rubric!$B$7+I183*Rubric!$B$8+J183*Rubric!$B$9+K183*Rubric!$B$10-IF(OR(G183&lt;Rubric!$B$12,J183&lt;Rubric!$B$12),Rubric!$B$13,0),2)</f>
        <v>7.45</v>
      </c>
      <c r="M183" s="4" t="s">
        <v>81</v>
      </c>
      <c r="N183" s="16" t="s">
        <v>81</v>
      </c>
      <c r="O183" s="14" t="n">
        <v>1221</v>
      </c>
    </row>
    <row r="184" customFormat="false" ht="23.85" hidden="false" customHeight="false" outlineLevel="0" collapsed="false">
      <c r="A184" s="2" t="s">
        <v>188</v>
      </c>
      <c r="B184" s="2" t="s">
        <v>189</v>
      </c>
      <c r="C184" s="14" t="n">
        <v>3</v>
      </c>
      <c r="D184" s="2" t="s">
        <v>370</v>
      </c>
      <c r="E184" s="15" t="n">
        <v>8</v>
      </c>
      <c r="F184" s="15" t="n">
        <v>8</v>
      </c>
      <c r="G184" s="15" t="n">
        <v>8</v>
      </c>
      <c r="H184" s="15" t="n">
        <v>3</v>
      </c>
      <c r="I184" s="15" t="n">
        <v>7</v>
      </c>
      <c r="J184" s="15" t="n">
        <v>8</v>
      </c>
      <c r="K184" s="15" t="n">
        <v>9</v>
      </c>
      <c r="L184" s="4" t="n">
        <f aca="false">ROUND(E184*Rubric!$B$4+F184*Rubric!$B$5+G184*Rubric!$B$6+H184*Rubric!$B$7+I184*Rubric!$B$8+J184*Rubric!$B$9+K184*Rubric!$B$10-IF(OR(G184&lt;Rubric!$B$12,J184&lt;Rubric!$B$12),Rubric!$B$13,0),2)</f>
        <v>7.45</v>
      </c>
      <c r="M184" s="4" t="s">
        <v>81</v>
      </c>
      <c r="N184" s="16" t="s">
        <v>81</v>
      </c>
      <c r="O184" s="14" t="n">
        <v>1222</v>
      </c>
    </row>
    <row r="185" customFormat="false" ht="23.85" hidden="false" customHeight="false" outlineLevel="0" collapsed="false">
      <c r="A185" s="2" t="s">
        <v>188</v>
      </c>
      <c r="B185" s="2" t="s">
        <v>189</v>
      </c>
      <c r="C185" s="14" t="n">
        <v>4</v>
      </c>
      <c r="D185" s="2" t="s">
        <v>373</v>
      </c>
      <c r="E185" s="15" t="n">
        <v>8</v>
      </c>
      <c r="F185" s="15" t="n">
        <v>8</v>
      </c>
      <c r="G185" s="15" t="n">
        <v>8</v>
      </c>
      <c r="H185" s="15" t="n">
        <v>3</v>
      </c>
      <c r="I185" s="15" t="n">
        <v>7</v>
      </c>
      <c r="J185" s="15" t="n">
        <v>8</v>
      </c>
      <c r="K185" s="15" t="n">
        <v>8</v>
      </c>
      <c r="L185" s="4" t="n">
        <f aca="false">ROUND(E185*Rubric!$B$4+F185*Rubric!$B$5+G185*Rubric!$B$6+H185*Rubric!$B$7+I185*Rubric!$B$8+J185*Rubric!$B$9+K185*Rubric!$B$10-IF(OR(G185&lt;Rubric!$B$12,J185&lt;Rubric!$B$12),Rubric!$B$13,0),2)</f>
        <v>7.35</v>
      </c>
      <c r="M185" s="4" t="s">
        <v>81</v>
      </c>
      <c r="N185" s="16" t="s">
        <v>81</v>
      </c>
      <c r="O185" s="14" t="n">
        <v>1223</v>
      </c>
    </row>
    <row r="186" customFormat="false" ht="23.85" hidden="false" customHeight="false" outlineLevel="0" collapsed="false">
      <c r="A186" s="2" t="s">
        <v>188</v>
      </c>
      <c r="B186" s="2" t="s">
        <v>189</v>
      </c>
      <c r="C186" s="14" t="n">
        <v>5</v>
      </c>
      <c r="D186" s="2" t="s">
        <v>314</v>
      </c>
      <c r="E186" s="15" t="n">
        <v>9</v>
      </c>
      <c r="F186" s="15" t="n">
        <v>7</v>
      </c>
      <c r="G186" s="15" t="n">
        <v>8</v>
      </c>
      <c r="H186" s="15" t="n">
        <v>8</v>
      </c>
      <c r="I186" s="15" t="n">
        <v>6</v>
      </c>
      <c r="J186" s="15" t="n">
        <v>8</v>
      </c>
      <c r="K186" s="15" t="n">
        <v>7</v>
      </c>
      <c r="L186" s="4" t="n">
        <f aca="false">ROUND(E186*Rubric!$B$4+F186*Rubric!$B$5+G186*Rubric!$B$6+H186*Rubric!$B$7+I186*Rubric!$B$8+J186*Rubric!$B$9+K186*Rubric!$B$10-IF(OR(G186&lt;Rubric!$B$12,J186&lt;Rubric!$B$12),Rubric!$B$13,0),2)</f>
        <v>7.5</v>
      </c>
      <c r="M186" s="4" t="s">
        <v>81</v>
      </c>
      <c r="N186" s="16" t="s">
        <v>81</v>
      </c>
      <c r="O186" s="14" t="n">
        <v>1224</v>
      </c>
    </row>
    <row r="187" customFormat="false" ht="23.85" hidden="false" customHeight="false" outlineLevel="0" collapsed="false">
      <c r="A187" s="2" t="s">
        <v>193</v>
      </c>
      <c r="B187" s="2" t="s">
        <v>194</v>
      </c>
      <c r="C187" s="14" t="n">
        <v>1</v>
      </c>
      <c r="D187" s="2" t="s">
        <v>310</v>
      </c>
      <c r="E187" s="15" t="n">
        <v>7</v>
      </c>
      <c r="F187" s="15" t="n">
        <v>8</v>
      </c>
      <c r="G187" s="15" t="n">
        <v>8</v>
      </c>
      <c r="H187" s="15" t="n">
        <v>4</v>
      </c>
      <c r="I187" s="15" t="n">
        <v>7</v>
      </c>
      <c r="J187" s="15" t="n">
        <v>8</v>
      </c>
      <c r="K187" s="15" t="n">
        <v>8</v>
      </c>
      <c r="L187" s="4" t="n">
        <f aca="false">ROUND(E187*Rubric!$B$4+F187*Rubric!$B$5+G187*Rubric!$B$6+H187*Rubric!$B$7+I187*Rubric!$B$8+J187*Rubric!$B$9+K187*Rubric!$B$10-IF(OR(G187&lt;Rubric!$B$12,J187&lt;Rubric!$B$12),Rubric!$B$13,0),2)</f>
        <v>7.35</v>
      </c>
      <c r="M187" s="4" t="s">
        <v>81</v>
      </c>
      <c r="N187" s="16" t="s">
        <v>81</v>
      </c>
      <c r="O187" s="14" t="n">
        <v>1230</v>
      </c>
    </row>
    <row r="188" customFormat="false" ht="23.85" hidden="false" customHeight="false" outlineLevel="0" collapsed="false">
      <c r="A188" s="2" t="s">
        <v>193</v>
      </c>
      <c r="B188" s="2" t="s">
        <v>194</v>
      </c>
      <c r="C188" s="14" t="n">
        <v>2</v>
      </c>
      <c r="D188" s="2" t="s">
        <v>311</v>
      </c>
      <c r="E188" s="15" t="n">
        <v>9</v>
      </c>
      <c r="F188" s="15" t="n">
        <v>9</v>
      </c>
      <c r="G188" s="15" t="n">
        <v>8</v>
      </c>
      <c r="H188" s="15" t="n">
        <v>4</v>
      </c>
      <c r="I188" s="15" t="n">
        <v>7</v>
      </c>
      <c r="J188" s="15" t="n">
        <v>9</v>
      </c>
      <c r="K188" s="15" t="n">
        <v>8</v>
      </c>
      <c r="L188" s="4" t="n">
        <f aca="false">ROUND(E188*Rubric!$B$4+F188*Rubric!$B$5+G188*Rubric!$B$6+H188*Rubric!$B$7+I188*Rubric!$B$8+J188*Rubric!$B$9+K188*Rubric!$B$10-IF(OR(G188&lt;Rubric!$B$12,J188&lt;Rubric!$B$12),Rubric!$B$13,0),2)</f>
        <v>7.9</v>
      </c>
      <c r="M188" s="4" t="s">
        <v>81</v>
      </c>
      <c r="N188" s="16" t="s">
        <v>81</v>
      </c>
      <c r="O188" s="14" t="n">
        <v>1231</v>
      </c>
    </row>
    <row r="189" customFormat="false" ht="23.85" hidden="false" customHeight="false" outlineLevel="0" collapsed="false">
      <c r="A189" s="2" t="s">
        <v>193</v>
      </c>
      <c r="B189" s="2" t="s">
        <v>194</v>
      </c>
      <c r="C189" s="14" t="n">
        <v>3</v>
      </c>
      <c r="D189" s="2" t="s">
        <v>321</v>
      </c>
      <c r="E189" s="15" t="n">
        <v>8</v>
      </c>
      <c r="F189" s="15" t="n">
        <v>8</v>
      </c>
      <c r="G189" s="15" t="n">
        <v>8</v>
      </c>
      <c r="H189" s="15" t="n">
        <v>3</v>
      </c>
      <c r="I189" s="15" t="n">
        <v>7</v>
      </c>
      <c r="J189" s="15" t="n">
        <v>8</v>
      </c>
      <c r="K189" s="15" t="n">
        <v>7</v>
      </c>
      <c r="L189" s="4" t="n">
        <f aca="false">ROUND(E189*Rubric!$B$4+F189*Rubric!$B$5+G189*Rubric!$B$6+H189*Rubric!$B$7+I189*Rubric!$B$8+J189*Rubric!$B$9+K189*Rubric!$B$10-IF(OR(G189&lt;Rubric!$B$12,J189&lt;Rubric!$B$12),Rubric!$B$13,0),2)</f>
        <v>7.25</v>
      </c>
      <c r="M189" s="4" t="s">
        <v>81</v>
      </c>
      <c r="N189" s="16" t="s">
        <v>81</v>
      </c>
      <c r="O189" s="14" t="n">
        <v>1232</v>
      </c>
    </row>
    <row r="190" customFormat="false" ht="23.85" hidden="false" customHeight="false" outlineLevel="0" collapsed="false">
      <c r="A190" s="2" t="s">
        <v>193</v>
      </c>
      <c r="B190" s="2" t="s">
        <v>194</v>
      </c>
      <c r="C190" s="14" t="n">
        <v>4</v>
      </c>
      <c r="D190" s="2" t="s">
        <v>312</v>
      </c>
      <c r="E190" s="15" t="n">
        <v>9</v>
      </c>
      <c r="F190" s="15" t="n">
        <v>8</v>
      </c>
      <c r="G190" s="15" t="n">
        <v>8</v>
      </c>
      <c r="H190" s="15" t="n">
        <v>4</v>
      </c>
      <c r="I190" s="15" t="n">
        <v>6</v>
      </c>
      <c r="J190" s="15" t="n">
        <v>8</v>
      </c>
      <c r="K190" s="15" t="n">
        <v>7</v>
      </c>
      <c r="L190" s="4" t="n">
        <f aca="false">ROUND(E190*Rubric!$B$4+F190*Rubric!$B$5+G190*Rubric!$B$6+H190*Rubric!$B$7+I190*Rubric!$B$8+J190*Rubric!$B$9+K190*Rubric!$B$10-IF(OR(G190&lt;Rubric!$B$12,J190&lt;Rubric!$B$12),Rubric!$B$13,0),2)</f>
        <v>7.3</v>
      </c>
      <c r="M190" s="4" t="s">
        <v>81</v>
      </c>
      <c r="N190" s="16" t="s">
        <v>81</v>
      </c>
      <c r="O190" s="14" t="n">
        <v>1233</v>
      </c>
    </row>
    <row r="191" customFormat="false" ht="23.85" hidden="false" customHeight="false" outlineLevel="0" collapsed="false">
      <c r="A191" s="2" t="s">
        <v>193</v>
      </c>
      <c r="B191" s="2" t="s">
        <v>194</v>
      </c>
      <c r="C191" s="14" t="n">
        <v>5</v>
      </c>
      <c r="D191" s="2" t="s">
        <v>314</v>
      </c>
      <c r="E191" s="15" t="n">
        <v>9</v>
      </c>
      <c r="F191" s="15" t="n">
        <v>7</v>
      </c>
      <c r="G191" s="15" t="n">
        <v>8</v>
      </c>
      <c r="H191" s="15" t="n">
        <v>8</v>
      </c>
      <c r="I191" s="15" t="n">
        <v>6</v>
      </c>
      <c r="J191" s="15" t="n">
        <v>8</v>
      </c>
      <c r="K191" s="15" t="n">
        <v>7</v>
      </c>
      <c r="L191" s="4" t="n">
        <f aca="false">ROUND(E191*Rubric!$B$4+F191*Rubric!$B$5+G191*Rubric!$B$6+H191*Rubric!$B$7+I191*Rubric!$B$8+J191*Rubric!$B$9+K191*Rubric!$B$10-IF(OR(G191&lt;Rubric!$B$12,J191&lt;Rubric!$B$12),Rubric!$B$13,0),2)</f>
        <v>7.5</v>
      </c>
      <c r="M191" s="4" t="s">
        <v>81</v>
      </c>
      <c r="N191" s="16" t="s">
        <v>81</v>
      </c>
      <c r="O191" s="14" t="n">
        <v>1234</v>
      </c>
    </row>
    <row r="192" customFormat="false" ht="15" hidden="false" customHeight="false" outlineLevel="0" collapsed="false">
      <c r="A192" s="2" t="s">
        <v>197</v>
      </c>
      <c r="B192" s="2" t="s">
        <v>198</v>
      </c>
      <c r="C192" s="14" t="n">
        <v>1</v>
      </c>
      <c r="D192" s="2" t="s">
        <v>336</v>
      </c>
      <c r="E192" s="15" t="n">
        <v>9</v>
      </c>
      <c r="F192" s="15" t="n">
        <v>9</v>
      </c>
      <c r="G192" s="15" t="n">
        <v>7</v>
      </c>
      <c r="H192" s="15" t="n">
        <v>3</v>
      </c>
      <c r="I192" s="15" t="n">
        <v>8</v>
      </c>
      <c r="J192" s="15" t="n">
        <v>8</v>
      </c>
      <c r="K192" s="15" t="n">
        <v>8</v>
      </c>
      <c r="L192" s="4" t="n">
        <f aca="false">ROUND(E192*Rubric!$B$4+F192*Rubric!$B$5+G192*Rubric!$B$6+H192*Rubric!$B$7+I192*Rubric!$B$8+J192*Rubric!$B$9+K192*Rubric!$B$10-IF(OR(G192&lt;Rubric!$B$12,J192&lt;Rubric!$B$12),Rubric!$B$13,0),2)</f>
        <v>7.6</v>
      </c>
      <c r="M192" s="4" t="s">
        <v>81</v>
      </c>
      <c r="N192" s="16" t="s">
        <v>81</v>
      </c>
      <c r="O192" s="14" t="n">
        <v>1240</v>
      </c>
    </row>
    <row r="193" customFormat="false" ht="23.85" hidden="false" customHeight="false" outlineLevel="0" collapsed="false">
      <c r="A193" s="2" t="s">
        <v>197</v>
      </c>
      <c r="B193" s="2" t="s">
        <v>198</v>
      </c>
      <c r="C193" s="14" t="n">
        <v>2</v>
      </c>
      <c r="D193" s="2" t="s">
        <v>311</v>
      </c>
      <c r="E193" s="15" t="n">
        <v>9</v>
      </c>
      <c r="F193" s="15" t="n">
        <v>9</v>
      </c>
      <c r="G193" s="15" t="n">
        <v>8</v>
      </c>
      <c r="H193" s="15" t="n">
        <v>4</v>
      </c>
      <c r="I193" s="15" t="n">
        <v>7</v>
      </c>
      <c r="J193" s="15" t="n">
        <v>9</v>
      </c>
      <c r="K193" s="15" t="n">
        <v>8</v>
      </c>
      <c r="L193" s="4" t="n">
        <f aca="false">ROUND(E193*Rubric!$B$4+F193*Rubric!$B$5+G193*Rubric!$B$6+H193*Rubric!$B$7+I193*Rubric!$B$8+J193*Rubric!$B$9+K193*Rubric!$B$10-IF(OR(G193&lt;Rubric!$B$12,J193&lt;Rubric!$B$12),Rubric!$B$13,0),2)</f>
        <v>7.9</v>
      </c>
      <c r="M193" s="4" t="s">
        <v>81</v>
      </c>
      <c r="N193" s="16" t="s">
        <v>81</v>
      </c>
      <c r="O193" s="14" t="n">
        <v>1241</v>
      </c>
    </row>
    <row r="194" customFormat="false" ht="23.85" hidden="false" customHeight="false" outlineLevel="0" collapsed="false">
      <c r="A194" s="2" t="s">
        <v>197</v>
      </c>
      <c r="B194" s="2" t="s">
        <v>198</v>
      </c>
      <c r="C194" s="14" t="n">
        <v>3</v>
      </c>
      <c r="D194" s="2" t="s">
        <v>337</v>
      </c>
      <c r="E194" s="15" t="n">
        <v>9</v>
      </c>
      <c r="F194" s="15" t="n">
        <v>8</v>
      </c>
      <c r="G194" s="15" t="n">
        <v>8</v>
      </c>
      <c r="H194" s="15" t="n">
        <v>3</v>
      </c>
      <c r="I194" s="15" t="n">
        <v>7</v>
      </c>
      <c r="J194" s="15" t="n">
        <v>8</v>
      </c>
      <c r="K194" s="15" t="n">
        <v>7</v>
      </c>
      <c r="L194" s="4" t="n">
        <f aca="false">ROUND(E194*Rubric!$B$4+F194*Rubric!$B$5+G194*Rubric!$B$6+H194*Rubric!$B$7+I194*Rubric!$B$8+J194*Rubric!$B$9+K194*Rubric!$B$10-IF(OR(G194&lt;Rubric!$B$12,J194&lt;Rubric!$B$12),Rubric!$B$13,0),2)</f>
        <v>7.35</v>
      </c>
      <c r="M194" s="4" t="s">
        <v>81</v>
      </c>
      <c r="N194" s="16" t="s">
        <v>81</v>
      </c>
      <c r="O194" s="14" t="n">
        <v>1242</v>
      </c>
    </row>
    <row r="195" customFormat="false" ht="23.85" hidden="false" customHeight="false" outlineLevel="0" collapsed="false">
      <c r="A195" s="2" t="s">
        <v>197</v>
      </c>
      <c r="B195" s="2" t="s">
        <v>198</v>
      </c>
      <c r="C195" s="14" t="n">
        <v>4</v>
      </c>
      <c r="D195" s="2" t="s">
        <v>335</v>
      </c>
      <c r="E195" s="15" t="n">
        <v>9</v>
      </c>
      <c r="F195" s="15" t="n">
        <v>8</v>
      </c>
      <c r="G195" s="15" t="n">
        <v>8</v>
      </c>
      <c r="H195" s="15" t="n">
        <v>4</v>
      </c>
      <c r="I195" s="15" t="n">
        <v>7</v>
      </c>
      <c r="J195" s="15" t="n">
        <v>8</v>
      </c>
      <c r="K195" s="15" t="n">
        <v>7</v>
      </c>
      <c r="L195" s="4" t="n">
        <f aca="false">ROUND(E195*Rubric!$B$4+F195*Rubric!$B$5+G195*Rubric!$B$6+H195*Rubric!$B$7+I195*Rubric!$B$8+J195*Rubric!$B$9+K195*Rubric!$B$10-IF(OR(G195&lt;Rubric!$B$12,J195&lt;Rubric!$B$12),Rubric!$B$13,0),2)</f>
        <v>7.45</v>
      </c>
      <c r="M195" s="4" t="s">
        <v>81</v>
      </c>
      <c r="N195" s="16" t="s">
        <v>81</v>
      </c>
      <c r="O195" s="14" t="n">
        <v>1243</v>
      </c>
    </row>
    <row r="196" customFormat="false" ht="23.85" hidden="false" customHeight="false" outlineLevel="0" collapsed="false">
      <c r="A196" s="2" t="s">
        <v>197</v>
      </c>
      <c r="B196" s="2" t="s">
        <v>198</v>
      </c>
      <c r="C196" s="14" t="n">
        <v>5</v>
      </c>
      <c r="D196" s="2" t="s">
        <v>319</v>
      </c>
      <c r="E196" s="15" t="n">
        <v>8</v>
      </c>
      <c r="F196" s="15" t="n">
        <v>8</v>
      </c>
      <c r="G196" s="15" t="n">
        <v>7</v>
      </c>
      <c r="H196" s="15" t="n">
        <v>9</v>
      </c>
      <c r="I196" s="15" t="n">
        <v>6</v>
      </c>
      <c r="J196" s="15" t="n">
        <v>8</v>
      </c>
      <c r="K196" s="15" t="n">
        <v>9</v>
      </c>
      <c r="L196" s="4" t="n">
        <f aca="false">ROUND(E196*Rubric!$B$4+F196*Rubric!$B$5+G196*Rubric!$B$6+H196*Rubric!$B$7+I196*Rubric!$B$8+J196*Rubric!$B$9+K196*Rubric!$B$10-IF(OR(G196&lt;Rubric!$B$12,J196&lt;Rubric!$B$12),Rubric!$B$13,0),2)</f>
        <v>7.7</v>
      </c>
      <c r="M196" s="4" t="s">
        <v>81</v>
      </c>
      <c r="N196" s="16" t="s">
        <v>81</v>
      </c>
      <c r="O196" s="14" t="n">
        <v>1244</v>
      </c>
    </row>
    <row r="197" customFormat="false" ht="23.85" hidden="false" customHeight="false" outlineLevel="0" collapsed="false">
      <c r="A197" s="2" t="s">
        <v>202</v>
      </c>
      <c r="B197" s="2" t="s">
        <v>141</v>
      </c>
      <c r="C197" s="14" t="n">
        <v>1</v>
      </c>
      <c r="D197" s="2" t="s">
        <v>325</v>
      </c>
      <c r="E197" s="15" t="n">
        <v>8</v>
      </c>
      <c r="F197" s="15" t="n">
        <v>8</v>
      </c>
      <c r="G197" s="15" t="n">
        <v>8</v>
      </c>
      <c r="H197" s="15" t="n">
        <v>3</v>
      </c>
      <c r="I197" s="15" t="n">
        <v>8</v>
      </c>
      <c r="J197" s="15" t="n">
        <v>8</v>
      </c>
      <c r="K197" s="15" t="n">
        <v>7</v>
      </c>
      <c r="L197" s="4" t="n">
        <f aca="false">ROUND(E197*Rubric!$B$4+F197*Rubric!$B$5+G197*Rubric!$B$6+H197*Rubric!$B$7+I197*Rubric!$B$8+J197*Rubric!$B$9+K197*Rubric!$B$10-IF(OR(G197&lt;Rubric!$B$12,J197&lt;Rubric!$B$12),Rubric!$B$13,0),2)</f>
        <v>7.4</v>
      </c>
      <c r="M197" s="4" t="s">
        <v>81</v>
      </c>
      <c r="N197" s="16" t="s">
        <v>81</v>
      </c>
      <c r="O197" s="14" t="n">
        <v>1250</v>
      </c>
    </row>
    <row r="198" customFormat="false" ht="15" hidden="false" customHeight="false" outlineLevel="0" collapsed="false">
      <c r="A198" s="2" t="s">
        <v>202</v>
      </c>
      <c r="B198" s="2" t="s">
        <v>141</v>
      </c>
      <c r="C198" s="14" t="n">
        <v>2</v>
      </c>
      <c r="D198" s="2" t="s">
        <v>327</v>
      </c>
      <c r="E198" s="15" t="n">
        <v>9</v>
      </c>
      <c r="F198" s="15" t="n">
        <v>9</v>
      </c>
      <c r="G198" s="15" t="n">
        <v>8</v>
      </c>
      <c r="H198" s="15" t="n">
        <v>3</v>
      </c>
      <c r="I198" s="15" t="n">
        <v>8</v>
      </c>
      <c r="J198" s="15" t="n">
        <v>9</v>
      </c>
      <c r="K198" s="15" t="n">
        <v>8</v>
      </c>
      <c r="L198" s="4" t="n">
        <f aca="false">ROUND(E198*Rubric!$B$4+F198*Rubric!$B$5+G198*Rubric!$B$6+H198*Rubric!$B$7+I198*Rubric!$B$8+J198*Rubric!$B$9+K198*Rubric!$B$10-IF(OR(G198&lt;Rubric!$B$12,J198&lt;Rubric!$B$12),Rubric!$B$13,0),2)</f>
        <v>7.95</v>
      </c>
      <c r="M198" s="4" t="s">
        <v>81</v>
      </c>
      <c r="N198" s="16" t="s">
        <v>81</v>
      </c>
      <c r="O198" s="14" t="n">
        <v>1251</v>
      </c>
    </row>
    <row r="199" customFormat="false" ht="23.85" hidden="false" customHeight="false" outlineLevel="0" collapsed="false">
      <c r="A199" s="2" t="s">
        <v>202</v>
      </c>
      <c r="B199" s="2" t="s">
        <v>141</v>
      </c>
      <c r="C199" s="14" t="n">
        <v>3</v>
      </c>
      <c r="D199" s="2" t="s">
        <v>326</v>
      </c>
      <c r="E199" s="15" t="n">
        <v>8</v>
      </c>
      <c r="F199" s="15" t="n">
        <v>9</v>
      </c>
      <c r="G199" s="15" t="n">
        <v>7</v>
      </c>
      <c r="H199" s="15" t="n">
        <v>3</v>
      </c>
      <c r="I199" s="15" t="n">
        <v>8</v>
      </c>
      <c r="J199" s="15" t="n">
        <v>8</v>
      </c>
      <c r="K199" s="15" t="n">
        <v>8</v>
      </c>
      <c r="L199" s="4" t="n">
        <f aca="false">ROUND(E199*Rubric!$B$4+F199*Rubric!$B$5+G199*Rubric!$B$6+H199*Rubric!$B$7+I199*Rubric!$B$8+J199*Rubric!$B$9+K199*Rubric!$B$10-IF(OR(G199&lt;Rubric!$B$12,J199&lt;Rubric!$B$12),Rubric!$B$13,0),2)</f>
        <v>7.5</v>
      </c>
      <c r="M199" s="4" t="s">
        <v>81</v>
      </c>
      <c r="N199" s="16" t="s">
        <v>81</v>
      </c>
      <c r="O199" s="14" t="n">
        <v>1252</v>
      </c>
    </row>
    <row r="200" customFormat="false" ht="23.85" hidden="false" customHeight="false" outlineLevel="0" collapsed="false">
      <c r="A200" s="2" t="s">
        <v>202</v>
      </c>
      <c r="B200" s="2" t="s">
        <v>141</v>
      </c>
      <c r="C200" s="14" t="n">
        <v>4</v>
      </c>
      <c r="D200" s="2" t="s">
        <v>330</v>
      </c>
      <c r="E200" s="15" t="n">
        <v>9</v>
      </c>
      <c r="F200" s="15" t="n">
        <v>8</v>
      </c>
      <c r="G200" s="15" t="n">
        <v>8</v>
      </c>
      <c r="H200" s="15" t="n">
        <v>3</v>
      </c>
      <c r="I200" s="15" t="n">
        <v>7</v>
      </c>
      <c r="J200" s="15" t="n">
        <v>8</v>
      </c>
      <c r="K200" s="15" t="n">
        <v>7</v>
      </c>
      <c r="L200" s="4" t="n">
        <f aca="false">ROUND(E200*Rubric!$B$4+F200*Rubric!$B$5+G200*Rubric!$B$6+H200*Rubric!$B$7+I200*Rubric!$B$8+J200*Rubric!$B$9+K200*Rubric!$B$10-IF(OR(G200&lt;Rubric!$B$12,J200&lt;Rubric!$B$12),Rubric!$B$13,0),2)</f>
        <v>7.35</v>
      </c>
      <c r="M200" s="4" t="s">
        <v>81</v>
      </c>
      <c r="N200" s="16" t="s">
        <v>81</v>
      </c>
      <c r="O200" s="14" t="n">
        <v>1253</v>
      </c>
    </row>
    <row r="201" customFormat="false" ht="23.85" hidden="false" customHeight="false" outlineLevel="0" collapsed="false">
      <c r="A201" s="2" t="s">
        <v>202</v>
      </c>
      <c r="B201" s="2" t="s">
        <v>141</v>
      </c>
      <c r="C201" s="14" t="n">
        <v>5</v>
      </c>
      <c r="D201" s="2" t="s">
        <v>329</v>
      </c>
      <c r="E201" s="15" t="n">
        <v>8</v>
      </c>
      <c r="F201" s="15" t="n">
        <v>8</v>
      </c>
      <c r="G201" s="15" t="n">
        <v>7</v>
      </c>
      <c r="H201" s="15" t="n">
        <v>9</v>
      </c>
      <c r="I201" s="15" t="n">
        <v>7</v>
      </c>
      <c r="J201" s="15" t="n">
        <v>8</v>
      </c>
      <c r="K201" s="15" t="n">
        <v>9</v>
      </c>
      <c r="L201" s="4" t="n">
        <f aca="false">ROUND(E201*Rubric!$B$4+F201*Rubric!$B$5+G201*Rubric!$B$6+H201*Rubric!$B$7+I201*Rubric!$B$8+J201*Rubric!$B$9+K201*Rubric!$B$10-IF(OR(G201&lt;Rubric!$B$12,J201&lt;Rubric!$B$12),Rubric!$B$13,0),2)</f>
        <v>7.85</v>
      </c>
      <c r="M201" s="4" t="s">
        <v>81</v>
      </c>
      <c r="N201" s="16" t="s">
        <v>81</v>
      </c>
      <c r="O201" s="14" t="n">
        <v>1254</v>
      </c>
    </row>
    <row r="202" customFormat="false" ht="23.85" hidden="false" customHeight="false" outlineLevel="0" collapsed="false">
      <c r="A202" s="2" t="s">
        <v>205</v>
      </c>
      <c r="B202" s="2" t="s">
        <v>206</v>
      </c>
      <c r="C202" s="14" t="n">
        <v>1</v>
      </c>
      <c r="D202" s="2" t="s">
        <v>338</v>
      </c>
      <c r="E202" s="15" t="n">
        <v>8</v>
      </c>
      <c r="F202" s="15" t="n">
        <v>8</v>
      </c>
      <c r="G202" s="15" t="n">
        <v>7</v>
      </c>
      <c r="H202" s="15" t="n">
        <v>10</v>
      </c>
      <c r="I202" s="15" t="n">
        <v>8</v>
      </c>
      <c r="J202" s="15" t="n">
        <v>7</v>
      </c>
      <c r="K202" s="15" t="n">
        <v>9</v>
      </c>
      <c r="L202" s="4" t="n">
        <f aca="false">ROUND(E202*Rubric!$B$4+F202*Rubric!$B$5+G202*Rubric!$B$6+H202*Rubric!$B$7+I202*Rubric!$B$8+J202*Rubric!$B$9+K202*Rubric!$B$10-IF(OR(G202&lt;Rubric!$B$12,J202&lt;Rubric!$B$12),Rubric!$B$13,0),2)</f>
        <v>7.95</v>
      </c>
      <c r="M202" s="4" t="s">
        <v>81</v>
      </c>
      <c r="N202" s="16" t="s">
        <v>81</v>
      </c>
      <c r="O202" s="14" t="n">
        <v>1260</v>
      </c>
    </row>
    <row r="203" customFormat="false" ht="23.85" hidden="false" customHeight="false" outlineLevel="0" collapsed="false">
      <c r="A203" s="2" t="s">
        <v>205</v>
      </c>
      <c r="B203" s="2" t="s">
        <v>206</v>
      </c>
      <c r="C203" s="14" t="n">
        <v>2</v>
      </c>
      <c r="D203" s="2" t="s">
        <v>351</v>
      </c>
      <c r="E203" s="15" t="n">
        <v>8</v>
      </c>
      <c r="F203" s="15" t="n">
        <v>8</v>
      </c>
      <c r="G203" s="15" t="n">
        <v>7</v>
      </c>
      <c r="H203" s="15" t="n">
        <v>9</v>
      </c>
      <c r="I203" s="15" t="n">
        <v>8</v>
      </c>
      <c r="J203" s="15" t="n">
        <v>7</v>
      </c>
      <c r="K203" s="15" t="n">
        <v>9</v>
      </c>
      <c r="L203" s="4" t="n">
        <f aca="false">ROUND(E203*Rubric!$B$4+F203*Rubric!$B$5+G203*Rubric!$B$6+H203*Rubric!$B$7+I203*Rubric!$B$8+J203*Rubric!$B$9+K203*Rubric!$B$10-IF(OR(G203&lt;Rubric!$B$12,J203&lt;Rubric!$B$12),Rubric!$B$13,0),2)</f>
        <v>7.85</v>
      </c>
      <c r="M203" s="4" t="s">
        <v>81</v>
      </c>
      <c r="N203" s="16" t="s">
        <v>81</v>
      </c>
      <c r="O203" s="14" t="n">
        <v>1261</v>
      </c>
    </row>
    <row r="204" customFormat="false" ht="23.85" hidden="false" customHeight="false" outlineLevel="0" collapsed="false">
      <c r="A204" s="2" t="s">
        <v>205</v>
      </c>
      <c r="B204" s="2" t="s">
        <v>206</v>
      </c>
      <c r="C204" s="14" t="n">
        <v>3</v>
      </c>
      <c r="D204" s="2" t="s">
        <v>352</v>
      </c>
      <c r="E204" s="15" t="n">
        <v>9</v>
      </c>
      <c r="F204" s="15" t="n">
        <v>9</v>
      </c>
      <c r="G204" s="15" t="n">
        <v>7</v>
      </c>
      <c r="H204" s="15" t="n">
        <v>10</v>
      </c>
      <c r="I204" s="15" t="n">
        <v>9</v>
      </c>
      <c r="J204" s="15" t="n">
        <v>8</v>
      </c>
      <c r="K204" s="15" t="n">
        <v>10</v>
      </c>
      <c r="L204" s="4" t="n">
        <f aca="false">ROUND(E204*Rubric!$B$4+F204*Rubric!$B$5+G204*Rubric!$B$6+H204*Rubric!$B$7+I204*Rubric!$B$8+J204*Rubric!$B$9+K204*Rubric!$B$10-IF(OR(G204&lt;Rubric!$B$12,J204&lt;Rubric!$B$12),Rubric!$B$13,0),2)</f>
        <v>8.65</v>
      </c>
      <c r="M204" s="4" t="s">
        <v>81</v>
      </c>
      <c r="N204" s="16" t="s">
        <v>81</v>
      </c>
      <c r="O204" s="14" t="n">
        <v>1262</v>
      </c>
    </row>
    <row r="205" customFormat="false" ht="23.85" hidden="false" customHeight="false" outlineLevel="0" collapsed="false">
      <c r="A205" s="2" t="s">
        <v>205</v>
      </c>
      <c r="B205" s="2" t="s">
        <v>206</v>
      </c>
      <c r="C205" s="14" t="n">
        <v>4</v>
      </c>
      <c r="D205" s="2" t="s">
        <v>319</v>
      </c>
      <c r="E205" s="15" t="n">
        <v>8</v>
      </c>
      <c r="F205" s="15" t="n">
        <v>8</v>
      </c>
      <c r="G205" s="15" t="n">
        <v>7</v>
      </c>
      <c r="H205" s="15" t="n">
        <v>9</v>
      </c>
      <c r="I205" s="15" t="n">
        <v>6</v>
      </c>
      <c r="J205" s="15" t="n">
        <v>8</v>
      </c>
      <c r="K205" s="15" t="n">
        <v>9</v>
      </c>
      <c r="L205" s="4" t="n">
        <f aca="false">ROUND(E205*Rubric!$B$4+F205*Rubric!$B$5+G205*Rubric!$B$6+H205*Rubric!$B$7+I205*Rubric!$B$8+J205*Rubric!$B$9+K205*Rubric!$B$10-IF(OR(G205&lt;Rubric!$B$12,J205&lt;Rubric!$B$12),Rubric!$B$13,0),2)</f>
        <v>7.7</v>
      </c>
      <c r="M205" s="4" t="s">
        <v>81</v>
      </c>
      <c r="N205" s="16" t="s">
        <v>81</v>
      </c>
      <c r="O205" s="14" t="n">
        <v>1263</v>
      </c>
    </row>
    <row r="206" customFormat="false" ht="23.85" hidden="false" customHeight="false" outlineLevel="0" collapsed="false">
      <c r="A206" s="2" t="s">
        <v>205</v>
      </c>
      <c r="B206" s="2" t="s">
        <v>206</v>
      </c>
      <c r="C206" s="14" t="n">
        <v>5</v>
      </c>
      <c r="D206" s="2" t="s">
        <v>314</v>
      </c>
      <c r="E206" s="15" t="n">
        <v>9</v>
      </c>
      <c r="F206" s="15" t="n">
        <v>7</v>
      </c>
      <c r="G206" s="15" t="n">
        <v>8</v>
      </c>
      <c r="H206" s="15" t="n">
        <v>8</v>
      </c>
      <c r="I206" s="15" t="n">
        <v>6</v>
      </c>
      <c r="J206" s="15" t="n">
        <v>8</v>
      </c>
      <c r="K206" s="15" t="n">
        <v>7</v>
      </c>
      <c r="L206" s="4" t="n">
        <f aca="false">ROUND(E206*Rubric!$B$4+F206*Rubric!$B$5+G206*Rubric!$B$6+H206*Rubric!$B$7+I206*Rubric!$B$8+J206*Rubric!$B$9+K206*Rubric!$B$10-IF(OR(G206&lt;Rubric!$B$12,J206&lt;Rubric!$B$12),Rubric!$B$13,0),2)</f>
        <v>7.5</v>
      </c>
      <c r="M206" s="4" t="s">
        <v>81</v>
      </c>
      <c r="N206" s="16" t="s">
        <v>81</v>
      </c>
      <c r="O206" s="14" t="n">
        <v>1264</v>
      </c>
    </row>
    <row r="207" customFormat="false" ht="23.85" hidden="false" customHeight="false" outlineLevel="0" collapsed="false">
      <c r="A207" s="2" t="s">
        <v>210</v>
      </c>
      <c r="B207" s="2" t="s">
        <v>211</v>
      </c>
      <c r="C207" s="14" t="n">
        <v>1</v>
      </c>
      <c r="D207" s="2" t="s">
        <v>325</v>
      </c>
      <c r="E207" s="15" t="n">
        <v>8</v>
      </c>
      <c r="F207" s="15" t="n">
        <v>8</v>
      </c>
      <c r="G207" s="15" t="n">
        <v>8</v>
      </c>
      <c r="H207" s="15" t="n">
        <v>3</v>
      </c>
      <c r="I207" s="15" t="n">
        <v>8</v>
      </c>
      <c r="J207" s="15" t="n">
        <v>8</v>
      </c>
      <c r="K207" s="15" t="n">
        <v>7</v>
      </c>
      <c r="L207" s="4" t="n">
        <f aca="false">ROUND(E207*Rubric!$B$4+F207*Rubric!$B$5+G207*Rubric!$B$6+H207*Rubric!$B$7+I207*Rubric!$B$8+J207*Rubric!$B$9+K207*Rubric!$B$10-IF(OR(G207&lt;Rubric!$B$12,J207&lt;Rubric!$B$12),Rubric!$B$13,0),2)</f>
        <v>7.4</v>
      </c>
      <c r="M207" s="4" t="s">
        <v>81</v>
      </c>
      <c r="N207" s="16" t="s">
        <v>81</v>
      </c>
      <c r="O207" s="14" t="n">
        <v>1270</v>
      </c>
    </row>
    <row r="208" customFormat="false" ht="23.85" hidden="false" customHeight="false" outlineLevel="0" collapsed="false">
      <c r="A208" s="2" t="s">
        <v>210</v>
      </c>
      <c r="B208" s="2" t="s">
        <v>211</v>
      </c>
      <c r="C208" s="14" t="n">
        <v>2</v>
      </c>
      <c r="D208" s="2" t="s">
        <v>329</v>
      </c>
      <c r="E208" s="15" t="n">
        <v>8</v>
      </c>
      <c r="F208" s="15" t="n">
        <v>8</v>
      </c>
      <c r="G208" s="15" t="n">
        <v>7</v>
      </c>
      <c r="H208" s="15" t="n">
        <v>9</v>
      </c>
      <c r="I208" s="15" t="n">
        <v>7</v>
      </c>
      <c r="J208" s="15" t="n">
        <v>8</v>
      </c>
      <c r="K208" s="15" t="n">
        <v>9</v>
      </c>
      <c r="L208" s="4" t="n">
        <f aca="false">ROUND(E208*Rubric!$B$4+F208*Rubric!$B$5+G208*Rubric!$B$6+H208*Rubric!$B$7+I208*Rubric!$B$8+J208*Rubric!$B$9+K208*Rubric!$B$10-IF(OR(G208&lt;Rubric!$B$12,J208&lt;Rubric!$B$12),Rubric!$B$13,0),2)</f>
        <v>7.85</v>
      </c>
      <c r="M208" s="4" t="s">
        <v>81</v>
      </c>
      <c r="N208" s="16" t="s">
        <v>81</v>
      </c>
      <c r="O208" s="14" t="n">
        <v>1271</v>
      </c>
    </row>
    <row r="209" customFormat="false" ht="23.85" hidden="false" customHeight="false" outlineLevel="0" collapsed="false">
      <c r="A209" s="2" t="s">
        <v>210</v>
      </c>
      <c r="B209" s="2" t="s">
        <v>211</v>
      </c>
      <c r="C209" s="14" t="n">
        <v>3</v>
      </c>
      <c r="D209" s="2" t="s">
        <v>361</v>
      </c>
      <c r="E209" s="15" t="n">
        <v>9</v>
      </c>
      <c r="F209" s="15" t="n">
        <v>8</v>
      </c>
      <c r="G209" s="15" t="n">
        <v>8</v>
      </c>
      <c r="H209" s="15" t="n">
        <v>10</v>
      </c>
      <c r="I209" s="15" t="n">
        <v>8</v>
      </c>
      <c r="J209" s="15" t="n">
        <v>8</v>
      </c>
      <c r="K209" s="15" t="n">
        <v>9</v>
      </c>
      <c r="L209" s="4" t="n">
        <f aca="false">ROUND(E209*Rubric!$B$4+F209*Rubric!$B$5+G209*Rubric!$B$6+H209*Rubric!$B$7+I209*Rubric!$B$8+J209*Rubric!$B$9+K209*Rubric!$B$10-IF(OR(G209&lt;Rubric!$B$12,J209&lt;Rubric!$B$12),Rubric!$B$13,0),2)</f>
        <v>8.4</v>
      </c>
      <c r="M209" s="4" t="s">
        <v>81</v>
      </c>
      <c r="N209" s="16" t="s">
        <v>81</v>
      </c>
      <c r="O209" s="14" t="n">
        <v>1272</v>
      </c>
    </row>
    <row r="210" customFormat="false" ht="23.85" hidden="false" customHeight="false" outlineLevel="0" collapsed="false">
      <c r="A210" s="2" t="s">
        <v>210</v>
      </c>
      <c r="B210" s="2" t="s">
        <v>211</v>
      </c>
      <c r="C210" s="14" t="n">
        <v>4</v>
      </c>
      <c r="D210" s="2" t="s">
        <v>357</v>
      </c>
      <c r="E210" s="15" t="n">
        <v>8</v>
      </c>
      <c r="F210" s="15" t="n">
        <v>8</v>
      </c>
      <c r="G210" s="15" t="n">
        <v>7</v>
      </c>
      <c r="H210" s="15" t="n">
        <v>10</v>
      </c>
      <c r="I210" s="15" t="n">
        <v>9</v>
      </c>
      <c r="J210" s="15" t="n">
        <v>7</v>
      </c>
      <c r="K210" s="15" t="n">
        <v>9</v>
      </c>
      <c r="L210" s="4" t="n">
        <f aca="false">ROUND(E210*Rubric!$B$4+F210*Rubric!$B$5+G210*Rubric!$B$6+H210*Rubric!$B$7+I210*Rubric!$B$8+J210*Rubric!$B$9+K210*Rubric!$B$10-IF(OR(G210&lt;Rubric!$B$12,J210&lt;Rubric!$B$12),Rubric!$B$13,0),2)</f>
        <v>8.1</v>
      </c>
      <c r="M210" s="4" t="s">
        <v>81</v>
      </c>
      <c r="N210" s="16" t="s">
        <v>81</v>
      </c>
      <c r="O210" s="14" t="n">
        <v>1273</v>
      </c>
    </row>
    <row r="211" customFormat="false" ht="23.85" hidden="false" customHeight="false" outlineLevel="0" collapsed="false">
      <c r="A211" s="2" t="s">
        <v>210</v>
      </c>
      <c r="B211" s="2" t="s">
        <v>211</v>
      </c>
      <c r="C211" s="14" t="n">
        <v>5</v>
      </c>
      <c r="D211" s="2" t="s">
        <v>327</v>
      </c>
      <c r="E211" s="15" t="n">
        <v>9</v>
      </c>
      <c r="F211" s="15" t="n">
        <v>9</v>
      </c>
      <c r="G211" s="15" t="n">
        <v>8</v>
      </c>
      <c r="H211" s="15" t="n">
        <v>3</v>
      </c>
      <c r="I211" s="15" t="n">
        <v>8</v>
      </c>
      <c r="J211" s="15" t="n">
        <v>9</v>
      </c>
      <c r="K211" s="15" t="n">
        <v>8</v>
      </c>
      <c r="L211" s="4" t="n">
        <f aca="false">ROUND(E211*Rubric!$B$4+F211*Rubric!$B$5+G211*Rubric!$B$6+H211*Rubric!$B$7+I211*Rubric!$B$8+J211*Rubric!$B$9+K211*Rubric!$B$10-IF(OR(G211&lt;Rubric!$B$12,J211&lt;Rubric!$B$12),Rubric!$B$13,0),2)</f>
        <v>7.95</v>
      </c>
      <c r="M211" s="4" t="s">
        <v>81</v>
      </c>
      <c r="N211" s="16" t="s">
        <v>81</v>
      </c>
      <c r="O211" s="14" t="n">
        <v>1274</v>
      </c>
    </row>
    <row r="212" customFormat="false" ht="23.85" hidden="false" customHeight="false" outlineLevel="0" collapsed="false">
      <c r="A212" s="2" t="s">
        <v>14</v>
      </c>
      <c r="B212" s="2" t="s">
        <v>215</v>
      </c>
      <c r="C212" s="14" t="n">
        <v>1</v>
      </c>
      <c r="D212" s="2" t="s">
        <v>310</v>
      </c>
      <c r="E212" s="15" t="n">
        <v>7</v>
      </c>
      <c r="F212" s="15" t="n">
        <v>8</v>
      </c>
      <c r="G212" s="15" t="n">
        <v>8</v>
      </c>
      <c r="H212" s="15" t="n">
        <v>4</v>
      </c>
      <c r="I212" s="15" t="n">
        <v>7</v>
      </c>
      <c r="J212" s="15" t="n">
        <v>8</v>
      </c>
      <c r="K212" s="15" t="n">
        <v>8</v>
      </c>
      <c r="L212" s="4" t="n">
        <f aca="false">ROUND(E212*Rubric!$B$4+F212*Rubric!$B$5+G212*Rubric!$B$6+H212*Rubric!$B$7+I212*Rubric!$B$8+J212*Rubric!$B$9+K212*Rubric!$B$10-IF(OR(G212&lt;Rubric!$B$12,J212&lt;Rubric!$B$12),Rubric!$B$13,0),2)</f>
        <v>7.35</v>
      </c>
      <c r="M212" s="4" t="s">
        <v>81</v>
      </c>
      <c r="N212" s="16" t="s">
        <v>81</v>
      </c>
      <c r="O212" s="14" t="n">
        <v>1280</v>
      </c>
    </row>
    <row r="213" customFormat="false" ht="23.85" hidden="false" customHeight="false" outlineLevel="0" collapsed="false">
      <c r="A213" s="2" t="s">
        <v>14</v>
      </c>
      <c r="B213" s="2" t="s">
        <v>215</v>
      </c>
      <c r="C213" s="14" t="n">
        <v>2</v>
      </c>
      <c r="D213" s="2" t="s">
        <v>311</v>
      </c>
      <c r="E213" s="15" t="n">
        <v>9</v>
      </c>
      <c r="F213" s="15" t="n">
        <v>9</v>
      </c>
      <c r="G213" s="15" t="n">
        <v>8</v>
      </c>
      <c r="H213" s="15" t="n">
        <v>4</v>
      </c>
      <c r="I213" s="15" t="n">
        <v>7</v>
      </c>
      <c r="J213" s="15" t="n">
        <v>9</v>
      </c>
      <c r="K213" s="15" t="n">
        <v>8</v>
      </c>
      <c r="L213" s="4" t="n">
        <f aca="false">ROUND(E213*Rubric!$B$4+F213*Rubric!$B$5+G213*Rubric!$B$6+H213*Rubric!$B$7+I213*Rubric!$B$8+J213*Rubric!$B$9+K213*Rubric!$B$10-IF(OR(G213&lt;Rubric!$B$12,J213&lt;Rubric!$B$12),Rubric!$B$13,0),2)</f>
        <v>7.9</v>
      </c>
      <c r="M213" s="4" t="s">
        <v>81</v>
      </c>
      <c r="N213" s="16" t="s">
        <v>81</v>
      </c>
      <c r="O213" s="14" t="n">
        <v>1281</v>
      </c>
    </row>
    <row r="214" customFormat="false" ht="23.85" hidden="false" customHeight="false" outlineLevel="0" collapsed="false">
      <c r="A214" s="2" t="s">
        <v>14</v>
      </c>
      <c r="B214" s="2" t="s">
        <v>215</v>
      </c>
      <c r="C214" s="14" t="n">
        <v>3</v>
      </c>
      <c r="D214" s="2" t="s">
        <v>321</v>
      </c>
      <c r="E214" s="15" t="n">
        <v>8</v>
      </c>
      <c r="F214" s="15" t="n">
        <v>8</v>
      </c>
      <c r="G214" s="15" t="n">
        <v>8</v>
      </c>
      <c r="H214" s="15" t="n">
        <v>3</v>
      </c>
      <c r="I214" s="15" t="n">
        <v>7</v>
      </c>
      <c r="J214" s="15" t="n">
        <v>8</v>
      </c>
      <c r="K214" s="15" t="n">
        <v>7</v>
      </c>
      <c r="L214" s="4" t="n">
        <f aca="false">ROUND(E214*Rubric!$B$4+F214*Rubric!$B$5+G214*Rubric!$B$6+H214*Rubric!$B$7+I214*Rubric!$B$8+J214*Rubric!$B$9+K214*Rubric!$B$10-IF(OR(G214&lt;Rubric!$B$12,J214&lt;Rubric!$B$12),Rubric!$B$13,0),2)</f>
        <v>7.25</v>
      </c>
      <c r="M214" s="4" t="s">
        <v>81</v>
      </c>
      <c r="N214" s="16" t="s">
        <v>81</v>
      </c>
      <c r="O214" s="14" t="n">
        <v>1282</v>
      </c>
    </row>
    <row r="215" customFormat="false" ht="23.85" hidden="false" customHeight="false" outlineLevel="0" collapsed="false">
      <c r="A215" s="2" t="s">
        <v>14</v>
      </c>
      <c r="B215" s="2" t="s">
        <v>215</v>
      </c>
      <c r="C215" s="14" t="n">
        <v>4</v>
      </c>
      <c r="D215" s="2" t="s">
        <v>312</v>
      </c>
      <c r="E215" s="15" t="n">
        <v>9</v>
      </c>
      <c r="F215" s="15" t="n">
        <v>8</v>
      </c>
      <c r="G215" s="15" t="n">
        <v>8</v>
      </c>
      <c r="H215" s="15" t="n">
        <v>4</v>
      </c>
      <c r="I215" s="15" t="n">
        <v>6</v>
      </c>
      <c r="J215" s="15" t="n">
        <v>8</v>
      </c>
      <c r="K215" s="15" t="n">
        <v>7</v>
      </c>
      <c r="L215" s="4" t="n">
        <f aca="false">ROUND(E215*Rubric!$B$4+F215*Rubric!$B$5+G215*Rubric!$B$6+H215*Rubric!$B$7+I215*Rubric!$B$8+J215*Rubric!$B$9+K215*Rubric!$B$10-IF(OR(G215&lt;Rubric!$B$12,J215&lt;Rubric!$B$12),Rubric!$B$13,0),2)</f>
        <v>7.3</v>
      </c>
      <c r="M215" s="4" t="s">
        <v>81</v>
      </c>
      <c r="N215" s="16" t="s">
        <v>81</v>
      </c>
      <c r="O215" s="14" t="n">
        <v>1283</v>
      </c>
    </row>
    <row r="216" customFormat="false" ht="23.85" hidden="false" customHeight="false" outlineLevel="0" collapsed="false">
      <c r="A216" s="2" t="s">
        <v>14</v>
      </c>
      <c r="B216" s="2" t="s">
        <v>215</v>
      </c>
      <c r="C216" s="14" t="n">
        <v>5</v>
      </c>
      <c r="D216" s="2" t="s">
        <v>314</v>
      </c>
      <c r="E216" s="15" t="n">
        <v>9</v>
      </c>
      <c r="F216" s="15" t="n">
        <v>7</v>
      </c>
      <c r="G216" s="15" t="n">
        <v>8</v>
      </c>
      <c r="H216" s="15" t="n">
        <v>8</v>
      </c>
      <c r="I216" s="15" t="n">
        <v>6</v>
      </c>
      <c r="J216" s="15" t="n">
        <v>8</v>
      </c>
      <c r="K216" s="15" t="n">
        <v>7</v>
      </c>
      <c r="L216" s="4" t="n">
        <f aca="false">ROUND(E216*Rubric!$B$4+F216*Rubric!$B$5+G216*Rubric!$B$6+H216*Rubric!$B$7+I216*Rubric!$B$8+J216*Rubric!$B$9+K216*Rubric!$B$10-IF(OR(G216&lt;Rubric!$B$12,J216&lt;Rubric!$B$12),Rubric!$B$13,0),2)</f>
        <v>7.5</v>
      </c>
      <c r="M216" s="4" t="s">
        <v>81</v>
      </c>
      <c r="N216" s="16" t="s">
        <v>81</v>
      </c>
      <c r="O216" s="14" t="n">
        <v>1284</v>
      </c>
    </row>
    <row r="217" customFormat="false" ht="23.85" hidden="false" customHeight="false" outlineLevel="0" collapsed="false">
      <c r="A217" s="2" t="s">
        <v>14</v>
      </c>
      <c r="B217" s="2" t="s">
        <v>218</v>
      </c>
      <c r="C217" s="14" t="n">
        <v>1</v>
      </c>
      <c r="D217" s="2" t="s">
        <v>365</v>
      </c>
      <c r="E217" s="15" t="n">
        <v>9</v>
      </c>
      <c r="F217" s="15" t="n">
        <v>8</v>
      </c>
      <c r="G217" s="15" t="n">
        <v>8</v>
      </c>
      <c r="H217" s="15" t="n">
        <v>3</v>
      </c>
      <c r="I217" s="15" t="n">
        <v>7</v>
      </c>
      <c r="J217" s="15" t="n">
        <v>8</v>
      </c>
      <c r="K217" s="15" t="n">
        <v>7</v>
      </c>
      <c r="L217" s="4" t="n">
        <f aca="false">ROUND(E217*Rubric!$B$4+F217*Rubric!$B$5+G217*Rubric!$B$6+H217*Rubric!$B$7+I217*Rubric!$B$8+J217*Rubric!$B$9+K217*Rubric!$B$10-IF(OR(G217&lt;Rubric!$B$12,J217&lt;Rubric!$B$12),Rubric!$B$13,0),2)</f>
        <v>7.35</v>
      </c>
      <c r="M217" s="4" t="s">
        <v>81</v>
      </c>
      <c r="N217" s="16" t="s">
        <v>81</v>
      </c>
      <c r="O217" s="14" t="n">
        <v>1290</v>
      </c>
    </row>
    <row r="218" customFormat="false" ht="15" hidden="false" customHeight="false" outlineLevel="0" collapsed="false">
      <c r="A218" s="2" t="s">
        <v>14</v>
      </c>
      <c r="B218" s="2" t="s">
        <v>218</v>
      </c>
      <c r="C218" s="14" t="n">
        <v>2</v>
      </c>
      <c r="D218" s="2" t="s">
        <v>366</v>
      </c>
      <c r="E218" s="15" t="n">
        <v>9</v>
      </c>
      <c r="F218" s="15" t="n">
        <v>9</v>
      </c>
      <c r="G218" s="15" t="n">
        <v>8</v>
      </c>
      <c r="H218" s="15" t="n">
        <v>3</v>
      </c>
      <c r="I218" s="15" t="n">
        <v>7</v>
      </c>
      <c r="J218" s="15" t="n">
        <v>9</v>
      </c>
      <c r="K218" s="15" t="n">
        <v>8</v>
      </c>
      <c r="L218" s="4" t="n">
        <f aca="false">ROUND(E218*Rubric!$B$4+F218*Rubric!$B$5+G218*Rubric!$B$6+H218*Rubric!$B$7+I218*Rubric!$B$8+J218*Rubric!$B$9+K218*Rubric!$B$10-IF(OR(G218&lt;Rubric!$B$12,J218&lt;Rubric!$B$12),Rubric!$B$13,0),2)</f>
        <v>7.8</v>
      </c>
      <c r="M218" s="4" t="s">
        <v>81</v>
      </c>
      <c r="N218" s="16" t="s">
        <v>81</v>
      </c>
      <c r="O218" s="14" t="n">
        <v>1291</v>
      </c>
    </row>
    <row r="219" customFormat="false" ht="23.85" hidden="false" customHeight="false" outlineLevel="0" collapsed="false">
      <c r="A219" s="2" t="s">
        <v>14</v>
      </c>
      <c r="B219" s="2" t="s">
        <v>218</v>
      </c>
      <c r="C219" s="14" t="n">
        <v>3</v>
      </c>
      <c r="D219" s="2" t="s">
        <v>355</v>
      </c>
      <c r="E219" s="15" t="n">
        <v>9</v>
      </c>
      <c r="F219" s="15" t="n">
        <v>9</v>
      </c>
      <c r="G219" s="15" t="n">
        <v>7</v>
      </c>
      <c r="H219" s="15" t="n">
        <v>4</v>
      </c>
      <c r="I219" s="15" t="n">
        <v>7</v>
      </c>
      <c r="J219" s="15" t="n">
        <v>7</v>
      </c>
      <c r="K219" s="15" t="n">
        <v>8</v>
      </c>
      <c r="L219" s="4" t="n">
        <f aca="false">ROUND(E219*Rubric!$B$4+F219*Rubric!$B$5+G219*Rubric!$B$6+H219*Rubric!$B$7+I219*Rubric!$B$8+J219*Rubric!$B$9+K219*Rubric!$B$10-IF(OR(G219&lt;Rubric!$B$12,J219&lt;Rubric!$B$12),Rubric!$B$13,0),2)</f>
        <v>7.4</v>
      </c>
      <c r="M219" s="4" t="s">
        <v>81</v>
      </c>
      <c r="N219" s="16" t="s">
        <v>81</v>
      </c>
      <c r="O219" s="14" t="n">
        <v>1292</v>
      </c>
    </row>
    <row r="220" customFormat="false" ht="23.85" hidden="false" customHeight="false" outlineLevel="0" collapsed="false">
      <c r="A220" s="2" t="s">
        <v>14</v>
      </c>
      <c r="B220" s="2" t="s">
        <v>218</v>
      </c>
      <c r="C220" s="14" t="n">
        <v>4</v>
      </c>
      <c r="D220" s="2" t="s">
        <v>332</v>
      </c>
      <c r="E220" s="15" t="n">
        <v>9</v>
      </c>
      <c r="F220" s="15" t="n">
        <v>8</v>
      </c>
      <c r="G220" s="15" t="n">
        <v>7</v>
      </c>
      <c r="H220" s="15" t="n">
        <v>4</v>
      </c>
      <c r="I220" s="15" t="n">
        <v>7</v>
      </c>
      <c r="J220" s="15" t="n">
        <v>7</v>
      </c>
      <c r="K220" s="15" t="n">
        <v>7</v>
      </c>
      <c r="L220" s="4" t="n">
        <f aca="false">ROUND(E220*Rubric!$B$4+F220*Rubric!$B$5+G220*Rubric!$B$6+H220*Rubric!$B$7+I220*Rubric!$B$8+J220*Rubric!$B$9+K220*Rubric!$B$10-IF(OR(G220&lt;Rubric!$B$12,J220&lt;Rubric!$B$12),Rubric!$B$13,0),2)</f>
        <v>7.1</v>
      </c>
      <c r="M220" s="4" t="s">
        <v>81</v>
      </c>
      <c r="N220" s="16" t="s">
        <v>81</v>
      </c>
      <c r="O220" s="14" t="n">
        <v>1293</v>
      </c>
    </row>
    <row r="221" customFormat="false" ht="23.85" hidden="false" customHeight="false" outlineLevel="0" collapsed="false">
      <c r="A221" s="2" t="s">
        <v>14</v>
      </c>
      <c r="B221" s="2" t="s">
        <v>218</v>
      </c>
      <c r="C221" s="14" t="n">
        <v>5</v>
      </c>
      <c r="D221" s="2" t="s">
        <v>357</v>
      </c>
      <c r="E221" s="15" t="n">
        <v>8</v>
      </c>
      <c r="F221" s="15" t="n">
        <v>8</v>
      </c>
      <c r="G221" s="15" t="n">
        <v>7</v>
      </c>
      <c r="H221" s="15" t="n">
        <v>10</v>
      </c>
      <c r="I221" s="15" t="n">
        <v>9</v>
      </c>
      <c r="J221" s="15" t="n">
        <v>7</v>
      </c>
      <c r="K221" s="15" t="n">
        <v>9</v>
      </c>
      <c r="L221" s="4" t="n">
        <f aca="false">ROUND(E221*Rubric!$B$4+F221*Rubric!$B$5+G221*Rubric!$B$6+H221*Rubric!$B$7+I221*Rubric!$B$8+J221*Rubric!$B$9+K221*Rubric!$B$10-IF(OR(G221&lt;Rubric!$B$12,J221&lt;Rubric!$B$12),Rubric!$B$13,0),2)</f>
        <v>8.1</v>
      </c>
      <c r="M221" s="4" t="s">
        <v>81</v>
      </c>
      <c r="N221" s="16" t="s">
        <v>81</v>
      </c>
      <c r="O221" s="14" t="n">
        <v>1294</v>
      </c>
    </row>
    <row r="222" customFormat="false" ht="23.85" hidden="false" customHeight="false" outlineLevel="0" collapsed="false">
      <c r="A222" s="2" t="s">
        <v>14</v>
      </c>
      <c r="B222" s="2" t="s">
        <v>221</v>
      </c>
      <c r="C222" s="14" t="n">
        <v>1</v>
      </c>
      <c r="D222" s="2" t="s">
        <v>311</v>
      </c>
      <c r="E222" s="15" t="n">
        <v>9</v>
      </c>
      <c r="F222" s="15" t="n">
        <v>9</v>
      </c>
      <c r="G222" s="15" t="n">
        <v>8</v>
      </c>
      <c r="H222" s="15" t="n">
        <v>4</v>
      </c>
      <c r="I222" s="15" t="n">
        <v>7</v>
      </c>
      <c r="J222" s="15" t="n">
        <v>9</v>
      </c>
      <c r="K222" s="15" t="n">
        <v>8</v>
      </c>
      <c r="L222" s="4" t="n">
        <f aca="false">ROUND(E222*Rubric!$B$4+F222*Rubric!$B$5+G222*Rubric!$B$6+H222*Rubric!$B$7+I222*Rubric!$B$8+J222*Rubric!$B$9+K222*Rubric!$B$10-IF(OR(G222&lt;Rubric!$B$12,J222&lt;Rubric!$B$12),Rubric!$B$13,0),2)</f>
        <v>7.9</v>
      </c>
      <c r="M222" s="4" t="s">
        <v>81</v>
      </c>
      <c r="N222" s="16" t="s">
        <v>81</v>
      </c>
      <c r="O222" s="14" t="n">
        <v>1300</v>
      </c>
    </row>
    <row r="223" customFormat="false" ht="23.85" hidden="false" customHeight="false" outlineLevel="0" collapsed="false">
      <c r="A223" s="2" t="s">
        <v>14</v>
      </c>
      <c r="B223" s="2" t="s">
        <v>221</v>
      </c>
      <c r="C223" s="14" t="n">
        <v>2</v>
      </c>
      <c r="D223" s="2" t="s">
        <v>316</v>
      </c>
      <c r="E223" s="15" t="n">
        <v>9</v>
      </c>
      <c r="F223" s="15" t="n">
        <v>9</v>
      </c>
      <c r="G223" s="15" t="n">
        <v>8</v>
      </c>
      <c r="H223" s="15" t="n">
        <v>3</v>
      </c>
      <c r="I223" s="15" t="n">
        <v>8</v>
      </c>
      <c r="J223" s="15" t="n">
        <v>9</v>
      </c>
      <c r="K223" s="15" t="n">
        <v>9</v>
      </c>
      <c r="L223" s="4" t="n">
        <f aca="false">ROUND(E223*Rubric!$B$4+F223*Rubric!$B$5+G223*Rubric!$B$6+H223*Rubric!$B$7+I223*Rubric!$B$8+J223*Rubric!$B$9+K223*Rubric!$B$10-IF(OR(G223&lt;Rubric!$B$12,J223&lt;Rubric!$B$12),Rubric!$B$13,0),2)</f>
        <v>8.05</v>
      </c>
      <c r="M223" s="4" t="s">
        <v>81</v>
      </c>
      <c r="N223" s="16" t="s">
        <v>81</v>
      </c>
      <c r="O223" s="14" t="n">
        <v>1301</v>
      </c>
    </row>
    <row r="224" customFormat="false" ht="15" hidden="false" customHeight="false" outlineLevel="0" collapsed="false">
      <c r="A224" s="2" t="s">
        <v>14</v>
      </c>
      <c r="B224" s="2" t="s">
        <v>221</v>
      </c>
      <c r="C224" s="14" t="n">
        <v>3</v>
      </c>
      <c r="D224" s="2" t="s">
        <v>327</v>
      </c>
      <c r="E224" s="15" t="n">
        <v>9</v>
      </c>
      <c r="F224" s="15" t="n">
        <v>9</v>
      </c>
      <c r="G224" s="15" t="n">
        <v>8</v>
      </c>
      <c r="H224" s="15" t="n">
        <v>3</v>
      </c>
      <c r="I224" s="15" t="n">
        <v>8</v>
      </c>
      <c r="J224" s="15" t="n">
        <v>9</v>
      </c>
      <c r="K224" s="15" t="n">
        <v>8</v>
      </c>
      <c r="L224" s="4" t="n">
        <f aca="false">ROUND(E224*Rubric!$B$4+F224*Rubric!$B$5+G224*Rubric!$B$6+H224*Rubric!$B$7+I224*Rubric!$B$8+J224*Rubric!$B$9+K224*Rubric!$B$10-IF(OR(G224&lt;Rubric!$B$12,J224&lt;Rubric!$B$12),Rubric!$B$13,0),2)</f>
        <v>7.95</v>
      </c>
      <c r="M224" s="4" t="s">
        <v>81</v>
      </c>
      <c r="N224" s="16" t="s">
        <v>81</v>
      </c>
      <c r="O224" s="14" t="n">
        <v>1302</v>
      </c>
    </row>
    <row r="225" customFormat="false" ht="23.85" hidden="false" customHeight="false" outlineLevel="0" collapsed="false">
      <c r="A225" s="2" t="s">
        <v>14</v>
      </c>
      <c r="B225" s="2" t="s">
        <v>221</v>
      </c>
      <c r="C225" s="14" t="n">
        <v>4</v>
      </c>
      <c r="D225" s="2" t="s">
        <v>363</v>
      </c>
      <c r="E225" s="15" t="n">
        <v>9</v>
      </c>
      <c r="F225" s="15" t="n">
        <v>8</v>
      </c>
      <c r="G225" s="15" t="n">
        <v>8</v>
      </c>
      <c r="H225" s="15" t="n">
        <v>5</v>
      </c>
      <c r="I225" s="15" t="n">
        <v>7</v>
      </c>
      <c r="J225" s="15" t="n">
        <v>7</v>
      </c>
      <c r="K225" s="15" t="n">
        <v>8</v>
      </c>
      <c r="L225" s="4" t="n">
        <f aca="false">ROUND(E225*Rubric!$B$4+F225*Rubric!$B$5+G225*Rubric!$B$6+H225*Rubric!$B$7+I225*Rubric!$B$8+J225*Rubric!$B$9+K225*Rubric!$B$10-IF(OR(G225&lt;Rubric!$B$12,J225&lt;Rubric!$B$12),Rubric!$B$13,0),2)</f>
        <v>7.5</v>
      </c>
      <c r="M225" s="4" t="s">
        <v>81</v>
      </c>
      <c r="N225" s="16" t="s">
        <v>81</v>
      </c>
      <c r="O225" s="14" t="n">
        <v>1303</v>
      </c>
    </row>
    <row r="226" customFormat="false" ht="23.85" hidden="false" customHeight="false" outlineLevel="0" collapsed="false">
      <c r="A226" s="2" t="s">
        <v>14</v>
      </c>
      <c r="B226" s="2" t="s">
        <v>221</v>
      </c>
      <c r="C226" s="14" t="n">
        <v>5</v>
      </c>
      <c r="D226" s="2" t="s">
        <v>334</v>
      </c>
      <c r="E226" s="15" t="n">
        <v>8</v>
      </c>
      <c r="F226" s="15" t="n">
        <v>8</v>
      </c>
      <c r="G226" s="15" t="n">
        <v>8</v>
      </c>
      <c r="H226" s="15" t="n">
        <v>8</v>
      </c>
      <c r="I226" s="15" t="n">
        <v>6</v>
      </c>
      <c r="J226" s="15" t="n">
        <v>7</v>
      </c>
      <c r="K226" s="15" t="n">
        <v>8</v>
      </c>
      <c r="L226" s="4" t="n">
        <f aca="false">ROUND(E226*Rubric!$B$4+F226*Rubric!$B$5+G226*Rubric!$B$6+H226*Rubric!$B$7+I226*Rubric!$B$8+J226*Rubric!$B$9+K226*Rubric!$B$10-IF(OR(G226&lt;Rubric!$B$12,J226&lt;Rubric!$B$12),Rubric!$B$13,0),2)</f>
        <v>7.55</v>
      </c>
      <c r="M226" s="4" t="s">
        <v>81</v>
      </c>
      <c r="N226" s="16" t="s">
        <v>81</v>
      </c>
      <c r="O226" s="14" t="n">
        <v>1304</v>
      </c>
    </row>
    <row r="227" customFormat="false" ht="23.85" hidden="false" customHeight="false" outlineLevel="0" collapsed="false">
      <c r="A227" s="2" t="s">
        <v>14</v>
      </c>
      <c r="B227" s="2" t="s">
        <v>223</v>
      </c>
      <c r="C227" s="14" t="n">
        <v>1</v>
      </c>
      <c r="D227" s="2" t="s">
        <v>341</v>
      </c>
      <c r="E227" s="15" t="n">
        <v>9</v>
      </c>
      <c r="F227" s="15" t="n">
        <v>9</v>
      </c>
      <c r="G227" s="15" t="n">
        <v>7</v>
      </c>
      <c r="H227" s="15" t="n">
        <v>3</v>
      </c>
      <c r="I227" s="15" t="n">
        <v>8</v>
      </c>
      <c r="J227" s="15" t="n">
        <v>7</v>
      </c>
      <c r="K227" s="15" t="n">
        <v>8</v>
      </c>
      <c r="L227" s="4" t="n">
        <f aca="false">ROUND(E227*Rubric!$B$4+F227*Rubric!$B$5+G227*Rubric!$B$6+H227*Rubric!$B$7+I227*Rubric!$B$8+J227*Rubric!$B$9+K227*Rubric!$B$10-IF(OR(G227&lt;Rubric!$B$12,J227&lt;Rubric!$B$12),Rubric!$B$13,0),2)</f>
        <v>7.45</v>
      </c>
      <c r="M227" s="4" t="s">
        <v>81</v>
      </c>
      <c r="N227" s="16" t="s">
        <v>81</v>
      </c>
      <c r="O227" s="14" t="n">
        <v>1310</v>
      </c>
    </row>
    <row r="228" customFormat="false" ht="23.85" hidden="false" customHeight="false" outlineLevel="0" collapsed="false">
      <c r="A228" s="2" t="s">
        <v>14</v>
      </c>
      <c r="B228" s="2" t="s">
        <v>223</v>
      </c>
      <c r="C228" s="14" t="n">
        <v>2</v>
      </c>
      <c r="D228" s="2" t="s">
        <v>342</v>
      </c>
      <c r="E228" s="15" t="n">
        <v>9</v>
      </c>
      <c r="F228" s="15" t="n">
        <v>8</v>
      </c>
      <c r="G228" s="15" t="n">
        <v>8</v>
      </c>
      <c r="H228" s="15" t="n">
        <v>3</v>
      </c>
      <c r="I228" s="15" t="n">
        <v>7</v>
      </c>
      <c r="J228" s="15" t="n">
        <v>8</v>
      </c>
      <c r="K228" s="15" t="n">
        <v>8</v>
      </c>
      <c r="L228" s="4" t="n">
        <f aca="false">ROUND(E228*Rubric!$B$4+F228*Rubric!$B$5+G228*Rubric!$B$6+H228*Rubric!$B$7+I228*Rubric!$B$8+J228*Rubric!$B$9+K228*Rubric!$B$10-IF(OR(G228&lt;Rubric!$B$12,J228&lt;Rubric!$B$12),Rubric!$B$13,0),2)</f>
        <v>7.45</v>
      </c>
      <c r="M228" s="4" t="s">
        <v>81</v>
      </c>
      <c r="N228" s="16" t="s">
        <v>81</v>
      </c>
      <c r="O228" s="14" t="n">
        <v>1311</v>
      </c>
    </row>
    <row r="229" customFormat="false" ht="23.85" hidden="false" customHeight="false" outlineLevel="0" collapsed="false">
      <c r="A229" s="2" t="s">
        <v>14</v>
      </c>
      <c r="B229" s="2" t="s">
        <v>223</v>
      </c>
      <c r="C229" s="14" t="n">
        <v>3</v>
      </c>
      <c r="D229" s="2" t="s">
        <v>370</v>
      </c>
      <c r="E229" s="15" t="n">
        <v>8</v>
      </c>
      <c r="F229" s="15" t="n">
        <v>8</v>
      </c>
      <c r="G229" s="15" t="n">
        <v>8</v>
      </c>
      <c r="H229" s="15" t="n">
        <v>3</v>
      </c>
      <c r="I229" s="15" t="n">
        <v>7</v>
      </c>
      <c r="J229" s="15" t="n">
        <v>8</v>
      </c>
      <c r="K229" s="15" t="n">
        <v>9</v>
      </c>
      <c r="L229" s="4" t="n">
        <f aca="false">ROUND(E229*Rubric!$B$4+F229*Rubric!$B$5+G229*Rubric!$B$6+H229*Rubric!$B$7+I229*Rubric!$B$8+J229*Rubric!$B$9+K229*Rubric!$B$10-IF(OR(G229&lt;Rubric!$B$12,J229&lt;Rubric!$B$12),Rubric!$B$13,0),2)</f>
        <v>7.45</v>
      </c>
      <c r="M229" s="4" t="s">
        <v>81</v>
      </c>
      <c r="N229" s="16" t="s">
        <v>81</v>
      </c>
      <c r="O229" s="14" t="n">
        <v>1312</v>
      </c>
    </row>
    <row r="230" customFormat="false" ht="23.85" hidden="false" customHeight="false" outlineLevel="0" collapsed="false">
      <c r="A230" s="2" t="s">
        <v>14</v>
      </c>
      <c r="B230" s="2" t="s">
        <v>223</v>
      </c>
      <c r="C230" s="14" t="n">
        <v>4</v>
      </c>
      <c r="D230" s="2" t="s">
        <v>373</v>
      </c>
      <c r="E230" s="15" t="n">
        <v>8</v>
      </c>
      <c r="F230" s="15" t="n">
        <v>8</v>
      </c>
      <c r="G230" s="15" t="n">
        <v>8</v>
      </c>
      <c r="H230" s="15" t="n">
        <v>3</v>
      </c>
      <c r="I230" s="15" t="n">
        <v>7</v>
      </c>
      <c r="J230" s="15" t="n">
        <v>8</v>
      </c>
      <c r="K230" s="15" t="n">
        <v>8</v>
      </c>
      <c r="L230" s="4" t="n">
        <f aca="false">ROUND(E230*Rubric!$B$4+F230*Rubric!$B$5+G230*Rubric!$B$6+H230*Rubric!$B$7+I230*Rubric!$B$8+J230*Rubric!$B$9+K230*Rubric!$B$10-IF(OR(G230&lt;Rubric!$B$12,J230&lt;Rubric!$B$12),Rubric!$B$13,0),2)</f>
        <v>7.35</v>
      </c>
      <c r="M230" s="4" t="s">
        <v>81</v>
      </c>
      <c r="N230" s="16" t="s">
        <v>81</v>
      </c>
      <c r="O230" s="14" t="n">
        <v>1313</v>
      </c>
    </row>
    <row r="231" customFormat="false" ht="23.85" hidden="false" customHeight="false" outlineLevel="0" collapsed="false">
      <c r="A231" s="2" t="s">
        <v>14</v>
      </c>
      <c r="B231" s="2" t="s">
        <v>223</v>
      </c>
      <c r="C231" s="14" t="n">
        <v>5</v>
      </c>
      <c r="D231" s="2" t="s">
        <v>314</v>
      </c>
      <c r="E231" s="15" t="n">
        <v>9</v>
      </c>
      <c r="F231" s="15" t="n">
        <v>7</v>
      </c>
      <c r="G231" s="15" t="n">
        <v>8</v>
      </c>
      <c r="H231" s="15" t="n">
        <v>8</v>
      </c>
      <c r="I231" s="15" t="n">
        <v>6</v>
      </c>
      <c r="J231" s="15" t="n">
        <v>8</v>
      </c>
      <c r="K231" s="15" t="n">
        <v>7</v>
      </c>
      <c r="L231" s="4" t="n">
        <f aca="false">ROUND(E231*Rubric!$B$4+F231*Rubric!$B$5+G231*Rubric!$B$6+H231*Rubric!$B$7+I231*Rubric!$B$8+J231*Rubric!$B$9+K231*Rubric!$B$10-IF(OR(G231&lt;Rubric!$B$12,J231&lt;Rubric!$B$12),Rubric!$B$13,0),2)</f>
        <v>7.5</v>
      </c>
      <c r="M231" s="4" t="s">
        <v>81</v>
      </c>
      <c r="N231" s="16" t="s">
        <v>81</v>
      </c>
      <c r="O231" s="14" t="n">
        <v>1314</v>
      </c>
    </row>
    <row r="232" customFormat="false" ht="23.85" hidden="false" customHeight="false" outlineLevel="0" collapsed="false">
      <c r="A232" s="2" t="s">
        <v>14</v>
      </c>
      <c r="B232" s="2" t="s">
        <v>145</v>
      </c>
      <c r="C232" s="14" t="n">
        <v>1</v>
      </c>
      <c r="D232" s="2" t="s">
        <v>310</v>
      </c>
      <c r="E232" s="15" t="n">
        <v>7</v>
      </c>
      <c r="F232" s="15" t="n">
        <v>8</v>
      </c>
      <c r="G232" s="15" t="n">
        <v>8</v>
      </c>
      <c r="H232" s="15" t="n">
        <v>4</v>
      </c>
      <c r="I232" s="15" t="n">
        <v>7</v>
      </c>
      <c r="J232" s="15" t="n">
        <v>8</v>
      </c>
      <c r="K232" s="15" t="n">
        <v>8</v>
      </c>
      <c r="L232" s="4" t="n">
        <f aca="false">ROUND(E232*Rubric!$B$4+F232*Rubric!$B$5+G232*Rubric!$B$6+H232*Rubric!$B$7+I232*Rubric!$B$8+J232*Rubric!$B$9+K232*Rubric!$B$10-IF(OR(G232&lt;Rubric!$B$12,J232&lt;Rubric!$B$12),Rubric!$B$13,0),2)</f>
        <v>7.35</v>
      </c>
      <c r="M232" s="4" t="s">
        <v>81</v>
      </c>
      <c r="N232" s="16" t="s">
        <v>81</v>
      </c>
      <c r="O232" s="14" t="n">
        <v>1320</v>
      </c>
    </row>
    <row r="233" customFormat="false" ht="23.85" hidden="false" customHeight="false" outlineLevel="0" collapsed="false">
      <c r="A233" s="2" t="s">
        <v>14</v>
      </c>
      <c r="B233" s="2" t="s">
        <v>145</v>
      </c>
      <c r="C233" s="14" t="n">
        <v>2</v>
      </c>
      <c r="D233" s="2" t="s">
        <v>311</v>
      </c>
      <c r="E233" s="15" t="n">
        <v>9</v>
      </c>
      <c r="F233" s="15" t="n">
        <v>9</v>
      </c>
      <c r="G233" s="15" t="n">
        <v>8</v>
      </c>
      <c r="H233" s="15" t="n">
        <v>4</v>
      </c>
      <c r="I233" s="15" t="n">
        <v>7</v>
      </c>
      <c r="J233" s="15" t="n">
        <v>9</v>
      </c>
      <c r="K233" s="15" t="n">
        <v>8</v>
      </c>
      <c r="L233" s="4" t="n">
        <f aca="false">ROUND(E233*Rubric!$B$4+F233*Rubric!$B$5+G233*Rubric!$B$6+H233*Rubric!$B$7+I233*Rubric!$B$8+J233*Rubric!$B$9+K233*Rubric!$B$10-IF(OR(G233&lt;Rubric!$B$12,J233&lt;Rubric!$B$12),Rubric!$B$13,0),2)</f>
        <v>7.9</v>
      </c>
      <c r="M233" s="4" t="s">
        <v>81</v>
      </c>
      <c r="N233" s="16" t="s">
        <v>81</v>
      </c>
      <c r="O233" s="14" t="n">
        <v>1321</v>
      </c>
    </row>
    <row r="234" customFormat="false" ht="23.85" hidden="false" customHeight="false" outlineLevel="0" collapsed="false">
      <c r="A234" s="2" t="s">
        <v>14</v>
      </c>
      <c r="B234" s="2" t="s">
        <v>145</v>
      </c>
      <c r="C234" s="14" t="n">
        <v>3</v>
      </c>
      <c r="D234" s="2" t="s">
        <v>321</v>
      </c>
      <c r="E234" s="15" t="n">
        <v>8</v>
      </c>
      <c r="F234" s="15" t="n">
        <v>8</v>
      </c>
      <c r="G234" s="15" t="n">
        <v>8</v>
      </c>
      <c r="H234" s="15" t="n">
        <v>3</v>
      </c>
      <c r="I234" s="15" t="n">
        <v>7</v>
      </c>
      <c r="J234" s="15" t="n">
        <v>8</v>
      </c>
      <c r="K234" s="15" t="n">
        <v>7</v>
      </c>
      <c r="L234" s="4" t="n">
        <f aca="false">ROUND(E234*Rubric!$B$4+F234*Rubric!$B$5+G234*Rubric!$B$6+H234*Rubric!$B$7+I234*Rubric!$B$8+J234*Rubric!$B$9+K234*Rubric!$B$10-IF(OR(G234&lt;Rubric!$B$12,J234&lt;Rubric!$B$12),Rubric!$B$13,0),2)</f>
        <v>7.25</v>
      </c>
      <c r="M234" s="4" t="s">
        <v>81</v>
      </c>
      <c r="N234" s="16" t="s">
        <v>81</v>
      </c>
      <c r="O234" s="14" t="n">
        <v>1322</v>
      </c>
    </row>
    <row r="235" customFormat="false" ht="23.85" hidden="false" customHeight="false" outlineLevel="0" collapsed="false">
      <c r="A235" s="2" t="s">
        <v>14</v>
      </c>
      <c r="B235" s="2" t="s">
        <v>145</v>
      </c>
      <c r="C235" s="14" t="n">
        <v>4</v>
      </c>
      <c r="D235" s="2" t="s">
        <v>312</v>
      </c>
      <c r="E235" s="15" t="n">
        <v>9</v>
      </c>
      <c r="F235" s="15" t="n">
        <v>8</v>
      </c>
      <c r="G235" s="15" t="n">
        <v>8</v>
      </c>
      <c r="H235" s="15" t="n">
        <v>4</v>
      </c>
      <c r="I235" s="15" t="n">
        <v>6</v>
      </c>
      <c r="J235" s="15" t="n">
        <v>8</v>
      </c>
      <c r="K235" s="15" t="n">
        <v>7</v>
      </c>
      <c r="L235" s="4" t="n">
        <f aca="false">ROUND(E235*Rubric!$B$4+F235*Rubric!$B$5+G235*Rubric!$B$6+H235*Rubric!$B$7+I235*Rubric!$B$8+J235*Rubric!$B$9+K235*Rubric!$B$10-IF(OR(G235&lt;Rubric!$B$12,J235&lt;Rubric!$B$12),Rubric!$B$13,0),2)</f>
        <v>7.3</v>
      </c>
      <c r="M235" s="4" t="s">
        <v>81</v>
      </c>
      <c r="N235" s="16" t="s">
        <v>81</v>
      </c>
      <c r="O235" s="14" t="n">
        <v>1323</v>
      </c>
    </row>
    <row r="236" customFormat="false" ht="23.85" hidden="false" customHeight="false" outlineLevel="0" collapsed="false">
      <c r="A236" s="2" t="s">
        <v>14</v>
      </c>
      <c r="B236" s="2" t="s">
        <v>145</v>
      </c>
      <c r="C236" s="14" t="n">
        <v>5</v>
      </c>
      <c r="D236" s="2" t="s">
        <v>314</v>
      </c>
      <c r="E236" s="15" t="n">
        <v>9</v>
      </c>
      <c r="F236" s="15" t="n">
        <v>7</v>
      </c>
      <c r="G236" s="15" t="n">
        <v>8</v>
      </c>
      <c r="H236" s="15" t="n">
        <v>8</v>
      </c>
      <c r="I236" s="15" t="n">
        <v>6</v>
      </c>
      <c r="J236" s="15" t="n">
        <v>8</v>
      </c>
      <c r="K236" s="15" t="n">
        <v>7</v>
      </c>
      <c r="L236" s="4" t="n">
        <f aca="false">ROUND(E236*Rubric!$B$4+F236*Rubric!$B$5+G236*Rubric!$B$6+H236*Rubric!$B$7+I236*Rubric!$B$8+J236*Rubric!$B$9+K236*Rubric!$B$10-IF(OR(G236&lt;Rubric!$B$12,J236&lt;Rubric!$B$12),Rubric!$B$13,0),2)</f>
        <v>7.5</v>
      </c>
      <c r="M236" s="4" t="s">
        <v>81</v>
      </c>
      <c r="N236" s="16" t="s">
        <v>81</v>
      </c>
      <c r="O236" s="14" t="n">
        <v>1324</v>
      </c>
    </row>
    <row r="237" customFormat="false" ht="23.85" hidden="false" customHeight="false" outlineLevel="0" collapsed="false">
      <c r="A237" s="2" t="s">
        <v>14</v>
      </c>
      <c r="B237" s="2" t="s">
        <v>228</v>
      </c>
      <c r="C237" s="14" t="n">
        <v>1</v>
      </c>
      <c r="D237" s="2" t="s">
        <v>320</v>
      </c>
      <c r="E237" s="15" t="n">
        <v>8</v>
      </c>
      <c r="F237" s="15" t="n">
        <v>7</v>
      </c>
      <c r="G237" s="15" t="n">
        <v>9</v>
      </c>
      <c r="H237" s="15" t="n">
        <v>2</v>
      </c>
      <c r="I237" s="15" t="n">
        <v>8</v>
      </c>
      <c r="J237" s="15" t="n">
        <v>8</v>
      </c>
      <c r="K237" s="15" t="n">
        <v>6</v>
      </c>
      <c r="L237" s="4" t="n">
        <f aca="false">ROUND(E237*Rubric!$B$4+F237*Rubric!$B$5+G237*Rubric!$B$6+H237*Rubric!$B$7+I237*Rubric!$B$8+J237*Rubric!$B$9+K237*Rubric!$B$10-IF(OR(G237&lt;Rubric!$B$12,J237&lt;Rubric!$B$12),Rubric!$B$13,0),2)</f>
        <v>7.2</v>
      </c>
      <c r="M237" s="4" t="s">
        <v>81</v>
      </c>
      <c r="N237" s="16" t="s">
        <v>81</v>
      </c>
      <c r="O237" s="14" t="n">
        <v>1330</v>
      </c>
    </row>
    <row r="238" customFormat="false" ht="23.85" hidden="false" customHeight="false" outlineLevel="0" collapsed="false">
      <c r="A238" s="2" t="s">
        <v>14</v>
      </c>
      <c r="B238" s="2" t="s">
        <v>228</v>
      </c>
      <c r="C238" s="14" t="n">
        <v>2</v>
      </c>
      <c r="D238" s="2" t="s">
        <v>321</v>
      </c>
      <c r="E238" s="15" t="n">
        <v>8</v>
      </c>
      <c r="F238" s="15" t="n">
        <v>8</v>
      </c>
      <c r="G238" s="15" t="n">
        <v>8</v>
      </c>
      <c r="H238" s="15" t="n">
        <v>3</v>
      </c>
      <c r="I238" s="15" t="n">
        <v>7</v>
      </c>
      <c r="J238" s="15" t="n">
        <v>8</v>
      </c>
      <c r="K238" s="15" t="n">
        <v>7</v>
      </c>
      <c r="L238" s="4" t="n">
        <f aca="false">ROUND(E238*Rubric!$B$4+F238*Rubric!$B$5+G238*Rubric!$B$6+H238*Rubric!$B$7+I238*Rubric!$B$8+J238*Rubric!$B$9+K238*Rubric!$B$10-IF(OR(G238&lt;Rubric!$B$12,J238&lt;Rubric!$B$12),Rubric!$B$13,0),2)</f>
        <v>7.25</v>
      </c>
      <c r="M238" s="4" t="s">
        <v>81</v>
      </c>
      <c r="N238" s="16" t="s">
        <v>81</v>
      </c>
      <c r="O238" s="14" t="n">
        <v>1331</v>
      </c>
    </row>
    <row r="239" customFormat="false" ht="23.85" hidden="false" customHeight="false" outlineLevel="0" collapsed="false">
      <c r="A239" s="2" t="s">
        <v>14</v>
      </c>
      <c r="B239" s="2" t="s">
        <v>228</v>
      </c>
      <c r="C239" s="14" t="n">
        <v>3</v>
      </c>
      <c r="D239" s="2" t="s">
        <v>322</v>
      </c>
      <c r="E239" s="15" t="n">
        <v>8</v>
      </c>
      <c r="F239" s="15" t="n">
        <v>8</v>
      </c>
      <c r="G239" s="15" t="n">
        <v>8</v>
      </c>
      <c r="H239" s="15" t="n">
        <v>2</v>
      </c>
      <c r="I239" s="15" t="n">
        <v>7</v>
      </c>
      <c r="J239" s="15" t="n">
        <v>8</v>
      </c>
      <c r="K239" s="15" t="n">
        <v>8</v>
      </c>
      <c r="L239" s="4" t="n">
        <f aca="false">ROUND(E239*Rubric!$B$4+F239*Rubric!$B$5+G239*Rubric!$B$6+H239*Rubric!$B$7+I239*Rubric!$B$8+J239*Rubric!$B$9+K239*Rubric!$B$10-IF(OR(G239&lt;Rubric!$B$12,J239&lt;Rubric!$B$12),Rubric!$B$13,0),2)</f>
        <v>7.25</v>
      </c>
      <c r="M239" s="4" t="s">
        <v>81</v>
      </c>
      <c r="N239" s="16" t="s">
        <v>81</v>
      </c>
      <c r="O239" s="14" t="n">
        <v>1332</v>
      </c>
    </row>
    <row r="240" customFormat="false" ht="23.85" hidden="false" customHeight="false" outlineLevel="0" collapsed="false">
      <c r="A240" s="2" t="s">
        <v>14</v>
      </c>
      <c r="B240" s="2" t="s">
        <v>228</v>
      </c>
      <c r="C240" s="14" t="n">
        <v>4</v>
      </c>
      <c r="D240" s="2" t="s">
        <v>324</v>
      </c>
      <c r="E240" s="15" t="n">
        <v>9</v>
      </c>
      <c r="F240" s="15" t="n">
        <v>7</v>
      </c>
      <c r="G240" s="15" t="n">
        <v>8</v>
      </c>
      <c r="H240" s="15" t="n">
        <v>4</v>
      </c>
      <c r="I240" s="15" t="n">
        <v>6</v>
      </c>
      <c r="J240" s="15" t="n">
        <v>8</v>
      </c>
      <c r="K240" s="15" t="n">
        <v>8</v>
      </c>
      <c r="L240" s="4" t="n">
        <f aca="false">ROUND(E240*Rubric!$B$4+F240*Rubric!$B$5+G240*Rubric!$B$6+H240*Rubric!$B$7+I240*Rubric!$B$8+J240*Rubric!$B$9+K240*Rubric!$B$10-IF(OR(G240&lt;Rubric!$B$12,J240&lt;Rubric!$B$12),Rubric!$B$13,0),2)</f>
        <v>7.2</v>
      </c>
      <c r="M240" s="4" t="s">
        <v>81</v>
      </c>
      <c r="N240" s="16" t="s">
        <v>81</v>
      </c>
      <c r="O240" s="14" t="n">
        <v>1333</v>
      </c>
    </row>
    <row r="241" customFormat="false" ht="23.85" hidden="false" customHeight="false" outlineLevel="0" collapsed="false">
      <c r="A241" s="2" t="s">
        <v>14</v>
      </c>
      <c r="B241" s="2" t="s">
        <v>228</v>
      </c>
      <c r="C241" s="14" t="n">
        <v>5</v>
      </c>
      <c r="D241" s="2" t="s">
        <v>314</v>
      </c>
      <c r="E241" s="15" t="n">
        <v>9</v>
      </c>
      <c r="F241" s="15" t="n">
        <v>7</v>
      </c>
      <c r="G241" s="15" t="n">
        <v>8</v>
      </c>
      <c r="H241" s="15" t="n">
        <v>8</v>
      </c>
      <c r="I241" s="15" t="n">
        <v>6</v>
      </c>
      <c r="J241" s="15" t="n">
        <v>8</v>
      </c>
      <c r="K241" s="15" t="n">
        <v>7</v>
      </c>
      <c r="L241" s="4" t="n">
        <f aca="false">ROUND(E241*Rubric!$B$4+F241*Rubric!$B$5+G241*Rubric!$B$6+H241*Rubric!$B$7+I241*Rubric!$B$8+J241*Rubric!$B$9+K241*Rubric!$B$10-IF(OR(G241&lt;Rubric!$B$12,J241&lt;Rubric!$B$12),Rubric!$B$13,0),2)</f>
        <v>7.5</v>
      </c>
      <c r="M241" s="4" t="s">
        <v>81</v>
      </c>
      <c r="N241" s="16" t="s">
        <v>81</v>
      </c>
      <c r="O241" s="14" t="n">
        <v>1334</v>
      </c>
    </row>
    <row r="242" customFormat="false" ht="23.85" hidden="false" customHeight="false" outlineLevel="0" collapsed="false">
      <c r="A242" s="2" t="s">
        <v>14</v>
      </c>
      <c r="B242" s="2" t="s">
        <v>230</v>
      </c>
      <c r="C242" s="14" t="n">
        <v>1</v>
      </c>
      <c r="D242" s="2" t="s">
        <v>310</v>
      </c>
      <c r="E242" s="15" t="n">
        <v>7</v>
      </c>
      <c r="F242" s="15" t="n">
        <v>8</v>
      </c>
      <c r="G242" s="15" t="n">
        <v>8</v>
      </c>
      <c r="H242" s="15" t="n">
        <v>4</v>
      </c>
      <c r="I242" s="15" t="n">
        <v>7</v>
      </c>
      <c r="J242" s="15" t="n">
        <v>8</v>
      </c>
      <c r="K242" s="15" t="n">
        <v>8</v>
      </c>
      <c r="L242" s="4" t="n">
        <f aca="false">ROUND(E242*Rubric!$B$4+F242*Rubric!$B$5+G242*Rubric!$B$6+H242*Rubric!$B$7+I242*Rubric!$B$8+J242*Rubric!$B$9+K242*Rubric!$B$10-IF(OR(G242&lt;Rubric!$B$12,J242&lt;Rubric!$B$12),Rubric!$B$13,0),2)</f>
        <v>7.35</v>
      </c>
      <c r="M242" s="4" t="s">
        <v>81</v>
      </c>
      <c r="N242" s="16" t="s">
        <v>81</v>
      </c>
      <c r="O242" s="14" t="n">
        <v>1340</v>
      </c>
    </row>
    <row r="243" customFormat="false" ht="23.85" hidden="false" customHeight="false" outlineLevel="0" collapsed="false">
      <c r="A243" s="2" t="s">
        <v>14</v>
      </c>
      <c r="B243" s="2" t="s">
        <v>230</v>
      </c>
      <c r="C243" s="14" t="n">
        <v>2</v>
      </c>
      <c r="D243" s="2" t="s">
        <v>311</v>
      </c>
      <c r="E243" s="15" t="n">
        <v>9</v>
      </c>
      <c r="F243" s="15" t="n">
        <v>9</v>
      </c>
      <c r="G243" s="15" t="n">
        <v>8</v>
      </c>
      <c r="H243" s="15" t="n">
        <v>4</v>
      </c>
      <c r="I243" s="15" t="n">
        <v>7</v>
      </c>
      <c r="J243" s="15" t="n">
        <v>9</v>
      </c>
      <c r="K243" s="15" t="n">
        <v>8</v>
      </c>
      <c r="L243" s="4" t="n">
        <f aca="false">ROUND(E243*Rubric!$B$4+F243*Rubric!$B$5+G243*Rubric!$B$6+H243*Rubric!$B$7+I243*Rubric!$B$8+J243*Rubric!$B$9+K243*Rubric!$B$10-IF(OR(G243&lt;Rubric!$B$12,J243&lt;Rubric!$B$12),Rubric!$B$13,0),2)</f>
        <v>7.9</v>
      </c>
      <c r="M243" s="4" t="s">
        <v>81</v>
      </c>
      <c r="N243" s="16" t="s">
        <v>81</v>
      </c>
      <c r="O243" s="14" t="n">
        <v>1341</v>
      </c>
    </row>
    <row r="244" customFormat="false" ht="23.85" hidden="false" customHeight="false" outlineLevel="0" collapsed="false">
      <c r="A244" s="2" t="s">
        <v>14</v>
      </c>
      <c r="B244" s="2" t="s">
        <v>230</v>
      </c>
      <c r="C244" s="14" t="n">
        <v>3</v>
      </c>
      <c r="D244" s="2" t="s">
        <v>321</v>
      </c>
      <c r="E244" s="15" t="n">
        <v>8</v>
      </c>
      <c r="F244" s="15" t="n">
        <v>8</v>
      </c>
      <c r="G244" s="15" t="n">
        <v>8</v>
      </c>
      <c r="H244" s="15" t="n">
        <v>3</v>
      </c>
      <c r="I244" s="15" t="n">
        <v>7</v>
      </c>
      <c r="J244" s="15" t="n">
        <v>8</v>
      </c>
      <c r="K244" s="15" t="n">
        <v>7</v>
      </c>
      <c r="L244" s="4" t="n">
        <f aca="false">ROUND(E244*Rubric!$B$4+F244*Rubric!$B$5+G244*Rubric!$B$6+H244*Rubric!$B$7+I244*Rubric!$B$8+J244*Rubric!$B$9+K244*Rubric!$B$10-IF(OR(G244&lt;Rubric!$B$12,J244&lt;Rubric!$B$12),Rubric!$B$13,0),2)</f>
        <v>7.25</v>
      </c>
      <c r="M244" s="4" t="s">
        <v>81</v>
      </c>
      <c r="N244" s="16" t="s">
        <v>81</v>
      </c>
      <c r="O244" s="14" t="n">
        <v>1342</v>
      </c>
    </row>
    <row r="245" customFormat="false" ht="23.85" hidden="false" customHeight="false" outlineLevel="0" collapsed="false">
      <c r="A245" s="2" t="s">
        <v>14</v>
      </c>
      <c r="B245" s="2" t="s">
        <v>230</v>
      </c>
      <c r="C245" s="14" t="n">
        <v>4</v>
      </c>
      <c r="D245" s="2" t="s">
        <v>312</v>
      </c>
      <c r="E245" s="15" t="n">
        <v>9</v>
      </c>
      <c r="F245" s="15" t="n">
        <v>8</v>
      </c>
      <c r="G245" s="15" t="n">
        <v>8</v>
      </c>
      <c r="H245" s="15" t="n">
        <v>4</v>
      </c>
      <c r="I245" s="15" t="n">
        <v>6</v>
      </c>
      <c r="J245" s="15" t="n">
        <v>8</v>
      </c>
      <c r="K245" s="15" t="n">
        <v>7</v>
      </c>
      <c r="L245" s="4" t="n">
        <f aca="false">ROUND(E245*Rubric!$B$4+F245*Rubric!$B$5+G245*Rubric!$B$6+H245*Rubric!$B$7+I245*Rubric!$B$8+J245*Rubric!$B$9+K245*Rubric!$B$10-IF(OR(G245&lt;Rubric!$B$12,J245&lt;Rubric!$B$12),Rubric!$B$13,0),2)</f>
        <v>7.3</v>
      </c>
      <c r="M245" s="4" t="s">
        <v>81</v>
      </c>
      <c r="N245" s="16" t="s">
        <v>81</v>
      </c>
      <c r="O245" s="14" t="n">
        <v>1343</v>
      </c>
    </row>
    <row r="246" customFormat="false" ht="23.85" hidden="false" customHeight="false" outlineLevel="0" collapsed="false">
      <c r="A246" s="2" t="s">
        <v>14</v>
      </c>
      <c r="B246" s="2" t="s">
        <v>230</v>
      </c>
      <c r="C246" s="14" t="n">
        <v>5</v>
      </c>
      <c r="D246" s="2" t="s">
        <v>314</v>
      </c>
      <c r="E246" s="15" t="n">
        <v>9</v>
      </c>
      <c r="F246" s="15" t="n">
        <v>7</v>
      </c>
      <c r="G246" s="15" t="n">
        <v>8</v>
      </c>
      <c r="H246" s="15" t="n">
        <v>8</v>
      </c>
      <c r="I246" s="15" t="n">
        <v>6</v>
      </c>
      <c r="J246" s="15" t="n">
        <v>8</v>
      </c>
      <c r="K246" s="15" t="n">
        <v>7</v>
      </c>
      <c r="L246" s="4" t="n">
        <f aca="false">ROUND(E246*Rubric!$B$4+F246*Rubric!$B$5+G246*Rubric!$B$6+H246*Rubric!$B$7+I246*Rubric!$B$8+J246*Rubric!$B$9+K246*Rubric!$B$10-IF(OR(G246&lt;Rubric!$B$12,J246&lt;Rubric!$B$12),Rubric!$B$13,0),2)</f>
        <v>7.5</v>
      </c>
      <c r="M246" s="4" t="s">
        <v>81</v>
      </c>
      <c r="N246" s="16" t="s">
        <v>81</v>
      </c>
      <c r="O246" s="14" t="n">
        <v>1344</v>
      </c>
    </row>
    <row r="247" customFormat="false" ht="23.85" hidden="false" customHeight="false" outlineLevel="0" collapsed="false">
      <c r="A247" s="2" t="s">
        <v>233</v>
      </c>
      <c r="B247" s="2" t="s">
        <v>234</v>
      </c>
      <c r="C247" s="14" t="n">
        <v>1</v>
      </c>
      <c r="D247" s="2" t="s">
        <v>325</v>
      </c>
      <c r="E247" s="15" t="n">
        <v>8</v>
      </c>
      <c r="F247" s="15" t="n">
        <v>8</v>
      </c>
      <c r="G247" s="15" t="n">
        <v>8</v>
      </c>
      <c r="H247" s="15" t="n">
        <v>3</v>
      </c>
      <c r="I247" s="15" t="n">
        <v>8</v>
      </c>
      <c r="J247" s="15" t="n">
        <v>8</v>
      </c>
      <c r="K247" s="15" t="n">
        <v>7</v>
      </c>
      <c r="L247" s="4" t="n">
        <f aca="false">ROUND(E247*Rubric!$B$4+F247*Rubric!$B$5+G247*Rubric!$B$6+H247*Rubric!$B$7+I247*Rubric!$B$8+J247*Rubric!$B$9+K247*Rubric!$B$10-IF(OR(G247&lt;Rubric!$B$12,J247&lt;Rubric!$B$12),Rubric!$B$13,0),2)</f>
        <v>7.4</v>
      </c>
      <c r="M247" s="4" t="s">
        <v>81</v>
      </c>
      <c r="N247" s="16" t="s">
        <v>81</v>
      </c>
      <c r="O247" s="14" t="n">
        <v>1350</v>
      </c>
    </row>
    <row r="248" customFormat="false" ht="23.85" hidden="false" customHeight="false" outlineLevel="0" collapsed="false">
      <c r="A248" s="2" t="s">
        <v>233</v>
      </c>
      <c r="B248" s="2" t="s">
        <v>234</v>
      </c>
      <c r="C248" s="14" t="n">
        <v>2</v>
      </c>
      <c r="D248" s="2" t="s">
        <v>327</v>
      </c>
      <c r="E248" s="15" t="n">
        <v>9</v>
      </c>
      <c r="F248" s="15" t="n">
        <v>9</v>
      </c>
      <c r="G248" s="15" t="n">
        <v>8</v>
      </c>
      <c r="H248" s="15" t="n">
        <v>3</v>
      </c>
      <c r="I248" s="15" t="n">
        <v>8</v>
      </c>
      <c r="J248" s="15" t="n">
        <v>9</v>
      </c>
      <c r="K248" s="15" t="n">
        <v>8</v>
      </c>
      <c r="L248" s="4" t="n">
        <f aca="false">ROUND(E248*Rubric!$B$4+F248*Rubric!$B$5+G248*Rubric!$B$6+H248*Rubric!$B$7+I248*Rubric!$B$8+J248*Rubric!$B$9+K248*Rubric!$B$10-IF(OR(G248&lt;Rubric!$B$12,J248&lt;Rubric!$B$12),Rubric!$B$13,0),2)</f>
        <v>7.95</v>
      </c>
      <c r="M248" s="4" t="s">
        <v>81</v>
      </c>
      <c r="N248" s="16" t="s">
        <v>81</v>
      </c>
      <c r="O248" s="14" t="n">
        <v>1351</v>
      </c>
    </row>
    <row r="249" customFormat="false" ht="23.85" hidden="false" customHeight="false" outlineLevel="0" collapsed="false">
      <c r="A249" s="2" t="s">
        <v>233</v>
      </c>
      <c r="B249" s="2" t="s">
        <v>234</v>
      </c>
      <c r="C249" s="14" t="n">
        <v>3</v>
      </c>
      <c r="D249" s="2" t="s">
        <v>326</v>
      </c>
      <c r="E249" s="15" t="n">
        <v>8</v>
      </c>
      <c r="F249" s="15" t="n">
        <v>9</v>
      </c>
      <c r="G249" s="15" t="n">
        <v>7</v>
      </c>
      <c r="H249" s="15" t="n">
        <v>3</v>
      </c>
      <c r="I249" s="15" t="n">
        <v>8</v>
      </c>
      <c r="J249" s="15" t="n">
        <v>8</v>
      </c>
      <c r="K249" s="15" t="n">
        <v>8</v>
      </c>
      <c r="L249" s="4" t="n">
        <f aca="false">ROUND(E249*Rubric!$B$4+F249*Rubric!$B$5+G249*Rubric!$B$6+H249*Rubric!$B$7+I249*Rubric!$B$8+J249*Rubric!$B$9+K249*Rubric!$B$10-IF(OR(G249&lt;Rubric!$B$12,J249&lt;Rubric!$B$12),Rubric!$B$13,0),2)</f>
        <v>7.5</v>
      </c>
      <c r="M249" s="4" t="s">
        <v>81</v>
      </c>
      <c r="N249" s="16" t="s">
        <v>81</v>
      </c>
      <c r="O249" s="14" t="n">
        <v>1352</v>
      </c>
    </row>
    <row r="250" customFormat="false" ht="23.85" hidden="false" customHeight="false" outlineLevel="0" collapsed="false">
      <c r="A250" s="2" t="s">
        <v>233</v>
      </c>
      <c r="B250" s="2" t="s">
        <v>234</v>
      </c>
      <c r="C250" s="14" t="n">
        <v>4</v>
      </c>
      <c r="D250" s="2" t="s">
        <v>330</v>
      </c>
      <c r="E250" s="15" t="n">
        <v>9</v>
      </c>
      <c r="F250" s="15" t="n">
        <v>8</v>
      </c>
      <c r="G250" s="15" t="n">
        <v>8</v>
      </c>
      <c r="H250" s="15" t="n">
        <v>3</v>
      </c>
      <c r="I250" s="15" t="n">
        <v>7</v>
      </c>
      <c r="J250" s="15" t="n">
        <v>8</v>
      </c>
      <c r="K250" s="15" t="n">
        <v>7</v>
      </c>
      <c r="L250" s="4" t="n">
        <f aca="false">ROUND(E250*Rubric!$B$4+F250*Rubric!$B$5+G250*Rubric!$B$6+H250*Rubric!$B$7+I250*Rubric!$B$8+J250*Rubric!$B$9+K250*Rubric!$B$10-IF(OR(G250&lt;Rubric!$B$12,J250&lt;Rubric!$B$12),Rubric!$B$13,0),2)</f>
        <v>7.35</v>
      </c>
      <c r="M250" s="4" t="s">
        <v>81</v>
      </c>
      <c r="N250" s="16" t="s">
        <v>81</v>
      </c>
      <c r="O250" s="14" t="n">
        <v>1353</v>
      </c>
    </row>
    <row r="251" customFormat="false" ht="23.85" hidden="false" customHeight="false" outlineLevel="0" collapsed="false">
      <c r="A251" s="2" t="s">
        <v>233</v>
      </c>
      <c r="B251" s="2" t="s">
        <v>234</v>
      </c>
      <c r="C251" s="14" t="n">
        <v>5</v>
      </c>
      <c r="D251" s="2" t="s">
        <v>329</v>
      </c>
      <c r="E251" s="15" t="n">
        <v>8</v>
      </c>
      <c r="F251" s="15" t="n">
        <v>8</v>
      </c>
      <c r="G251" s="15" t="n">
        <v>7</v>
      </c>
      <c r="H251" s="15" t="n">
        <v>9</v>
      </c>
      <c r="I251" s="15" t="n">
        <v>7</v>
      </c>
      <c r="J251" s="15" t="n">
        <v>8</v>
      </c>
      <c r="K251" s="15" t="n">
        <v>9</v>
      </c>
      <c r="L251" s="4" t="n">
        <f aca="false">ROUND(E251*Rubric!$B$4+F251*Rubric!$B$5+G251*Rubric!$B$6+H251*Rubric!$B$7+I251*Rubric!$B$8+J251*Rubric!$B$9+K251*Rubric!$B$10-IF(OR(G251&lt;Rubric!$B$12,J251&lt;Rubric!$B$12),Rubric!$B$13,0),2)</f>
        <v>7.85</v>
      </c>
      <c r="M251" s="4" t="s">
        <v>81</v>
      </c>
      <c r="N251" s="16" t="s">
        <v>81</v>
      </c>
      <c r="O251" s="14" t="n">
        <v>1354</v>
      </c>
    </row>
    <row r="252" customFormat="false" ht="23.85" hidden="false" customHeight="false" outlineLevel="0" collapsed="false">
      <c r="A252" s="2" t="s">
        <v>233</v>
      </c>
      <c r="B252" s="2" t="s">
        <v>237</v>
      </c>
      <c r="C252" s="14" t="n">
        <v>1</v>
      </c>
      <c r="D252" s="2" t="s">
        <v>339</v>
      </c>
      <c r="E252" s="15" t="n">
        <v>9</v>
      </c>
      <c r="F252" s="15" t="n">
        <v>8</v>
      </c>
      <c r="G252" s="15" t="n">
        <v>8</v>
      </c>
      <c r="H252" s="15" t="n">
        <v>3</v>
      </c>
      <c r="I252" s="15" t="n">
        <v>7</v>
      </c>
      <c r="J252" s="15" t="n">
        <v>8</v>
      </c>
      <c r="K252" s="15" t="n">
        <v>7</v>
      </c>
      <c r="L252" s="4" t="n">
        <f aca="false">ROUND(E252*Rubric!$B$4+F252*Rubric!$B$5+G252*Rubric!$B$6+H252*Rubric!$B$7+I252*Rubric!$B$8+J252*Rubric!$B$9+K252*Rubric!$B$10-IF(OR(G252&lt;Rubric!$B$12,J252&lt;Rubric!$B$12),Rubric!$B$13,0),2)</f>
        <v>7.35</v>
      </c>
      <c r="M252" s="4" t="s">
        <v>81</v>
      </c>
      <c r="N252" s="16" t="s">
        <v>81</v>
      </c>
      <c r="O252" s="14" t="n">
        <v>1360</v>
      </c>
    </row>
    <row r="253" customFormat="false" ht="23.85" hidden="false" customHeight="false" outlineLevel="0" collapsed="false">
      <c r="A253" s="2" t="s">
        <v>233</v>
      </c>
      <c r="B253" s="2" t="s">
        <v>237</v>
      </c>
      <c r="C253" s="14" t="n">
        <v>2</v>
      </c>
      <c r="D253" s="2" t="s">
        <v>313</v>
      </c>
      <c r="E253" s="15" t="n">
        <v>9</v>
      </c>
      <c r="F253" s="15" t="n">
        <v>8</v>
      </c>
      <c r="G253" s="15" t="n">
        <v>8</v>
      </c>
      <c r="H253" s="15" t="n">
        <v>3</v>
      </c>
      <c r="I253" s="15" t="n">
        <v>6</v>
      </c>
      <c r="J253" s="15" t="n">
        <v>8</v>
      </c>
      <c r="K253" s="15" t="n">
        <v>7</v>
      </c>
      <c r="L253" s="4" t="n">
        <f aca="false">ROUND(E253*Rubric!$B$4+F253*Rubric!$B$5+G253*Rubric!$B$6+H253*Rubric!$B$7+I253*Rubric!$B$8+J253*Rubric!$B$9+K253*Rubric!$B$10-IF(OR(G253&lt;Rubric!$B$12,J253&lt;Rubric!$B$12),Rubric!$B$13,0),2)</f>
        <v>7.2</v>
      </c>
      <c r="M253" s="4" t="s">
        <v>81</v>
      </c>
      <c r="N253" s="16" t="s">
        <v>81</v>
      </c>
      <c r="O253" s="14" t="n">
        <v>1361</v>
      </c>
    </row>
    <row r="254" customFormat="false" ht="15" hidden="false" customHeight="false" outlineLevel="0" collapsed="false">
      <c r="A254" s="2" t="s">
        <v>233</v>
      </c>
      <c r="B254" s="2" t="s">
        <v>237</v>
      </c>
      <c r="C254" s="14" t="n">
        <v>3</v>
      </c>
      <c r="D254" s="2" t="s">
        <v>342</v>
      </c>
      <c r="E254" s="15" t="n">
        <v>9</v>
      </c>
      <c r="F254" s="15" t="n">
        <v>8</v>
      </c>
      <c r="G254" s="15" t="n">
        <v>8</v>
      </c>
      <c r="H254" s="15" t="n">
        <v>3</v>
      </c>
      <c r="I254" s="15" t="n">
        <v>7</v>
      </c>
      <c r="J254" s="15" t="n">
        <v>8</v>
      </c>
      <c r="K254" s="15" t="n">
        <v>8</v>
      </c>
      <c r="L254" s="4" t="n">
        <f aca="false">ROUND(E254*Rubric!$B$4+F254*Rubric!$B$5+G254*Rubric!$B$6+H254*Rubric!$B$7+I254*Rubric!$B$8+J254*Rubric!$B$9+K254*Rubric!$B$10-IF(OR(G254&lt;Rubric!$B$12,J254&lt;Rubric!$B$12),Rubric!$B$13,0),2)</f>
        <v>7.45</v>
      </c>
      <c r="M254" s="4" t="s">
        <v>81</v>
      </c>
      <c r="N254" s="16" t="s">
        <v>81</v>
      </c>
      <c r="O254" s="14" t="n">
        <v>1362</v>
      </c>
    </row>
    <row r="255" customFormat="false" ht="23.85" hidden="false" customHeight="false" outlineLevel="0" collapsed="false">
      <c r="A255" s="2" t="s">
        <v>233</v>
      </c>
      <c r="B255" s="2" t="s">
        <v>237</v>
      </c>
      <c r="C255" s="14" t="n">
        <v>4</v>
      </c>
      <c r="D255" s="2" t="s">
        <v>321</v>
      </c>
      <c r="E255" s="15" t="n">
        <v>8</v>
      </c>
      <c r="F255" s="15" t="n">
        <v>8</v>
      </c>
      <c r="G255" s="15" t="n">
        <v>8</v>
      </c>
      <c r="H255" s="15" t="n">
        <v>3</v>
      </c>
      <c r="I255" s="15" t="n">
        <v>7</v>
      </c>
      <c r="J255" s="15" t="n">
        <v>8</v>
      </c>
      <c r="K255" s="15" t="n">
        <v>7</v>
      </c>
      <c r="L255" s="4" t="n">
        <f aca="false">ROUND(E255*Rubric!$B$4+F255*Rubric!$B$5+G255*Rubric!$B$6+H255*Rubric!$B$7+I255*Rubric!$B$8+J255*Rubric!$B$9+K255*Rubric!$B$10-IF(OR(G255&lt;Rubric!$B$12,J255&lt;Rubric!$B$12),Rubric!$B$13,0),2)</f>
        <v>7.25</v>
      </c>
      <c r="M255" s="4" t="s">
        <v>81</v>
      </c>
      <c r="N255" s="16" t="s">
        <v>81</v>
      </c>
      <c r="O255" s="14" t="n">
        <v>1363</v>
      </c>
    </row>
    <row r="256" customFormat="false" ht="23.85" hidden="false" customHeight="false" outlineLevel="0" collapsed="false">
      <c r="A256" s="2" t="s">
        <v>233</v>
      </c>
      <c r="B256" s="2" t="s">
        <v>237</v>
      </c>
      <c r="C256" s="14" t="n">
        <v>5</v>
      </c>
      <c r="D256" s="2" t="s">
        <v>312</v>
      </c>
      <c r="E256" s="15" t="n">
        <v>9</v>
      </c>
      <c r="F256" s="15" t="n">
        <v>8</v>
      </c>
      <c r="G256" s="15" t="n">
        <v>8</v>
      </c>
      <c r="H256" s="15" t="n">
        <v>4</v>
      </c>
      <c r="I256" s="15" t="n">
        <v>6</v>
      </c>
      <c r="J256" s="15" t="n">
        <v>8</v>
      </c>
      <c r="K256" s="15" t="n">
        <v>7</v>
      </c>
      <c r="L256" s="4" t="n">
        <f aca="false">ROUND(E256*Rubric!$B$4+F256*Rubric!$B$5+G256*Rubric!$B$6+H256*Rubric!$B$7+I256*Rubric!$B$8+J256*Rubric!$B$9+K256*Rubric!$B$10-IF(OR(G256&lt;Rubric!$B$12,J256&lt;Rubric!$B$12),Rubric!$B$13,0),2)</f>
        <v>7.3</v>
      </c>
      <c r="M256" s="4" t="s">
        <v>81</v>
      </c>
      <c r="N256" s="16" t="s">
        <v>81</v>
      </c>
      <c r="O256" s="14" t="n">
        <v>1364</v>
      </c>
    </row>
    <row r="257" customFormat="false" ht="23.85" hidden="false" customHeight="false" outlineLevel="0" collapsed="false">
      <c r="A257" s="2" t="s">
        <v>233</v>
      </c>
      <c r="B257" s="2" t="s">
        <v>242</v>
      </c>
      <c r="C257" s="14" t="n">
        <v>1</v>
      </c>
      <c r="D257" s="2" t="s">
        <v>375</v>
      </c>
      <c r="E257" s="15" t="n">
        <v>8</v>
      </c>
      <c r="F257" s="15" t="n">
        <v>9</v>
      </c>
      <c r="G257" s="15" t="n">
        <v>7</v>
      </c>
      <c r="H257" s="15" t="n">
        <v>3</v>
      </c>
      <c r="I257" s="15" t="n">
        <v>8</v>
      </c>
      <c r="J257" s="15" t="n">
        <v>8</v>
      </c>
      <c r="K257" s="15" t="n">
        <v>8</v>
      </c>
      <c r="L257" s="4" t="n">
        <f aca="false">ROUND(E257*Rubric!$B$4+F257*Rubric!$B$5+G257*Rubric!$B$6+H257*Rubric!$B$7+I257*Rubric!$B$8+J257*Rubric!$B$9+K257*Rubric!$B$10-IF(OR(G257&lt;Rubric!$B$12,J257&lt;Rubric!$B$12),Rubric!$B$13,0),2)</f>
        <v>7.5</v>
      </c>
      <c r="M257" s="4" t="s">
        <v>81</v>
      </c>
      <c r="N257" s="16" t="s">
        <v>81</v>
      </c>
      <c r="O257" s="14" t="n">
        <v>1370</v>
      </c>
    </row>
    <row r="258" customFormat="false" ht="15" hidden="false" customHeight="false" outlineLevel="0" collapsed="false">
      <c r="A258" s="2" t="s">
        <v>233</v>
      </c>
      <c r="B258" s="2" t="s">
        <v>242</v>
      </c>
      <c r="C258" s="14" t="n">
        <v>2</v>
      </c>
      <c r="D258" s="2" t="s">
        <v>377</v>
      </c>
      <c r="E258" s="15" t="n">
        <v>9</v>
      </c>
      <c r="F258" s="15" t="n">
        <v>9</v>
      </c>
      <c r="G258" s="15" t="n">
        <v>7</v>
      </c>
      <c r="H258" s="15" t="n">
        <v>3</v>
      </c>
      <c r="I258" s="15" t="n">
        <v>8</v>
      </c>
      <c r="J258" s="15" t="n">
        <v>8</v>
      </c>
      <c r="K258" s="15" t="n">
        <v>8</v>
      </c>
      <c r="L258" s="4" t="n">
        <f aca="false">ROUND(E258*Rubric!$B$4+F258*Rubric!$B$5+G258*Rubric!$B$6+H258*Rubric!$B$7+I258*Rubric!$B$8+J258*Rubric!$B$9+K258*Rubric!$B$10-IF(OR(G258&lt;Rubric!$B$12,J258&lt;Rubric!$B$12),Rubric!$B$13,0),2)</f>
        <v>7.6</v>
      </c>
      <c r="M258" s="4" t="s">
        <v>81</v>
      </c>
      <c r="N258" s="16" t="s">
        <v>81</v>
      </c>
      <c r="O258" s="14" t="n">
        <v>1371</v>
      </c>
    </row>
    <row r="259" customFormat="false" ht="23.85" hidden="false" customHeight="false" outlineLevel="0" collapsed="false">
      <c r="A259" s="2" t="s">
        <v>233</v>
      </c>
      <c r="B259" s="2" t="s">
        <v>242</v>
      </c>
      <c r="C259" s="14" t="n">
        <v>3</v>
      </c>
      <c r="D259" s="2" t="s">
        <v>333</v>
      </c>
      <c r="E259" s="15" t="n">
        <v>8</v>
      </c>
      <c r="F259" s="15" t="n">
        <v>8</v>
      </c>
      <c r="G259" s="15" t="n">
        <v>8</v>
      </c>
      <c r="H259" s="15" t="n">
        <v>3</v>
      </c>
      <c r="I259" s="15" t="n">
        <v>7</v>
      </c>
      <c r="J259" s="15" t="n">
        <v>8</v>
      </c>
      <c r="K259" s="15" t="n">
        <v>7</v>
      </c>
      <c r="L259" s="4" t="n">
        <f aca="false">ROUND(E259*Rubric!$B$4+F259*Rubric!$B$5+G259*Rubric!$B$6+H259*Rubric!$B$7+I259*Rubric!$B$8+J259*Rubric!$B$9+K259*Rubric!$B$10-IF(OR(G259&lt;Rubric!$B$12,J259&lt;Rubric!$B$12),Rubric!$B$13,0),2)</f>
        <v>7.25</v>
      </c>
      <c r="M259" s="4" t="s">
        <v>81</v>
      </c>
      <c r="N259" s="16" t="s">
        <v>81</v>
      </c>
      <c r="O259" s="14" t="n">
        <v>1372</v>
      </c>
    </row>
    <row r="260" customFormat="false" ht="23.85" hidden="false" customHeight="false" outlineLevel="0" collapsed="false">
      <c r="A260" s="2" t="s">
        <v>233</v>
      </c>
      <c r="B260" s="2" t="s">
        <v>242</v>
      </c>
      <c r="C260" s="14" t="n">
        <v>4</v>
      </c>
      <c r="D260" s="2" t="s">
        <v>369</v>
      </c>
      <c r="E260" s="15" t="n">
        <v>8</v>
      </c>
      <c r="F260" s="15" t="n">
        <v>8</v>
      </c>
      <c r="G260" s="15" t="n">
        <v>8</v>
      </c>
      <c r="H260" s="15" t="n">
        <v>3</v>
      </c>
      <c r="I260" s="15" t="n">
        <v>7</v>
      </c>
      <c r="J260" s="15" t="n">
        <v>8</v>
      </c>
      <c r="K260" s="15" t="n">
        <v>8</v>
      </c>
      <c r="L260" s="4" t="n">
        <f aca="false">ROUND(E260*Rubric!$B$4+F260*Rubric!$B$5+G260*Rubric!$B$6+H260*Rubric!$B$7+I260*Rubric!$B$8+J260*Rubric!$B$9+K260*Rubric!$B$10-IF(OR(G260&lt;Rubric!$B$12,J260&lt;Rubric!$B$12),Rubric!$B$13,0),2)</f>
        <v>7.35</v>
      </c>
      <c r="M260" s="4" t="s">
        <v>81</v>
      </c>
      <c r="N260" s="16" t="s">
        <v>81</v>
      </c>
      <c r="O260" s="14" t="n">
        <v>1373</v>
      </c>
    </row>
    <row r="261" customFormat="false" ht="23.85" hidden="false" customHeight="false" outlineLevel="0" collapsed="false">
      <c r="A261" s="2" t="s">
        <v>233</v>
      </c>
      <c r="B261" s="2" t="s">
        <v>242</v>
      </c>
      <c r="C261" s="14" t="n">
        <v>5</v>
      </c>
      <c r="D261" s="2" t="s">
        <v>334</v>
      </c>
      <c r="E261" s="15" t="n">
        <v>8</v>
      </c>
      <c r="F261" s="15" t="n">
        <v>8</v>
      </c>
      <c r="G261" s="15" t="n">
        <v>8</v>
      </c>
      <c r="H261" s="15" t="n">
        <v>8</v>
      </c>
      <c r="I261" s="15" t="n">
        <v>6</v>
      </c>
      <c r="J261" s="15" t="n">
        <v>7</v>
      </c>
      <c r="K261" s="15" t="n">
        <v>8</v>
      </c>
      <c r="L261" s="4" t="n">
        <f aca="false">ROUND(E261*Rubric!$B$4+F261*Rubric!$B$5+G261*Rubric!$B$6+H261*Rubric!$B$7+I261*Rubric!$B$8+J261*Rubric!$B$9+K261*Rubric!$B$10-IF(OR(G261&lt;Rubric!$B$12,J261&lt;Rubric!$B$12),Rubric!$B$13,0),2)</f>
        <v>7.55</v>
      </c>
      <c r="M261" s="4" t="s">
        <v>81</v>
      </c>
      <c r="N261" s="16" t="s">
        <v>81</v>
      </c>
      <c r="O261" s="14" t="n">
        <v>1374</v>
      </c>
    </row>
    <row r="262" customFormat="false" ht="23.85" hidden="false" customHeight="false" outlineLevel="0" collapsed="false">
      <c r="A262" s="2" t="s">
        <v>233</v>
      </c>
      <c r="B262" s="2" t="s">
        <v>245</v>
      </c>
      <c r="C262" s="14" t="n">
        <v>1</v>
      </c>
      <c r="D262" s="2" t="s">
        <v>311</v>
      </c>
      <c r="E262" s="15" t="n">
        <v>9</v>
      </c>
      <c r="F262" s="15" t="n">
        <v>9</v>
      </c>
      <c r="G262" s="15" t="n">
        <v>8</v>
      </c>
      <c r="H262" s="15" t="n">
        <v>4</v>
      </c>
      <c r="I262" s="15" t="n">
        <v>7</v>
      </c>
      <c r="J262" s="15" t="n">
        <v>9</v>
      </c>
      <c r="K262" s="15" t="n">
        <v>8</v>
      </c>
      <c r="L262" s="4" t="n">
        <f aca="false">ROUND(E262*Rubric!$B$4+F262*Rubric!$B$5+G262*Rubric!$B$6+H262*Rubric!$B$7+I262*Rubric!$B$8+J262*Rubric!$B$9+K262*Rubric!$B$10-IF(OR(G262&lt;Rubric!$B$12,J262&lt;Rubric!$B$12),Rubric!$B$13,0),2)</f>
        <v>7.9</v>
      </c>
      <c r="M262" s="4" t="s">
        <v>81</v>
      </c>
      <c r="N262" s="16" t="s">
        <v>81</v>
      </c>
      <c r="O262" s="14" t="n">
        <v>1380</v>
      </c>
    </row>
    <row r="263" customFormat="false" ht="23.85" hidden="false" customHeight="false" outlineLevel="0" collapsed="false">
      <c r="A263" s="2" t="s">
        <v>233</v>
      </c>
      <c r="B263" s="2" t="s">
        <v>245</v>
      </c>
      <c r="C263" s="14" t="n">
        <v>2</v>
      </c>
      <c r="D263" s="2" t="s">
        <v>327</v>
      </c>
      <c r="E263" s="15" t="n">
        <v>9</v>
      </c>
      <c r="F263" s="15" t="n">
        <v>9</v>
      </c>
      <c r="G263" s="15" t="n">
        <v>8</v>
      </c>
      <c r="H263" s="15" t="n">
        <v>3</v>
      </c>
      <c r="I263" s="15" t="n">
        <v>8</v>
      </c>
      <c r="J263" s="15" t="n">
        <v>9</v>
      </c>
      <c r="K263" s="15" t="n">
        <v>8</v>
      </c>
      <c r="L263" s="4" t="n">
        <f aca="false">ROUND(E263*Rubric!$B$4+F263*Rubric!$B$5+G263*Rubric!$B$6+H263*Rubric!$B$7+I263*Rubric!$B$8+J263*Rubric!$B$9+K263*Rubric!$B$10-IF(OR(G263&lt;Rubric!$B$12,J263&lt;Rubric!$B$12),Rubric!$B$13,0),2)</f>
        <v>7.95</v>
      </c>
      <c r="M263" s="4" t="s">
        <v>81</v>
      </c>
      <c r="N263" s="16" t="s">
        <v>81</v>
      </c>
      <c r="O263" s="14" t="n">
        <v>1381</v>
      </c>
    </row>
    <row r="264" customFormat="false" ht="23.85" hidden="false" customHeight="false" outlineLevel="0" collapsed="false">
      <c r="A264" s="2" t="s">
        <v>233</v>
      </c>
      <c r="B264" s="2" t="s">
        <v>245</v>
      </c>
      <c r="C264" s="14" t="n">
        <v>3</v>
      </c>
      <c r="D264" s="2" t="s">
        <v>363</v>
      </c>
      <c r="E264" s="15" t="n">
        <v>9</v>
      </c>
      <c r="F264" s="15" t="n">
        <v>8</v>
      </c>
      <c r="G264" s="15" t="n">
        <v>8</v>
      </c>
      <c r="H264" s="15" t="n">
        <v>5</v>
      </c>
      <c r="I264" s="15" t="n">
        <v>7</v>
      </c>
      <c r="J264" s="15" t="n">
        <v>7</v>
      </c>
      <c r="K264" s="15" t="n">
        <v>8</v>
      </c>
      <c r="L264" s="4" t="n">
        <f aca="false">ROUND(E264*Rubric!$B$4+F264*Rubric!$B$5+G264*Rubric!$B$6+H264*Rubric!$B$7+I264*Rubric!$B$8+J264*Rubric!$B$9+K264*Rubric!$B$10-IF(OR(G264&lt;Rubric!$B$12,J264&lt;Rubric!$B$12),Rubric!$B$13,0),2)</f>
        <v>7.5</v>
      </c>
      <c r="M264" s="4" t="s">
        <v>81</v>
      </c>
      <c r="N264" s="16" t="s">
        <v>81</v>
      </c>
      <c r="O264" s="14" t="n">
        <v>1382</v>
      </c>
    </row>
    <row r="265" customFormat="false" ht="23.85" hidden="false" customHeight="false" outlineLevel="0" collapsed="false">
      <c r="A265" s="2" t="s">
        <v>233</v>
      </c>
      <c r="B265" s="2" t="s">
        <v>245</v>
      </c>
      <c r="C265" s="14" t="n">
        <v>4</v>
      </c>
      <c r="D265" s="2" t="s">
        <v>314</v>
      </c>
      <c r="E265" s="15" t="n">
        <v>9</v>
      </c>
      <c r="F265" s="15" t="n">
        <v>7</v>
      </c>
      <c r="G265" s="15" t="n">
        <v>8</v>
      </c>
      <c r="H265" s="15" t="n">
        <v>8</v>
      </c>
      <c r="I265" s="15" t="n">
        <v>6</v>
      </c>
      <c r="J265" s="15" t="n">
        <v>8</v>
      </c>
      <c r="K265" s="15" t="n">
        <v>7</v>
      </c>
      <c r="L265" s="4" t="n">
        <f aca="false">ROUND(E265*Rubric!$B$4+F265*Rubric!$B$5+G265*Rubric!$B$6+H265*Rubric!$B$7+I265*Rubric!$B$8+J265*Rubric!$B$9+K265*Rubric!$B$10-IF(OR(G265&lt;Rubric!$B$12,J265&lt;Rubric!$B$12),Rubric!$B$13,0),2)</f>
        <v>7.5</v>
      </c>
      <c r="M265" s="4" t="s">
        <v>81</v>
      </c>
      <c r="N265" s="16" t="s">
        <v>81</v>
      </c>
      <c r="O265" s="14" t="n">
        <v>1383</v>
      </c>
    </row>
    <row r="266" customFormat="false" ht="23.85" hidden="false" customHeight="false" outlineLevel="0" collapsed="false">
      <c r="A266" s="2" t="s">
        <v>233</v>
      </c>
      <c r="B266" s="2" t="s">
        <v>245</v>
      </c>
      <c r="C266" s="14" t="n">
        <v>5</v>
      </c>
      <c r="D266" s="2" t="s">
        <v>331</v>
      </c>
      <c r="E266" s="15" t="n">
        <v>8</v>
      </c>
      <c r="F266" s="15" t="n">
        <v>8</v>
      </c>
      <c r="G266" s="15" t="n">
        <v>8</v>
      </c>
      <c r="H266" s="15" t="n">
        <v>3</v>
      </c>
      <c r="I266" s="15" t="n">
        <v>6</v>
      </c>
      <c r="J266" s="15" t="n">
        <v>8</v>
      </c>
      <c r="K266" s="15" t="n">
        <v>8</v>
      </c>
      <c r="L266" s="4" t="n">
        <f aca="false">ROUND(E266*Rubric!$B$4+F266*Rubric!$B$5+G266*Rubric!$B$6+H266*Rubric!$B$7+I266*Rubric!$B$8+J266*Rubric!$B$9+K266*Rubric!$B$10-IF(OR(G266&lt;Rubric!$B$12,J266&lt;Rubric!$B$12),Rubric!$B$13,0),2)</f>
        <v>7.2</v>
      </c>
      <c r="M266" s="4" t="s">
        <v>81</v>
      </c>
      <c r="N266" s="16" t="s">
        <v>81</v>
      </c>
      <c r="O266" s="14" t="n">
        <v>1384</v>
      </c>
    </row>
    <row r="267" customFormat="false" ht="15" hidden="false" customHeight="false" outlineLevel="0" collapsed="false">
      <c r="A267" s="2" t="s">
        <v>233</v>
      </c>
      <c r="B267" s="2" t="s">
        <v>249</v>
      </c>
      <c r="C267" s="14" t="n">
        <v>1</v>
      </c>
      <c r="D267" s="2" t="s">
        <v>336</v>
      </c>
      <c r="E267" s="15" t="n">
        <v>9</v>
      </c>
      <c r="F267" s="15" t="n">
        <v>9</v>
      </c>
      <c r="G267" s="15" t="n">
        <v>7</v>
      </c>
      <c r="H267" s="15" t="n">
        <v>3</v>
      </c>
      <c r="I267" s="15" t="n">
        <v>8</v>
      </c>
      <c r="J267" s="15" t="n">
        <v>8</v>
      </c>
      <c r="K267" s="15" t="n">
        <v>8</v>
      </c>
      <c r="L267" s="4" t="n">
        <f aca="false">ROUND(E267*Rubric!$B$4+F267*Rubric!$B$5+G267*Rubric!$B$6+H267*Rubric!$B$7+I267*Rubric!$B$8+J267*Rubric!$B$9+K267*Rubric!$B$10-IF(OR(G267&lt;Rubric!$B$12,J267&lt;Rubric!$B$12),Rubric!$B$13,0),2)</f>
        <v>7.6</v>
      </c>
      <c r="M267" s="4" t="s">
        <v>81</v>
      </c>
      <c r="N267" s="16" t="s">
        <v>81</v>
      </c>
      <c r="O267" s="14" t="n">
        <v>1390</v>
      </c>
    </row>
    <row r="268" customFormat="false" ht="23.85" hidden="false" customHeight="false" outlineLevel="0" collapsed="false">
      <c r="A268" s="2" t="s">
        <v>233</v>
      </c>
      <c r="B268" s="2" t="s">
        <v>249</v>
      </c>
      <c r="C268" s="14" t="n">
        <v>2</v>
      </c>
      <c r="D268" s="2" t="s">
        <v>311</v>
      </c>
      <c r="E268" s="15" t="n">
        <v>9</v>
      </c>
      <c r="F268" s="15" t="n">
        <v>9</v>
      </c>
      <c r="G268" s="15" t="n">
        <v>8</v>
      </c>
      <c r="H268" s="15" t="n">
        <v>4</v>
      </c>
      <c r="I268" s="15" t="n">
        <v>7</v>
      </c>
      <c r="J268" s="15" t="n">
        <v>9</v>
      </c>
      <c r="K268" s="15" t="n">
        <v>8</v>
      </c>
      <c r="L268" s="4" t="n">
        <f aca="false">ROUND(E268*Rubric!$B$4+F268*Rubric!$B$5+G268*Rubric!$B$6+H268*Rubric!$B$7+I268*Rubric!$B$8+J268*Rubric!$B$9+K268*Rubric!$B$10-IF(OR(G268&lt;Rubric!$B$12,J268&lt;Rubric!$B$12),Rubric!$B$13,0),2)</f>
        <v>7.9</v>
      </c>
      <c r="M268" s="4" t="s">
        <v>81</v>
      </c>
      <c r="N268" s="16" t="s">
        <v>81</v>
      </c>
      <c r="O268" s="14" t="n">
        <v>1391</v>
      </c>
    </row>
    <row r="269" customFormat="false" ht="23.85" hidden="false" customHeight="false" outlineLevel="0" collapsed="false">
      <c r="A269" s="2" t="s">
        <v>233</v>
      </c>
      <c r="B269" s="2" t="s">
        <v>249</v>
      </c>
      <c r="C269" s="14" t="n">
        <v>3</v>
      </c>
      <c r="D269" s="2" t="s">
        <v>337</v>
      </c>
      <c r="E269" s="15" t="n">
        <v>9</v>
      </c>
      <c r="F269" s="15" t="n">
        <v>8</v>
      </c>
      <c r="G269" s="15" t="n">
        <v>8</v>
      </c>
      <c r="H269" s="15" t="n">
        <v>3</v>
      </c>
      <c r="I269" s="15" t="n">
        <v>7</v>
      </c>
      <c r="J269" s="15" t="n">
        <v>8</v>
      </c>
      <c r="K269" s="15" t="n">
        <v>7</v>
      </c>
      <c r="L269" s="4" t="n">
        <f aca="false">ROUND(E269*Rubric!$B$4+F269*Rubric!$B$5+G269*Rubric!$B$6+H269*Rubric!$B$7+I269*Rubric!$B$8+J269*Rubric!$B$9+K269*Rubric!$B$10-IF(OR(G269&lt;Rubric!$B$12,J269&lt;Rubric!$B$12),Rubric!$B$13,0),2)</f>
        <v>7.35</v>
      </c>
      <c r="M269" s="4" t="s">
        <v>81</v>
      </c>
      <c r="N269" s="16" t="s">
        <v>81</v>
      </c>
      <c r="O269" s="14" t="n">
        <v>1392</v>
      </c>
    </row>
    <row r="270" customFormat="false" ht="23.85" hidden="false" customHeight="false" outlineLevel="0" collapsed="false">
      <c r="A270" s="2" t="s">
        <v>233</v>
      </c>
      <c r="B270" s="2" t="s">
        <v>249</v>
      </c>
      <c r="C270" s="14" t="n">
        <v>4</v>
      </c>
      <c r="D270" s="2" t="s">
        <v>335</v>
      </c>
      <c r="E270" s="15" t="n">
        <v>9</v>
      </c>
      <c r="F270" s="15" t="n">
        <v>8</v>
      </c>
      <c r="G270" s="15" t="n">
        <v>8</v>
      </c>
      <c r="H270" s="15" t="n">
        <v>4</v>
      </c>
      <c r="I270" s="15" t="n">
        <v>7</v>
      </c>
      <c r="J270" s="15" t="n">
        <v>8</v>
      </c>
      <c r="K270" s="15" t="n">
        <v>7</v>
      </c>
      <c r="L270" s="4" t="n">
        <f aca="false">ROUND(E270*Rubric!$B$4+F270*Rubric!$B$5+G270*Rubric!$B$6+H270*Rubric!$B$7+I270*Rubric!$B$8+J270*Rubric!$B$9+K270*Rubric!$B$10-IF(OR(G270&lt;Rubric!$B$12,J270&lt;Rubric!$B$12),Rubric!$B$13,0),2)</f>
        <v>7.45</v>
      </c>
      <c r="M270" s="4" t="s">
        <v>81</v>
      </c>
      <c r="N270" s="16" t="s">
        <v>81</v>
      </c>
      <c r="O270" s="14" t="n">
        <v>1393</v>
      </c>
    </row>
    <row r="271" customFormat="false" ht="23.85" hidden="false" customHeight="false" outlineLevel="0" collapsed="false">
      <c r="A271" s="2" t="s">
        <v>233</v>
      </c>
      <c r="B271" s="2" t="s">
        <v>249</v>
      </c>
      <c r="C271" s="14" t="n">
        <v>5</v>
      </c>
      <c r="D271" s="2" t="s">
        <v>319</v>
      </c>
      <c r="E271" s="15" t="n">
        <v>8</v>
      </c>
      <c r="F271" s="15" t="n">
        <v>8</v>
      </c>
      <c r="G271" s="15" t="n">
        <v>7</v>
      </c>
      <c r="H271" s="15" t="n">
        <v>9</v>
      </c>
      <c r="I271" s="15" t="n">
        <v>6</v>
      </c>
      <c r="J271" s="15" t="n">
        <v>8</v>
      </c>
      <c r="K271" s="15" t="n">
        <v>9</v>
      </c>
      <c r="L271" s="4" t="n">
        <f aca="false">ROUND(E271*Rubric!$B$4+F271*Rubric!$B$5+G271*Rubric!$B$6+H271*Rubric!$B$7+I271*Rubric!$B$8+J271*Rubric!$B$9+K271*Rubric!$B$10-IF(OR(G271&lt;Rubric!$B$12,J271&lt;Rubric!$B$12),Rubric!$B$13,0),2)</f>
        <v>7.7</v>
      </c>
      <c r="M271" s="4" t="s">
        <v>81</v>
      </c>
      <c r="N271" s="16" t="s">
        <v>81</v>
      </c>
      <c r="O271" s="14" t="n">
        <v>1394</v>
      </c>
    </row>
    <row r="272" customFormat="false" ht="23.85" hidden="false" customHeight="false" outlineLevel="0" collapsed="false">
      <c r="A272" s="2" t="s">
        <v>233</v>
      </c>
      <c r="B272" s="2" t="s">
        <v>251</v>
      </c>
      <c r="C272" s="14" t="n">
        <v>1</v>
      </c>
      <c r="D272" s="2" t="s">
        <v>311</v>
      </c>
      <c r="E272" s="15" t="n">
        <v>9</v>
      </c>
      <c r="F272" s="15" t="n">
        <v>9</v>
      </c>
      <c r="G272" s="15" t="n">
        <v>8</v>
      </c>
      <c r="H272" s="15" t="n">
        <v>4</v>
      </c>
      <c r="I272" s="15" t="n">
        <v>7</v>
      </c>
      <c r="J272" s="15" t="n">
        <v>9</v>
      </c>
      <c r="K272" s="15" t="n">
        <v>8</v>
      </c>
      <c r="L272" s="4" t="n">
        <f aca="false">ROUND(E272*Rubric!$B$4+F272*Rubric!$B$5+G272*Rubric!$B$6+H272*Rubric!$B$7+I272*Rubric!$B$8+J272*Rubric!$B$9+K272*Rubric!$B$10-IF(OR(G272&lt;Rubric!$B$12,J272&lt;Rubric!$B$12),Rubric!$B$13,0),2)</f>
        <v>7.9</v>
      </c>
      <c r="M272" s="4" t="s">
        <v>81</v>
      </c>
      <c r="N272" s="16" t="s">
        <v>81</v>
      </c>
      <c r="O272" s="14" t="n">
        <v>1400</v>
      </c>
    </row>
    <row r="273" customFormat="false" ht="15" hidden="false" customHeight="false" outlineLevel="0" collapsed="false">
      <c r="A273" s="2" t="s">
        <v>233</v>
      </c>
      <c r="B273" s="2" t="s">
        <v>251</v>
      </c>
      <c r="C273" s="14" t="n">
        <v>2</v>
      </c>
      <c r="D273" s="2" t="s">
        <v>327</v>
      </c>
      <c r="E273" s="15" t="n">
        <v>9</v>
      </c>
      <c r="F273" s="15" t="n">
        <v>9</v>
      </c>
      <c r="G273" s="15" t="n">
        <v>8</v>
      </c>
      <c r="H273" s="15" t="n">
        <v>3</v>
      </c>
      <c r="I273" s="15" t="n">
        <v>8</v>
      </c>
      <c r="J273" s="15" t="n">
        <v>9</v>
      </c>
      <c r="K273" s="15" t="n">
        <v>8</v>
      </c>
      <c r="L273" s="4" t="n">
        <f aca="false">ROUND(E273*Rubric!$B$4+F273*Rubric!$B$5+G273*Rubric!$B$6+H273*Rubric!$B$7+I273*Rubric!$B$8+J273*Rubric!$B$9+K273*Rubric!$B$10-IF(OR(G273&lt;Rubric!$B$12,J273&lt;Rubric!$B$12),Rubric!$B$13,0),2)</f>
        <v>7.95</v>
      </c>
      <c r="M273" s="4" t="s">
        <v>81</v>
      </c>
      <c r="N273" s="16" t="s">
        <v>81</v>
      </c>
      <c r="O273" s="14" t="n">
        <v>1401</v>
      </c>
    </row>
    <row r="274" customFormat="false" ht="23.85" hidden="false" customHeight="false" outlineLevel="0" collapsed="false">
      <c r="A274" s="2" t="s">
        <v>233</v>
      </c>
      <c r="B274" s="2" t="s">
        <v>251</v>
      </c>
      <c r="C274" s="14" t="n">
        <v>3</v>
      </c>
      <c r="D274" s="2" t="s">
        <v>363</v>
      </c>
      <c r="E274" s="15" t="n">
        <v>9</v>
      </c>
      <c r="F274" s="15" t="n">
        <v>8</v>
      </c>
      <c r="G274" s="15" t="n">
        <v>8</v>
      </c>
      <c r="H274" s="15" t="n">
        <v>5</v>
      </c>
      <c r="I274" s="15" t="n">
        <v>7</v>
      </c>
      <c r="J274" s="15" t="n">
        <v>7</v>
      </c>
      <c r="K274" s="15" t="n">
        <v>8</v>
      </c>
      <c r="L274" s="4" t="n">
        <f aca="false">ROUND(E274*Rubric!$B$4+F274*Rubric!$B$5+G274*Rubric!$B$6+H274*Rubric!$B$7+I274*Rubric!$B$8+J274*Rubric!$B$9+K274*Rubric!$B$10-IF(OR(G274&lt;Rubric!$B$12,J274&lt;Rubric!$B$12),Rubric!$B$13,0),2)</f>
        <v>7.5</v>
      </c>
      <c r="M274" s="4" t="s">
        <v>81</v>
      </c>
      <c r="N274" s="16" t="s">
        <v>81</v>
      </c>
      <c r="O274" s="14" t="n">
        <v>1402</v>
      </c>
    </row>
    <row r="275" customFormat="false" ht="23.85" hidden="false" customHeight="false" outlineLevel="0" collapsed="false">
      <c r="A275" s="2" t="s">
        <v>233</v>
      </c>
      <c r="B275" s="2" t="s">
        <v>251</v>
      </c>
      <c r="C275" s="14" t="n">
        <v>4</v>
      </c>
      <c r="D275" s="2" t="s">
        <v>314</v>
      </c>
      <c r="E275" s="15" t="n">
        <v>9</v>
      </c>
      <c r="F275" s="15" t="n">
        <v>7</v>
      </c>
      <c r="G275" s="15" t="n">
        <v>8</v>
      </c>
      <c r="H275" s="15" t="n">
        <v>8</v>
      </c>
      <c r="I275" s="15" t="n">
        <v>6</v>
      </c>
      <c r="J275" s="15" t="n">
        <v>8</v>
      </c>
      <c r="K275" s="15" t="n">
        <v>7</v>
      </c>
      <c r="L275" s="4" t="n">
        <f aca="false">ROUND(E275*Rubric!$B$4+F275*Rubric!$B$5+G275*Rubric!$B$6+H275*Rubric!$B$7+I275*Rubric!$B$8+J275*Rubric!$B$9+K275*Rubric!$B$10-IF(OR(G275&lt;Rubric!$B$12,J275&lt;Rubric!$B$12),Rubric!$B$13,0),2)</f>
        <v>7.5</v>
      </c>
      <c r="M275" s="4" t="s">
        <v>81</v>
      </c>
      <c r="N275" s="16" t="s">
        <v>81</v>
      </c>
      <c r="O275" s="14" t="n">
        <v>1403</v>
      </c>
    </row>
    <row r="276" customFormat="false" ht="23.85" hidden="false" customHeight="false" outlineLevel="0" collapsed="false">
      <c r="A276" s="2" t="s">
        <v>233</v>
      </c>
      <c r="B276" s="2" t="s">
        <v>251</v>
      </c>
      <c r="C276" s="14" t="n">
        <v>5</v>
      </c>
      <c r="D276" s="2" t="s">
        <v>331</v>
      </c>
      <c r="E276" s="15" t="n">
        <v>8</v>
      </c>
      <c r="F276" s="15" t="n">
        <v>8</v>
      </c>
      <c r="G276" s="15" t="n">
        <v>8</v>
      </c>
      <c r="H276" s="15" t="n">
        <v>3</v>
      </c>
      <c r="I276" s="15" t="n">
        <v>6</v>
      </c>
      <c r="J276" s="15" t="n">
        <v>8</v>
      </c>
      <c r="K276" s="15" t="n">
        <v>8</v>
      </c>
      <c r="L276" s="4" t="n">
        <f aca="false">ROUND(E276*Rubric!$B$4+F276*Rubric!$B$5+G276*Rubric!$B$6+H276*Rubric!$B$7+I276*Rubric!$B$8+J276*Rubric!$B$9+K276*Rubric!$B$10-IF(OR(G276&lt;Rubric!$B$12,J276&lt;Rubric!$B$12),Rubric!$B$13,0),2)</f>
        <v>7.2</v>
      </c>
      <c r="M276" s="4" t="s">
        <v>81</v>
      </c>
      <c r="N276" s="16" t="s">
        <v>81</v>
      </c>
      <c r="O276" s="14" t="n">
        <v>1404</v>
      </c>
    </row>
    <row r="277" customFormat="false" ht="23.85" hidden="false" customHeight="false" outlineLevel="0" collapsed="false">
      <c r="A277" s="2" t="s">
        <v>233</v>
      </c>
      <c r="B277" s="2" t="s">
        <v>255</v>
      </c>
      <c r="C277" s="14" t="n">
        <v>1</v>
      </c>
      <c r="D277" s="2" t="s">
        <v>311</v>
      </c>
      <c r="E277" s="15" t="n">
        <v>9</v>
      </c>
      <c r="F277" s="15" t="n">
        <v>9</v>
      </c>
      <c r="G277" s="15" t="n">
        <v>8</v>
      </c>
      <c r="H277" s="15" t="n">
        <v>4</v>
      </c>
      <c r="I277" s="15" t="n">
        <v>7</v>
      </c>
      <c r="J277" s="15" t="n">
        <v>9</v>
      </c>
      <c r="K277" s="15" t="n">
        <v>8</v>
      </c>
      <c r="L277" s="4" t="n">
        <f aca="false">ROUND(E277*Rubric!$B$4+F277*Rubric!$B$5+G277*Rubric!$B$6+H277*Rubric!$B$7+I277*Rubric!$B$8+J277*Rubric!$B$9+K277*Rubric!$B$10-IF(OR(G277&lt;Rubric!$B$12,J277&lt;Rubric!$B$12),Rubric!$B$13,0),2)</f>
        <v>7.9</v>
      </c>
      <c r="M277" s="4" t="s">
        <v>81</v>
      </c>
      <c r="N277" s="16" t="s">
        <v>81</v>
      </c>
      <c r="O277" s="14" t="n">
        <v>1410</v>
      </c>
    </row>
    <row r="278" customFormat="false" ht="23.85" hidden="false" customHeight="false" outlineLevel="0" collapsed="false">
      <c r="A278" s="2" t="s">
        <v>233</v>
      </c>
      <c r="B278" s="2" t="s">
        <v>255</v>
      </c>
      <c r="C278" s="14" t="n">
        <v>2</v>
      </c>
      <c r="D278" s="2" t="s">
        <v>316</v>
      </c>
      <c r="E278" s="15" t="n">
        <v>9</v>
      </c>
      <c r="F278" s="15" t="n">
        <v>9</v>
      </c>
      <c r="G278" s="15" t="n">
        <v>8</v>
      </c>
      <c r="H278" s="15" t="n">
        <v>3</v>
      </c>
      <c r="I278" s="15" t="n">
        <v>8</v>
      </c>
      <c r="J278" s="15" t="n">
        <v>9</v>
      </c>
      <c r="K278" s="15" t="n">
        <v>9</v>
      </c>
      <c r="L278" s="4" t="n">
        <f aca="false">ROUND(E278*Rubric!$B$4+F278*Rubric!$B$5+G278*Rubric!$B$6+H278*Rubric!$B$7+I278*Rubric!$B$8+J278*Rubric!$B$9+K278*Rubric!$B$10-IF(OR(G278&lt;Rubric!$B$12,J278&lt;Rubric!$B$12),Rubric!$B$13,0),2)</f>
        <v>8.05</v>
      </c>
      <c r="M278" s="4" t="s">
        <v>81</v>
      </c>
      <c r="N278" s="16" t="s">
        <v>81</v>
      </c>
      <c r="O278" s="14" t="n">
        <v>1411</v>
      </c>
    </row>
    <row r="279" customFormat="false" ht="15" hidden="false" customHeight="false" outlineLevel="0" collapsed="false">
      <c r="A279" s="2" t="s">
        <v>233</v>
      </c>
      <c r="B279" s="2" t="s">
        <v>255</v>
      </c>
      <c r="C279" s="14" t="n">
        <v>3</v>
      </c>
      <c r="D279" s="2" t="s">
        <v>327</v>
      </c>
      <c r="E279" s="15" t="n">
        <v>9</v>
      </c>
      <c r="F279" s="15" t="n">
        <v>9</v>
      </c>
      <c r="G279" s="15" t="n">
        <v>8</v>
      </c>
      <c r="H279" s="15" t="n">
        <v>3</v>
      </c>
      <c r="I279" s="15" t="n">
        <v>8</v>
      </c>
      <c r="J279" s="15" t="n">
        <v>9</v>
      </c>
      <c r="K279" s="15" t="n">
        <v>8</v>
      </c>
      <c r="L279" s="4" t="n">
        <f aca="false">ROUND(E279*Rubric!$B$4+F279*Rubric!$B$5+G279*Rubric!$B$6+H279*Rubric!$B$7+I279*Rubric!$B$8+J279*Rubric!$B$9+K279*Rubric!$B$10-IF(OR(G279&lt;Rubric!$B$12,J279&lt;Rubric!$B$12),Rubric!$B$13,0),2)</f>
        <v>7.95</v>
      </c>
      <c r="M279" s="4" t="s">
        <v>81</v>
      </c>
      <c r="N279" s="16" t="s">
        <v>81</v>
      </c>
      <c r="O279" s="14" t="n">
        <v>1412</v>
      </c>
    </row>
    <row r="280" customFormat="false" ht="23.85" hidden="false" customHeight="false" outlineLevel="0" collapsed="false">
      <c r="A280" s="2" t="s">
        <v>233</v>
      </c>
      <c r="B280" s="2" t="s">
        <v>255</v>
      </c>
      <c r="C280" s="14" t="n">
        <v>4</v>
      </c>
      <c r="D280" s="2" t="s">
        <v>363</v>
      </c>
      <c r="E280" s="15" t="n">
        <v>9</v>
      </c>
      <c r="F280" s="15" t="n">
        <v>8</v>
      </c>
      <c r="G280" s="15" t="n">
        <v>8</v>
      </c>
      <c r="H280" s="15" t="n">
        <v>5</v>
      </c>
      <c r="I280" s="15" t="n">
        <v>7</v>
      </c>
      <c r="J280" s="15" t="n">
        <v>7</v>
      </c>
      <c r="K280" s="15" t="n">
        <v>8</v>
      </c>
      <c r="L280" s="4" t="n">
        <f aca="false">ROUND(E280*Rubric!$B$4+F280*Rubric!$B$5+G280*Rubric!$B$6+H280*Rubric!$B$7+I280*Rubric!$B$8+J280*Rubric!$B$9+K280*Rubric!$B$10-IF(OR(G280&lt;Rubric!$B$12,J280&lt;Rubric!$B$12),Rubric!$B$13,0),2)</f>
        <v>7.5</v>
      </c>
      <c r="M280" s="4" t="s">
        <v>81</v>
      </c>
      <c r="N280" s="16" t="s">
        <v>81</v>
      </c>
      <c r="O280" s="14" t="n">
        <v>1413</v>
      </c>
    </row>
    <row r="281" customFormat="false" ht="23.85" hidden="false" customHeight="false" outlineLevel="0" collapsed="false">
      <c r="A281" s="2" t="s">
        <v>233</v>
      </c>
      <c r="B281" s="2" t="s">
        <v>255</v>
      </c>
      <c r="C281" s="14" t="n">
        <v>5</v>
      </c>
      <c r="D281" s="2" t="s">
        <v>334</v>
      </c>
      <c r="E281" s="15" t="n">
        <v>8</v>
      </c>
      <c r="F281" s="15" t="n">
        <v>8</v>
      </c>
      <c r="G281" s="15" t="n">
        <v>8</v>
      </c>
      <c r="H281" s="15" t="n">
        <v>8</v>
      </c>
      <c r="I281" s="15" t="n">
        <v>6</v>
      </c>
      <c r="J281" s="15" t="n">
        <v>7</v>
      </c>
      <c r="K281" s="15" t="n">
        <v>8</v>
      </c>
      <c r="L281" s="4" t="n">
        <f aca="false">ROUND(E281*Rubric!$B$4+F281*Rubric!$B$5+G281*Rubric!$B$6+H281*Rubric!$B$7+I281*Rubric!$B$8+J281*Rubric!$B$9+K281*Rubric!$B$10-IF(OR(G281&lt;Rubric!$B$12,J281&lt;Rubric!$B$12),Rubric!$B$13,0),2)</f>
        <v>7.55</v>
      </c>
      <c r="M281" s="4" t="s">
        <v>81</v>
      </c>
      <c r="N281" s="16" t="s">
        <v>81</v>
      </c>
      <c r="O281" s="14" t="n">
        <v>1414</v>
      </c>
    </row>
  </sheetData>
  <autoFilter ref="A1:O2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80"/>
    <col collapsed="false" customWidth="true" hidden="false" outlineLevel="0" max="7" min="6" style="0" width="8"/>
    <col collapsed="false" customWidth="true" hidden="false" outlineLevel="0" max="10" min="8" style="0" width="9"/>
    <col collapsed="false" customWidth="true" hidden="false" outlineLevel="0" max="11" min="11" style="0" width="10"/>
    <col collapsed="false" customWidth="true" hidden="false" outlineLevel="0" max="12" min="12" style="0" width="8"/>
    <col collapsed="false" customWidth="true" hidden="false" outlineLevel="0" max="13" min="13" style="0" width="10"/>
    <col collapsed="false" customWidth="true" hidden="false" outlineLevel="0" max="14" min="14" style="0" width="6"/>
    <col collapsed="false" customWidth="true" hidden="false" outlineLevel="0" max="15" min="15" style="0" width="52"/>
  </cols>
  <sheetData>
    <row r="1" customFormat="false" ht="31.5" hidden="false" customHeight="true" outlineLevel="0" collapsed="false">
      <c r="A1" s="1" t="s">
        <v>0</v>
      </c>
      <c r="B1" s="1" t="s">
        <v>1</v>
      </c>
      <c r="C1" s="1" t="s">
        <v>257</v>
      </c>
      <c r="D1" s="1" t="s">
        <v>303</v>
      </c>
      <c r="E1" s="1" t="s">
        <v>380</v>
      </c>
      <c r="F1" s="1" t="s">
        <v>381</v>
      </c>
      <c r="G1" s="1" t="s">
        <v>382</v>
      </c>
      <c r="H1" s="1" t="s">
        <v>383</v>
      </c>
      <c r="I1" s="1" t="s">
        <v>384</v>
      </c>
      <c r="J1" s="1" t="s">
        <v>385</v>
      </c>
      <c r="K1" s="1" t="s">
        <v>305</v>
      </c>
      <c r="L1" s="1" t="s">
        <v>386</v>
      </c>
      <c r="M1" s="1" t="s">
        <v>387</v>
      </c>
      <c r="N1" s="1" t="s">
        <v>309</v>
      </c>
      <c r="O1" s="1" t="s">
        <v>388</v>
      </c>
    </row>
    <row r="2" customFormat="false" ht="23.85" hidden="false" customHeight="false" outlineLevel="0" collapsed="false">
      <c r="A2" s="2" t="s">
        <v>8</v>
      </c>
      <c r="B2" s="2" t="s">
        <v>9</v>
      </c>
      <c r="C2" s="14" t="n">
        <v>0</v>
      </c>
      <c r="D2" s="14" t="n">
        <v>1</v>
      </c>
      <c r="E2" s="2" t="s">
        <v>389</v>
      </c>
      <c r="F2" s="15" t="n">
        <v>8</v>
      </c>
      <c r="G2" s="15" t="n">
        <v>7</v>
      </c>
      <c r="H2" s="15" t="n">
        <v>8</v>
      </c>
      <c r="I2" s="15" t="n">
        <v>4</v>
      </c>
      <c r="J2" s="15" t="n">
        <v>8</v>
      </c>
      <c r="K2" s="15" t="n">
        <v>8</v>
      </c>
      <c r="L2" s="15" t="n">
        <v>6</v>
      </c>
      <c r="M2" s="4" t="n">
        <f aca="false">ROUND(F2*Rubric!$B$4+G2*Rubric!$B$5+H2*Rubric!$B$6+I2*Rubric!$B$7+J2*Rubric!$B$8+K2*Rubric!$B$9+L2*Rubric!$B$10-IF(OR(H2&lt;Rubric!$B$12,K2&lt;Rubric!$B$12),Rubric!$B$13,0),2)</f>
        <v>7.2</v>
      </c>
      <c r="N2" s="14" t="n">
        <v>0</v>
      </c>
      <c r="O2" s="2" t="s">
        <v>390</v>
      </c>
    </row>
    <row r="3" customFormat="false" ht="23.85" hidden="false" customHeight="false" outlineLevel="0" collapsed="false">
      <c r="A3" s="2" t="s">
        <v>8</v>
      </c>
      <c r="B3" s="2" t="s">
        <v>9</v>
      </c>
      <c r="C3" s="14" t="n">
        <v>2</v>
      </c>
      <c r="D3" s="14" t="n">
        <v>1</v>
      </c>
      <c r="E3" s="2" t="s">
        <v>310</v>
      </c>
      <c r="F3" s="15" t="n">
        <v>7</v>
      </c>
      <c r="G3" s="15" t="n">
        <v>8</v>
      </c>
      <c r="H3" s="15" t="n">
        <v>8</v>
      </c>
      <c r="I3" s="15" t="n">
        <v>4</v>
      </c>
      <c r="J3" s="15" t="n">
        <v>8</v>
      </c>
      <c r="K3" s="15" t="n">
        <v>8</v>
      </c>
      <c r="L3" s="15" t="n">
        <v>8</v>
      </c>
      <c r="M3" s="4" t="n">
        <f aca="false">ROUND(F3*Rubric!$B$4+G3*Rubric!$B$5+H3*Rubric!$B$6+I3*Rubric!$B$7+J3*Rubric!$B$8+K3*Rubric!$B$9+L3*Rubric!$B$10-IF(OR(H3&lt;Rubric!$B$12,K3&lt;Rubric!$B$12),Rubric!$B$13,0),2)</f>
        <v>7.5</v>
      </c>
      <c r="N3" s="14" t="n">
        <v>0</v>
      </c>
      <c r="O3" s="2" t="s">
        <v>391</v>
      </c>
    </row>
    <row r="4" customFormat="false" ht="23.85" hidden="false" customHeight="false" outlineLevel="0" collapsed="false">
      <c r="A4" s="2" t="s">
        <v>8</v>
      </c>
      <c r="B4" s="2" t="s">
        <v>9</v>
      </c>
      <c r="C4" s="14" t="n">
        <v>0</v>
      </c>
      <c r="D4" s="14" t="n">
        <v>2</v>
      </c>
      <c r="E4" s="2" t="s">
        <v>311</v>
      </c>
      <c r="F4" s="15" t="n">
        <v>9</v>
      </c>
      <c r="G4" s="15" t="n">
        <v>9</v>
      </c>
      <c r="H4" s="15" t="n">
        <v>8</v>
      </c>
      <c r="I4" s="15" t="n">
        <v>4</v>
      </c>
      <c r="J4" s="15" t="n">
        <v>8</v>
      </c>
      <c r="K4" s="15" t="n">
        <v>9</v>
      </c>
      <c r="L4" s="15" t="n">
        <v>8</v>
      </c>
      <c r="M4" s="4" t="n">
        <f aca="false">ROUND(F4*Rubric!$B$4+G4*Rubric!$B$5+H4*Rubric!$B$6+I4*Rubric!$B$7+J4*Rubric!$B$8+K4*Rubric!$B$9+L4*Rubric!$B$10-IF(OR(H4&lt;Rubric!$B$12,K4&lt;Rubric!$B$12),Rubric!$B$13,0),2)</f>
        <v>8.05</v>
      </c>
      <c r="N4" s="14" t="n">
        <v>1</v>
      </c>
      <c r="O4" s="2" t="s">
        <v>390</v>
      </c>
    </row>
    <row r="5" customFormat="false" ht="23.85" hidden="false" customHeight="false" outlineLevel="0" collapsed="false">
      <c r="A5" s="2" t="s">
        <v>8</v>
      </c>
      <c r="B5" s="2" t="s">
        <v>9</v>
      </c>
      <c r="C5" s="14" t="n">
        <v>0</v>
      </c>
      <c r="D5" s="14" t="n">
        <v>3</v>
      </c>
      <c r="E5" s="2" t="s">
        <v>392</v>
      </c>
      <c r="F5" s="15" t="n">
        <v>8</v>
      </c>
      <c r="G5" s="15" t="n">
        <v>8</v>
      </c>
      <c r="H5" s="15" t="n">
        <v>8</v>
      </c>
      <c r="I5" s="15" t="n">
        <v>4</v>
      </c>
      <c r="J5" s="15" t="n">
        <v>7</v>
      </c>
      <c r="K5" s="15" t="n">
        <v>8</v>
      </c>
      <c r="L5" s="15" t="n">
        <v>6</v>
      </c>
      <c r="M5" s="4" t="n">
        <f aca="false">ROUND(F5*Rubric!$B$4+G5*Rubric!$B$5+H5*Rubric!$B$6+I5*Rubric!$B$7+J5*Rubric!$B$8+K5*Rubric!$B$9+L5*Rubric!$B$10-IF(OR(H5&lt;Rubric!$B$12,K5&lt;Rubric!$B$12),Rubric!$B$13,0),2)</f>
        <v>7.25</v>
      </c>
      <c r="N5" s="14" t="n">
        <v>2</v>
      </c>
      <c r="O5" s="2" t="s">
        <v>390</v>
      </c>
    </row>
    <row r="6" customFormat="false" ht="23.85" hidden="false" customHeight="false" outlineLevel="0" collapsed="false">
      <c r="A6" s="2" t="s">
        <v>8</v>
      </c>
      <c r="B6" s="2" t="s">
        <v>9</v>
      </c>
      <c r="C6" s="14" t="n">
        <v>2</v>
      </c>
      <c r="D6" s="14" t="n">
        <v>3</v>
      </c>
      <c r="E6" s="2" t="s">
        <v>393</v>
      </c>
      <c r="F6" s="15" t="n">
        <v>8</v>
      </c>
      <c r="G6" s="15" t="n">
        <v>8</v>
      </c>
      <c r="H6" s="15" t="n">
        <v>8</v>
      </c>
      <c r="I6" s="15" t="n">
        <v>4</v>
      </c>
      <c r="J6" s="15" t="n">
        <v>7</v>
      </c>
      <c r="K6" s="15" t="n">
        <v>8</v>
      </c>
      <c r="L6" s="15" t="n">
        <v>7</v>
      </c>
      <c r="M6" s="4" t="n">
        <f aca="false">ROUND(F6*Rubric!$B$4+G6*Rubric!$B$5+H6*Rubric!$B$6+I6*Rubric!$B$7+J6*Rubric!$B$8+K6*Rubric!$B$9+L6*Rubric!$B$10-IF(OR(H6&lt;Rubric!$B$12,K6&lt;Rubric!$B$12),Rubric!$B$13,0),2)</f>
        <v>7.35</v>
      </c>
      <c r="N6" s="14" t="n">
        <v>2</v>
      </c>
      <c r="O6" s="2" t="s">
        <v>394</v>
      </c>
    </row>
    <row r="7" customFormat="false" ht="23.85" hidden="false" customHeight="false" outlineLevel="0" collapsed="false">
      <c r="A7" s="2" t="s">
        <v>8</v>
      </c>
      <c r="B7" s="2" t="s">
        <v>9</v>
      </c>
      <c r="C7" s="14" t="n">
        <v>3</v>
      </c>
      <c r="D7" s="14" t="n">
        <v>3</v>
      </c>
      <c r="E7" s="2" t="s">
        <v>312</v>
      </c>
      <c r="F7" s="15" t="n">
        <v>9</v>
      </c>
      <c r="G7" s="15" t="n">
        <v>8</v>
      </c>
      <c r="H7" s="15" t="n">
        <v>8</v>
      </c>
      <c r="I7" s="15" t="n">
        <v>4</v>
      </c>
      <c r="J7" s="15" t="n">
        <v>7</v>
      </c>
      <c r="K7" s="15" t="n">
        <v>8</v>
      </c>
      <c r="L7" s="15" t="n">
        <v>7</v>
      </c>
      <c r="M7" s="4" t="n">
        <f aca="false">ROUND(F7*Rubric!$B$4+G7*Rubric!$B$5+H7*Rubric!$B$6+I7*Rubric!$B$7+J7*Rubric!$B$8+K7*Rubric!$B$9+L7*Rubric!$B$10-IF(OR(H7&lt;Rubric!$B$12,K7&lt;Rubric!$B$12),Rubric!$B$13,0),2)</f>
        <v>7.45</v>
      </c>
      <c r="N7" s="14" t="n">
        <v>2</v>
      </c>
      <c r="O7" s="2" t="s">
        <v>395</v>
      </c>
    </row>
    <row r="8" customFormat="false" ht="23.85" hidden="false" customHeight="false" outlineLevel="0" collapsed="false">
      <c r="A8" s="2" t="s">
        <v>8</v>
      </c>
      <c r="B8" s="2" t="s">
        <v>9</v>
      </c>
      <c r="C8" s="14" t="n">
        <v>0</v>
      </c>
      <c r="D8" s="14" t="n">
        <v>4</v>
      </c>
      <c r="E8" s="2" t="s">
        <v>396</v>
      </c>
      <c r="F8" s="15" t="n">
        <v>8</v>
      </c>
      <c r="G8" s="15" t="n">
        <v>7</v>
      </c>
      <c r="H8" s="15" t="n">
        <v>8</v>
      </c>
      <c r="I8" s="15" t="n">
        <v>3</v>
      </c>
      <c r="J8" s="15" t="n">
        <v>7</v>
      </c>
      <c r="K8" s="15" t="n">
        <v>8</v>
      </c>
      <c r="L8" s="15" t="n">
        <v>6</v>
      </c>
      <c r="M8" s="4" t="n">
        <f aca="false">ROUND(F8*Rubric!$B$4+G8*Rubric!$B$5+H8*Rubric!$B$6+I8*Rubric!$B$7+J8*Rubric!$B$8+K8*Rubric!$B$9+L8*Rubric!$B$10-IF(OR(H8&lt;Rubric!$B$12,K8&lt;Rubric!$B$12),Rubric!$B$13,0),2)</f>
        <v>6.95</v>
      </c>
      <c r="N8" s="14" t="n">
        <v>3</v>
      </c>
      <c r="O8" s="2" t="s">
        <v>390</v>
      </c>
    </row>
    <row r="9" customFormat="false" ht="23.85" hidden="false" customHeight="false" outlineLevel="0" collapsed="false">
      <c r="A9" s="2" t="s">
        <v>8</v>
      </c>
      <c r="B9" s="2" t="s">
        <v>9</v>
      </c>
      <c r="C9" s="14" t="n">
        <v>2</v>
      </c>
      <c r="D9" s="14" t="n">
        <v>4</v>
      </c>
      <c r="E9" s="2" t="s">
        <v>397</v>
      </c>
      <c r="F9" s="15" t="n">
        <v>8</v>
      </c>
      <c r="G9" s="15" t="n">
        <v>8</v>
      </c>
      <c r="H9" s="15" t="n">
        <v>8</v>
      </c>
      <c r="I9" s="15" t="n">
        <v>3</v>
      </c>
      <c r="J9" s="15" t="n">
        <v>7</v>
      </c>
      <c r="K9" s="15" t="n">
        <v>8</v>
      </c>
      <c r="L9" s="15" t="n">
        <v>7</v>
      </c>
      <c r="M9" s="4" t="n">
        <f aca="false">ROUND(F9*Rubric!$B$4+G9*Rubric!$B$5+H9*Rubric!$B$6+I9*Rubric!$B$7+J9*Rubric!$B$8+K9*Rubric!$B$9+L9*Rubric!$B$10-IF(OR(H9&lt;Rubric!$B$12,K9&lt;Rubric!$B$12),Rubric!$B$13,0),2)</f>
        <v>7.25</v>
      </c>
      <c r="N9" s="14" t="n">
        <v>3</v>
      </c>
      <c r="O9" s="2" t="s">
        <v>398</v>
      </c>
    </row>
    <row r="10" customFormat="false" ht="23.85" hidden="false" customHeight="false" outlineLevel="0" collapsed="false">
      <c r="A10" s="2" t="s">
        <v>8</v>
      </c>
      <c r="B10" s="2" t="s">
        <v>9</v>
      </c>
      <c r="C10" s="14" t="n">
        <v>3</v>
      </c>
      <c r="D10" s="14" t="n">
        <v>4</v>
      </c>
      <c r="E10" s="2" t="s">
        <v>313</v>
      </c>
      <c r="F10" s="15" t="n">
        <v>9</v>
      </c>
      <c r="G10" s="15" t="n">
        <v>8</v>
      </c>
      <c r="H10" s="15" t="n">
        <v>8</v>
      </c>
      <c r="I10" s="15" t="n">
        <v>3</v>
      </c>
      <c r="J10" s="15" t="n">
        <v>7</v>
      </c>
      <c r="K10" s="15" t="n">
        <v>8</v>
      </c>
      <c r="L10" s="15" t="n">
        <v>7</v>
      </c>
      <c r="M10" s="4" t="n">
        <f aca="false">ROUND(F10*Rubric!$B$4+G10*Rubric!$B$5+H10*Rubric!$B$6+I10*Rubric!$B$7+J10*Rubric!$B$8+K10*Rubric!$B$9+L10*Rubric!$B$10-IF(OR(H10&lt;Rubric!$B$12,K10&lt;Rubric!$B$12),Rubric!$B$13,0),2)</f>
        <v>7.35</v>
      </c>
      <c r="N10" s="14" t="n">
        <v>3</v>
      </c>
      <c r="O10" s="2" t="s">
        <v>395</v>
      </c>
    </row>
    <row r="11" customFormat="false" ht="23.85" hidden="false" customHeight="false" outlineLevel="0" collapsed="false">
      <c r="A11" s="2" t="s">
        <v>8</v>
      </c>
      <c r="B11" s="2" t="s">
        <v>9</v>
      </c>
      <c r="C11" s="14" t="n">
        <v>0</v>
      </c>
      <c r="D11" s="14" t="n">
        <v>5</v>
      </c>
      <c r="E11" s="2" t="s">
        <v>399</v>
      </c>
      <c r="F11" s="15" t="n">
        <v>8</v>
      </c>
      <c r="G11" s="15" t="n">
        <v>7</v>
      </c>
      <c r="H11" s="15" t="n">
        <v>8</v>
      </c>
      <c r="I11" s="15" t="n">
        <v>8</v>
      </c>
      <c r="J11" s="15" t="n">
        <v>7</v>
      </c>
      <c r="K11" s="15" t="n">
        <v>7</v>
      </c>
      <c r="L11" s="15" t="n">
        <v>7</v>
      </c>
      <c r="M11" s="4" t="n">
        <f aca="false">ROUND(F11*Rubric!$B$4+G11*Rubric!$B$5+H11*Rubric!$B$6+I11*Rubric!$B$7+J11*Rubric!$B$8+K11*Rubric!$B$9+L11*Rubric!$B$10-IF(OR(H11&lt;Rubric!$B$12,K11&lt;Rubric!$B$12),Rubric!$B$13,0),2)</f>
        <v>7.4</v>
      </c>
      <c r="N11" s="14" t="n">
        <v>4</v>
      </c>
      <c r="O11" s="2" t="s">
        <v>390</v>
      </c>
    </row>
    <row r="12" customFormat="false" ht="23.85" hidden="false" customHeight="false" outlineLevel="0" collapsed="false">
      <c r="A12" s="2" t="s">
        <v>8</v>
      </c>
      <c r="B12" s="2" t="s">
        <v>9</v>
      </c>
      <c r="C12" s="14" t="n">
        <v>3</v>
      </c>
      <c r="D12" s="14" t="n">
        <v>5</v>
      </c>
      <c r="E12" s="2" t="s">
        <v>314</v>
      </c>
      <c r="F12" s="15" t="n">
        <v>9</v>
      </c>
      <c r="G12" s="15" t="n">
        <v>7</v>
      </c>
      <c r="H12" s="15" t="n">
        <v>8</v>
      </c>
      <c r="I12" s="15" t="n">
        <v>8</v>
      </c>
      <c r="J12" s="15" t="n">
        <v>7</v>
      </c>
      <c r="K12" s="15" t="n">
        <v>8</v>
      </c>
      <c r="L12" s="15" t="n">
        <v>7</v>
      </c>
      <c r="M12" s="4" t="n">
        <f aca="false">ROUND(F12*Rubric!$B$4+G12*Rubric!$B$5+H12*Rubric!$B$6+I12*Rubric!$B$7+J12*Rubric!$B$8+K12*Rubric!$B$9+L12*Rubric!$B$10-IF(OR(H12&lt;Rubric!$B$12,K12&lt;Rubric!$B$12),Rubric!$B$13,0),2)</f>
        <v>7.65</v>
      </c>
      <c r="N12" s="14" t="n">
        <v>4</v>
      </c>
      <c r="O12" s="2" t="s">
        <v>400</v>
      </c>
    </row>
    <row r="13" customFormat="false" ht="23.85" hidden="false" customHeight="false" outlineLevel="0" collapsed="false">
      <c r="A13" s="2" t="s">
        <v>14</v>
      </c>
      <c r="B13" s="2" t="s">
        <v>15</v>
      </c>
      <c r="C13" s="14" t="n">
        <v>0</v>
      </c>
      <c r="D13" s="14" t="n">
        <v>1</v>
      </c>
      <c r="E13" s="2" t="s">
        <v>401</v>
      </c>
      <c r="F13" s="15" t="n">
        <v>8</v>
      </c>
      <c r="G13" s="15" t="n">
        <v>8</v>
      </c>
      <c r="H13" s="15" t="n">
        <v>6</v>
      </c>
      <c r="I13" s="15" t="n">
        <v>3</v>
      </c>
      <c r="J13" s="15" t="n">
        <v>9</v>
      </c>
      <c r="K13" s="15" t="n">
        <v>6</v>
      </c>
      <c r="L13" s="15" t="n">
        <v>6</v>
      </c>
      <c r="M13" s="4" t="n">
        <f aca="false">ROUND(F13*Rubric!$B$4+G13*Rubric!$B$5+H13*Rubric!$B$6+I13*Rubric!$B$7+J13*Rubric!$B$8+K13*Rubric!$B$9+L13*Rubric!$B$10-IF(OR(H13&lt;Rubric!$B$12,K13&lt;Rubric!$B$12),Rubric!$B$13,0),2)</f>
        <v>5.75</v>
      </c>
      <c r="N13" s="14" t="n">
        <v>10</v>
      </c>
      <c r="O13" s="2" t="s">
        <v>390</v>
      </c>
    </row>
    <row r="14" customFormat="false" ht="23.85" hidden="false" customHeight="false" outlineLevel="0" collapsed="false">
      <c r="A14" s="2" t="s">
        <v>14</v>
      </c>
      <c r="B14" s="2" t="s">
        <v>15</v>
      </c>
      <c r="C14" s="14" t="n">
        <v>1</v>
      </c>
      <c r="D14" s="14" t="n">
        <v>1</v>
      </c>
      <c r="E14" s="2" t="s">
        <v>402</v>
      </c>
      <c r="F14" s="15" t="n">
        <v>8</v>
      </c>
      <c r="G14" s="15" t="n">
        <v>7</v>
      </c>
      <c r="H14" s="15" t="n">
        <v>7</v>
      </c>
      <c r="I14" s="15" t="n">
        <v>3</v>
      </c>
      <c r="J14" s="15" t="n">
        <v>9</v>
      </c>
      <c r="K14" s="15" t="n">
        <v>7</v>
      </c>
      <c r="L14" s="15" t="n">
        <v>7</v>
      </c>
      <c r="M14" s="4" t="n">
        <f aca="false">ROUND(F14*Rubric!$B$4+G14*Rubric!$B$5+H14*Rubric!$B$6+I14*Rubric!$B$7+J14*Rubric!$B$8+K14*Rubric!$B$9+L14*Rubric!$B$10-IF(OR(H14&lt;Rubric!$B$12,K14&lt;Rubric!$B$12),Rubric!$B$13,0),2)</f>
        <v>7</v>
      </c>
      <c r="N14" s="14" t="n">
        <v>10</v>
      </c>
      <c r="O14" s="2" t="s">
        <v>403</v>
      </c>
    </row>
    <row r="15" customFormat="false" ht="23.85" hidden="false" customHeight="false" outlineLevel="0" collapsed="false">
      <c r="A15" s="2" t="s">
        <v>14</v>
      </c>
      <c r="B15" s="2" t="s">
        <v>15</v>
      </c>
      <c r="C15" s="14" t="n">
        <v>2</v>
      </c>
      <c r="D15" s="14" t="n">
        <v>1</v>
      </c>
      <c r="E15" s="2" t="s">
        <v>315</v>
      </c>
      <c r="F15" s="15" t="n">
        <v>9</v>
      </c>
      <c r="G15" s="15" t="n">
        <v>7</v>
      </c>
      <c r="H15" s="15" t="n">
        <v>7</v>
      </c>
      <c r="I15" s="15" t="n">
        <v>3</v>
      </c>
      <c r="J15" s="15" t="n">
        <v>9</v>
      </c>
      <c r="K15" s="15" t="n">
        <v>8</v>
      </c>
      <c r="L15" s="15" t="n">
        <v>8</v>
      </c>
      <c r="M15" s="4" t="n">
        <f aca="false">ROUND(F15*Rubric!$B$4+G15*Rubric!$B$5+H15*Rubric!$B$6+I15*Rubric!$B$7+J15*Rubric!$B$8+K15*Rubric!$B$9+L15*Rubric!$B$10-IF(OR(H15&lt;Rubric!$B$12,K15&lt;Rubric!$B$12),Rubric!$B$13,0),2)</f>
        <v>7.35</v>
      </c>
      <c r="N15" s="14" t="n">
        <v>10</v>
      </c>
      <c r="O15" s="2" t="s">
        <v>404</v>
      </c>
    </row>
    <row r="16" customFormat="false" ht="23.85" hidden="false" customHeight="false" outlineLevel="0" collapsed="false">
      <c r="A16" s="2" t="s">
        <v>14</v>
      </c>
      <c r="B16" s="2" t="s">
        <v>15</v>
      </c>
      <c r="C16" s="14" t="n">
        <v>0</v>
      </c>
      <c r="D16" s="14" t="n">
        <v>2</v>
      </c>
      <c r="E16" s="2" t="s">
        <v>316</v>
      </c>
      <c r="F16" s="15" t="n">
        <v>9</v>
      </c>
      <c r="G16" s="15" t="n">
        <v>9</v>
      </c>
      <c r="H16" s="15" t="n">
        <v>8</v>
      </c>
      <c r="I16" s="15" t="n">
        <v>3</v>
      </c>
      <c r="J16" s="15" t="n">
        <v>9</v>
      </c>
      <c r="K16" s="15" t="n">
        <v>9</v>
      </c>
      <c r="L16" s="15" t="n">
        <v>9</v>
      </c>
      <c r="M16" s="4" t="n">
        <f aca="false">ROUND(F16*Rubric!$B$4+G16*Rubric!$B$5+H16*Rubric!$B$6+I16*Rubric!$B$7+J16*Rubric!$B$8+K16*Rubric!$B$9+L16*Rubric!$B$10-IF(OR(H16&lt;Rubric!$B$12,K16&lt;Rubric!$B$12),Rubric!$B$13,0),2)</f>
        <v>8.2</v>
      </c>
      <c r="N16" s="14" t="n">
        <v>11</v>
      </c>
      <c r="O16" s="2" t="s">
        <v>390</v>
      </c>
    </row>
    <row r="17" customFormat="false" ht="23.85" hidden="false" customHeight="false" outlineLevel="0" collapsed="false">
      <c r="A17" s="2" t="s">
        <v>14</v>
      </c>
      <c r="B17" s="2" t="s">
        <v>15</v>
      </c>
      <c r="C17" s="14" t="n">
        <v>0</v>
      </c>
      <c r="D17" s="14" t="n">
        <v>3</v>
      </c>
      <c r="E17" s="2" t="s">
        <v>317</v>
      </c>
      <c r="F17" s="15" t="n">
        <v>9</v>
      </c>
      <c r="G17" s="15" t="n">
        <v>9</v>
      </c>
      <c r="H17" s="15" t="n">
        <v>7</v>
      </c>
      <c r="I17" s="15" t="n">
        <v>3</v>
      </c>
      <c r="J17" s="15" t="n">
        <v>8</v>
      </c>
      <c r="K17" s="15" t="n">
        <v>9</v>
      </c>
      <c r="L17" s="15" t="n">
        <v>9</v>
      </c>
      <c r="M17" s="4" t="n">
        <f aca="false">ROUND(F17*Rubric!$B$4+G17*Rubric!$B$5+H17*Rubric!$B$6+I17*Rubric!$B$7+J17*Rubric!$B$8+K17*Rubric!$B$9+L17*Rubric!$B$10-IF(OR(H17&lt;Rubric!$B$12,K17&lt;Rubric!$B$12),Rubric!$B$13,0),2)</f>
        <v>7.85</v>
      </c>
      <c r="N17" s="14" t="n">
        <v>12</v>
      </c>
      <c r="O17" s="2" t="s">
        <v>390</v>
      </c>
    </row>
    <row r="18" customFormat="false" ht="23.85" hidden="false" customHeight="false" outlineLevel="0" collapsed="false">
      <c r="A18" s="2" t="s">
        <v>14</v>
      </c>
      <c r="B18" s="2" t="s">
        <v>15</v>
      </c>
      <c r="C18" s="14" t="n">
        <v>0</v>
      </c>
      <c r="D18" s="14" t="n">
        <v>4</v>
      </c>
      <c r="E18" s="2" t="s">
        <v>405</v>
      </c>
      <c r="F18" s="15" t="n">
        <v>8</v>
      </c>
      <c r="G18" s="15" t="n">
        <v>8</v>
      </c>
      <c r="H18" s="15" t="n">
        <v>8</v>
      </c>
      <c r="I18" s="15" t="n">
        <v>3</v>
      </c>
      <c r="J18" s="15" t="n">
        <v>8</v>
      </c>
      <c r="K18" s="15" t="n">
        <v>8</v>
      </c>
      <c r="L18" s="15" t="n">
        <v>8</v>
      </c>
      <c r="M18" s="4" t="n">
        <f aca="false">ROUND(F18*Rubric!$B$4+G18*Rubric!$B$5+H18*Rubric!$B$6+I18*Rubric!$B$7+J18*Rubric!$B$8+K18*Rubric!$B$9+L18*Rubric!$B$10-IF(OR(H18&lt;Rubric!$B$12,K18&lt;Rubric!$B$12),Rubric!$B$13,0),2)</f>
        <v>7.5</v>
      </c>
      <c r="N18" s="14" t="n">
        <v>13</v>
      </c>
      <c r="O18" s="2" t="s">
        <v>390</v>
      </c>
    </row>
    <row r="19" customFormat="false" ht="23.85" hidden="false" customHeight="false" outlineLevel="0" collapsed="false">
      <c r="A19" s="2" t="s">
        <v>14</v>
      </c>
      <c r="B19" s="2" t="s">
        <v>15</v>
      </c>
      <c r="C19" s="14" t="n">
        <v>3</v>
      </c>
      <c r="D19" s="14" t="n">
        <v>4</v>
      </c>
      <c r="E19" s="2" t="s">
        <v>318</v>
      </c>
      <c r="F19" s="15" t="n">
        <v>9</v>
      </c>
      <c r="G19" s="15" t="n">
        <v>8</v>
      </c>
      <c r="H19" s="15" t="n">
        <v>8</v>
      </c>
      <c r="I19" s="15" t="n">
        <v>3</v>
      </c>
      <c r="J19" s="15" t="n">
        <v>8</v>
      </c>
      <c r="K19" s="15" t="n">
        <v>8</v>
      </c>
      <c r="L19" s="15" t="n">
        <v>8</v>
      </c>
      <c r="M19" s="4" t="n">
        <f aca="false">ROUND(F19*Rubric!$B$4+G19*Rubric!$B$5+H19*Rubric!$B$6+I19*Rubric!$B$7+J19*Rubric!$B$8+K19*Rubric!$B$9+L19*Rubric!$B$10-IF(OR(H19&lt;Rubric!$B$12,K19&lt;Rubric!$B$12),Rubric!$B$13,0),2)</f>
        <v>7.6</v>
      </c>
      <c r="N19" s="14" t="n">
        <v>13</v>
      </c>
      <c r="O19" s="2" t="s">
        <v>395</v>
      </c>
    </row>
    <row r="20" customFormat="false" ht="23.85" hidden="false" customHeight="false" outlineLevel="0" collapsed="false">
      <c r="A20" s="2" t="s">
        <v>14</v>
      </c>
      <c r="B20" s="2" t="s">
        <v>15</v>
      </c>
      <c r="C20" s="14" t="n">
        <v>0</v>
      </c>
      <c r="D20" s="14" t="n">
        <v>5</v>
      </c>
      <c r="E20" s="2" t="s">
        <v>319</v>
      </c>
      <c r="F20" s="15" t="n">
        <v>8</v>
      </c>
      <c r="G20" s="15" t="n">
        <v>8</v>
      </c>
      <c r="H20" s="15" t="n">
        <v>7</v>
      </c>
      <c r="I20" s="15" t="n">
        <v>9</v>
      </c>
      <c r="J20" s="15" t="n">
        <v>7</v>
      </c>
      <c r="K20" s="15" t="n">
        <v>8</v>
      </c>
      <c r="L20" s="15" t="n">
        <v>9</v>
      </c>
      <c r="M20" s="4" t="n">
        <f aca="false">ROUND(F20*Rubric!$B$4+G20*Rubric!$B$5+H20*Rubric!$B$6+I20*Rubric!$B$7+J20*Rubric!$B$8+K20*Rubric!$B$9+L20*Rubric!$B$10-IF(OR(H20&lt;Rubric!$B$12,K20&lt;Rubric!$B$12),Rubric!$B$13,0),2)</f>
        <v>7.85</v>
      </c>
      <c r="N20" s="14" t="n">
        <v>14</v>
      </c>
      <c r="O20" s="2" t="s">
        <v>390</v>
      </c>
    </row>
    <row r="21" customFormat="false" ht="23.85" hidden="false" customHeight="false" outlineLevel="0" collapsed="false">
      <c r="A21" s="2" t="s">
        <v>19</v>
      </c>
      <c r="B21" s="2" t="s">
        <v>20</v>
      </c>
      <c r="C21" s="14" t="n">
        <v>0</v>
      </c>
      <c r="D21" s="14" t="n">
        <v>1</v>
      </c>
      <c r="E21" s="2" t="s">
        <v>406</v>
      </c>
      <c r="F21" s="15" t="n">
        <v>8</v>
      </c>
      <c r="G21" s="15" t="n">
        <v>6</v>
      </c>
      <c r="H21" s="15" t="n">
        <v>9</v>
      </c>
      <c r="I21" s="15" t="n">
        <v>2</v>
      </c>
      <c r="J21" s="15" t="n">
        <v>9</v>
      </c>
      <c r="K21" s="15" t="n">
        <v>8</v>
      </c>
      <c r="L21" s="15" t="n">
        <v>5</v>
      </c>
      <c r="M21" s="4" t="n">
        <f aca="false">ROUND(F21*Rubric!$B$4+G21*Rubric!$B$5+H21*Rubric!$B$6+I21*Rubric!$B$7+J21*Rubric!$B$8+K21*Rubric!$B$9+L21*Rubric!$B$10-IF(OR(H21&lt;Rubric!$B$12,K21&lt;Rubric!$B$12),Rubric!$B$13,0),2)</f>
        <v>7.05</v>
      </c>
      <c r="N21" s="14" t="n">
        <v>20</v>
      </c>
      <c r="O21" s="2" t="s">
        <v>390</v>
      </c>
    </row>
    <row r="22" customFormat="false" ht="23.85" hidden="false" customHeight="false" outlineLevel="0" collapsed="false">
      <c r="A22" s="2" t="s">
        <v>19</v>
      </c>
      <c r="B22" s="2" t="s">
        <v>20</v>
      </c>
      <c r="C22" s="14" t="n">
        <v>2</v>
      </c>
      <c r="D22" s="14" t="n">
        <v>1</v>
      </c>
      <c r="E22" s="2" t="s">
        <v>320</v>
      </c>
      <c r="F22" s="15" t="n">
        <v>8</v>
      </c>
      <c r="G22" s="15" t="n">
        <v>7</v>
      </c>
      <c r="H22" s="15" t="n">
        <v>9</v>
      </c>
      <c r="I22" s="15" t="n">
        <v>2</v>
      </c>
      <c r="J22" s="15" t="n">
        <v>9</v>
      </c>
      <c r="K22" s="15" t="n">
        <v>8</v>
      </c>
      <c r="L22" s="15" t="n">
        <v>6</v>
      </c>
      <c r="M22" s="4" t="n">
        <f aca="false">ROUND(F22*Rubric!$B$4+G22*Rubric!$B$5+H22*Rubric!$B$6+I22*Rubric!$B$7+J22*Rubric!$B$8+K22*Rubric!$B$9+L22*Rubric!$B$10-IF(OR(H22&lt;Rubric!$B$12,K22&lt;Rubric!$B$12),Rubric!$B$13,0),2)</f>
        <v>7.35</v>
      </c>
      <c r="N22" s="14" t="n">
        <v>20</v>
      </c>
      <c r="O22" s="2" t="s">
        <v>407</v>
      </c>
    </row>
    <row r="23" customFormat="false" ht="23.85" hidden="false" customHeight="false" outlineLevel="0" collapsed="false">
      <c r="A23" s="2" t="s">
        <v>19</v>
      </c>
      <c r="B23" s="2" t="s">
        <v>20</v>
      </c>
      <c r="C23" s="14" t="n">
        <v>0</v>
      </c>
      <c r="D23" s="14" t="n">
        <v>2</v>
      </c>
      <c r="E23" s="2" t="s">
        <v>408</v>
      </c>
      <c r="F23" s="15" t="n">
        <v>8</v>
      </c>
      <c r="G23" s="15" t="n">
        <v>7</v>
      </c>
      <c r="H23" s="15" t="n">
        <v>8</v>
      </c>
      <c r="I23" s="15" t="n">
        <v>3</v>
      </c>
      <c r="J23" s="15" t="n">
        <v>7</v>
      </c>
      <c r="K23" s="15" t="n">
        <v>8</v>
      </c>
      <c r="L23" s="15" t="n">
        <v>6</v>
      </c>
      <c r="M23" s="4" t="n">
        <f aca="false">ROUND(F23*Rubric!$B$4+G23*Rubric!$B$5+H23*Rubric!$B$6+I23*Rubric!$B$7+J23*Rubric!$B$8+K23*Rubric!$B$9+L23*Rubric!$B$10-IF(OR(H23&lt;Rubric!$B$12,K23&lt;Rubric!$B$12),Rubric!$B$13,0),2)</f>
        <v>6.95</v>
      </c>
      <c r="N23" s="14" t="n">
        <v>21</v>
      </c>
      <c r="O23" s="2" t="s">
        <v>390</v>
      </c>
    </row>
    <row r="24" customFormat="false" ht="23.85" hidden="false" customHeight="false" outlineLevel="0" collapsed="false">
      <c r="A24" s="2" t="s">
        <v>19</v>
      </c>
      <c r="B24" s="2" t="s">
        <v>20</v>
      </c>
      <c r="C24" s="14" t="n">
        <v>2</v>
      </c>
      <c r="D24" s="14" t="n">
        <v>2</v>
      </c>
      <c r="E24" s="2" t="s">
        <v>321</v>
      </c>
      <c r="F24" s="15" t="n">
        <v>8</v>
      </c>
      <c r="G24" s="15" t="n">
        <v>8</v>
      </c>
      <c r="H24" s="15" t="n">
        <v>8</v>
      </c>
      <c r="I24" s="15" t="n">
        <v>3</v>
      </c>
      <c r="J24" s="15" t="n">
        <v>8</v>
      </c>
      <c r="K24" s="15" t="n">
        <v>8</v>
      </c>
      <c r="L24" s="15" t="n">
        <v>7</v>
      </c>
      <c r="M24" s="4" t="n">
        <f aca="false">ROUND(F24*Rubric!$B$4+G24*Rubric!$B$5+H24*Rubric!$B$6+I24*Rubric!$B$7+J24*Rubric!$B$8+K24*Rubric!$B$9+L24*Rubric!$B$10-IF(OR(H24&lt;Rubric!$B$12,K24&lt;Rubric!$B$12),Rubric!$B$13,0),2)</f>
        <v>7.4</v>
      </c>
      <c r="N24" s="14" t="n">
        <v>21</v>
      </c>
      <c r="O24" s="2" t="s">
        <v>409</v>
      </c>
    </row>
    <row r="25" customFormat="false" ht="23.85" hidden="false" customHeight="false" outlineLevel="0" collapsed="false">
      <c r="A25" s="2" t="s">
        <v>19</v>
      </c>
      <c r="B25" s="2" t="s">
        <v>20</v>
      </c>
      <c r="C25" s="14" t="n">
        <v>0</v>
      </c>
      <c r="D25" s="14" t="n">
        <v>3</v>
      </c>
      <c r="E25" s="2" t="s">
        <v>410</v>
      </c>
      <c r="F25" s="15" t="n">
        <v>8</v>
      </c>
      <c r="G25" s="15" t="n">
        <v>7</v>
      </c>
      <c r="H25" s="15" t="n">
        <v>8</v>
      </c>
      <c r="I25" s="15" t="n">
        <v>2</v>
      </c>
      <c r="J25" s="15" t="n">
        <v>7</v>
      </c>
      <c r="K25" s="15" t="n">
        <v>8</v>
      </c>
      <c r="L25" s="15" t="n">
        <v>6</v>
      </c>
      <c r="M25" s="4" t="n">
        <f aca="false">ROUND(F25*Rubric!$B$4+G25*Rubric!$B$5+H25*Rubric!$B$6+I25*Rubric!$B$7+J25*Rubric!$B$8+K25*Rubric!$B$9+L25*Rubric!$B$10-IF(OR(H25&lt;Rubric!$B$12,K25&lt;Rubric!$B$12),Rubric!$B$13,0),2)</f>
        <v>6.85</v>
      </c>
      <c r="N25" s="14" t="n">
        <v>22</v>
      </c>
      <c r="O25" s="2" t="s">
        <v>390</v>
      </c>
    </row>
    <row r="26" customFormat="false" ht="23.85" hidden="false" customHeight="false" outlineLevel="0" collapsed="false">
      <c r="A26" s="2" t="s">
        <v>19</v>
      </c>
      <c r="B26" s="2" t="s">
        <v>20</v>
      </c>
      <c r="C26" s="14" t="n">
        <v>1</v>
      </c>
      <c r="D26" s="14" t="n">
        <v>3</v>
      </c>
      <c r="E26" s="2" t="s">
        <v>411</v>
      </c>
      <c r="F26" s="15" t="n">
        <v>8</v>
      </c>
      <c r="G26" s="15" t="n">
        <v>7</v>
      </c>
      <c r="H26" s="15" t="n">
        <v>8</v>
      </c>
      <c r="I26" s="15" t="n">
        <v>2</v>
      </c>
      <c r="J26" s="15" t="n">
        <v>8</v>
      </c>
      <c r="K26" s="15" t="n">
        <v>8</v>
      </c>
      <c r="L26" s="15" t="n">
        <v>7</v>
      </c>
      <c r="M26" s="4" t="n">
        <f aca="false">ROUND(F26*Rubric!$B$4+G26*Rubric!$B$5+H26*Rubric!$B$6+I26*Rubric!$B$7+J26*Rubric!$B$8+K26*Rubric!$B$9+L26*Rubric!$B$10-IF(OR(H26&lt;Rubric!$B$12,K26&lt;Rubric!$B$12),Rubric!$B$13,0),2)</f>
        <v>7.1</v>
      </c>
      <c r="N26" s="14" t="n">
        <v>22</v>
      </c>
      <c r="O26" s="2" t="s">
        <v>412</v>
      </c>
    </row>
    <row r="27" customFormat="false" ht="23.85" hidden="false" customHeight="false" outlineLevel="0" collapsed="false">
      <c r="A27" s="2" t="s">
        <v>19</v>
      </c>
      <c r="B27" s="2" t="s">
        <v>20</v>
      </c>
      <c r="C27" s="14" t="n">
        <v>2</v>
      </c>
      <c r="D27" s="14" t="n">
        <v>3</v>
      </c>
      <c r="E27" s="2" t="s">
        <v>322</v>
      </c>
      <c r="F27" s="15" t="n">
        <v>8</v>
      </c>
      <c r="G27" s="15" t="n">
        <v>8</v>
      </c>
      <c r="H27" s="15" t="n">
        <v>8</v>
      </c>
      <c r="I27" s="15" t="n">
        <v>2</v>
      </c>
      <c r="J27" s="15" t="n">
        <v>8</v>
      </c>
      <c r="K27" s="15" t="n">
        <v>8</v>
      </c>
      <c r="L27" s="15" t="n">
        <v>8</v>
      </c>
      <c r="M27" s="4" t="n">
        <f aca="false">ROUND(F27*Rubric!$B$4+G27*Rubric!$B$5+H27*Rubric!$B$6+I27*Rubric!$B$7+J27*Rubric!$B$8+K27*Rubric!$B$9+L27*Rubric!$B$10-IF(OR(H27&lt;Rubric!$B$12,K27&lt;Rubric!$B$12),Rubric!$B$13,0),2)</f>
        <v>7.4</v>
      </c>
      <c r="N27" s="14" t="n">
        <v>22</v>
      </c>
      <c r="O27" s="2" t="s">
        <v>413</v>
      </c>
    </row>
    <row r="28" customFormat="false" ht="23.85" hidden="false" customHeight="false" outlineLevel="0" collapsed="false">
      <c r="A28" s="2" t="s">
        <v>19</v>
      </c>
      <c r="B28" s="2" t="s">
        <v>20</v>
      </c>
      <c r="C28" s="14" t="n">
        <v>0</v>
      </c>
      <c r="D28" s="14" t="n">
        <v>4</v>
      </c>
      <c r="E28" s="2" t="s">
        <v>414</v>
      </c>
      <c r="F28" s="15" t="n">
        <v>7</v>
      </c>
      <c r="G28" s="15" t="n">
        <v>6</v>
      </c>
      <c r="H28" s="15" t="n">
        <v>7</v>
      </c>
      <c r="I28" s="15" t="n">
        <v>2</v>
      </c>
      <c r="J28" s="15" t="n">
        <v>7</v>
      </c>
      <c r="K28" s="15" t="n">
        <v>7</v>
      </c>
      <c r="L28" s="15" t="n">
        <v>5</v>
      </c>
      <c r="M28" s="4" t="n">
        <f aca="false">ROUND(F28*Rubric!$B$4+G28*Rubric!$B$5+H28*Rubric!$B$6+I28*Rubric!$B$7+J28*Rubric!$B$8+K28*Rubric!$B$9+L28*Rubric!$B$10-IF(OR(H28&lt;Rubric!$B$12,K28&lt;Rubric!$B$12),Rubric!$B$13,0),2)</f>
        <v>6.1</v>
      </c>
      <c r="N28" s="14" t="n">
        <v>23</v>
      </c>
      <c r="O28" s="2" t="s">
        <v>390</v>
      </c>
    </row>
    <row r="29" customFormat="false" ht="23.85" hidden="false" customHeight="false" outlineLevel="0" collapsed="false">
      <c r="A29" s="2" t="s">
        <v>19</v>
      </c>
      <c r="B29" s="2" t="s">
        <v>20</v>
      </c>
      <c r="C29" s="14" t="n">
        <v>1</v>
      </c>
      <c r="D29" s="14" t="n">
        <v>4</v>
      </c>
      <c r="E29" s="2" t="s">
        <v>415</v>
      </c>
      <c r="F29" s="15" t="n">
        <v>7</v>
      </c>
      <c r="G29" s="15" t="n">
        <v>7</v>
      </c>
      <c r="H29" s="15" t="n">
        <v>7</v>
      </c>
      <c r="I29" s="15" t="n">
        <v>3</v>
      </c>
      <c r="J29" s="15" t="n">
        <v>7</v>
      </c>
      <c r="K29" s="15" t="n">
        <v>7</v>
      </c>
      <c r="L29" s="15" t="n">
        <v>7</v>
      </c>
      <c r="M29" s="4" t="n">
        <f aca="false">ROUND(F29*Rubric!$B$4+G29*Rubric!$B$5+H29*Rubric!$B$6+I29*Rubric!$B$7+J29*Rubric!$B$8+K29*Rubric!$B$9+L29*Rubric!$B$10-IF(OR(H29&lt;Rubric!$B$12,K29&lt;Rubric!$B$12),Rubric!$B$13,0),2)</f>
        <v>6.6</v>
      </c>
      <c r="N29" s="14" t="n">
        <v>23</v>
      </c>
      <c r="O29" s="2" t="s">
        <v>416</v>
      </c>
    </row>
    <row r="30" customFormat="false" ht="23.85" hidden="false" customHeight="false" outlineLevel="0" collapsed="false">
      <c r="A30" s="2" t="s">
        <v>19</v>
      </c>
      <c r="B30" s="2" t="s">
        <v>20</v>
      </c>
      <c r="C30" s="14" t="n">
        <v>2</v>
      </c>
      <c r="D30" s="14" t="n">
        <v>4</v>
      </c>
      <c r="E30" s="2" t="s">
        <v>417</v>
      </c>
      <c r="F30" s="15" t="n">
        <v>6</v>
      </c>
      <c r="G30" s="15" t="n">
        <v>7</v>
      </c>
      <c r="H30" s="15" t="n">
        <v>7</v>
      </c>
      <c r="I30" s="15" t="n">
        <v>6</v>
      </c>
      <c r="J30" s="15" t="n">
        <v>7</v>
      </c>
      <c r="K30" s="15" t="n">
        <v>7</v>
      </c>
      <c r="L30" s="15" t="n">
        <v>7</v>
      </c>
      <c r="M30" s="4" t="n">
        <f aca="false">ROUND(F30*Rubric!$B$4+G30*Rubric!$B$5+H30*Rubric!$B$6+I30*Rubric!$B$7+J30*Rubric!$B$8+K30*Rubric!$B$9+L30*Rubric!$B$10-IF(OR(H30&lt;Rubric!$B$12,K30&lt;Rubric!$B$12),Rubric!$B$13,0),2)</f>
        <v>6.8</v>
      </c>
      <c r="N30" s="14" t="n">
        <v>23</v>
      </c>
      <c r="O30" s="2" t="s">
        <v>418</v>
      </c>
    </row>
    <row r="31" customFormat="false" ht="23.85" hidden="false" customHeight="false" outlineLevel="0" collapsed="false">
      <c r="A31" s="2" t="s">
        <v>19</v>
      </c>
      <c r="B31" s="2" t="s">
        <v>20</v>
      </c>
      <c r="C31" s="14" t="n">
        <v>3</v>
      </c>
      <c r="D31" s="14" t="n">
        <v>4</v>
      </c>
      <c r="E31" s="2" t="s">
        <v>323</v>
      </c>
      <c r="F31" s="15" t="n">
        <v>9</v>
      </c>
      <c r="G31" s="15" t="n">
        <v>8</v>
      </c>
      <c r="H31" s="15" t="n">
        <v>8</v>
      </c>
      <c r="I31" s="15" t="n">
        <v>2</v>
      </c>
      <c r="J31" s="15" t="n">
        <v>7</v>
      </c>
      <c r="K31" s="15" t="n">
        <v>8</v>
      </c>
      <c r="L31" s="15" t="n">
        <v>8</v>
      </c>
      <c r="M31" s="4" t="n">
        <f aca="false">ROUND(F31*Rubric!$B$4+G31*Rubric!$B$5+H31*Rubric!$B$6+I31*Rubric!$B$7+J31*Rubric!$B$8+K31*Rubric!$B$9+L31*Rubric!$B$10-IF(OR(H31&lt;Rubric!$B$12,K31&lt;Rubric!$B$12),Rubric!$B$13,0),2)</f>
        <v>7.35</v>
      </c>
      <c r="N31" s="14" t="n">
        <v>23</v>
      </c>
      <c r="O31" s="2" t="s">
        <v>419</v>
      </c>
    </row>
    <row r="32" customFormat="false" ht="23.85" hidden="false" customHeight="false" outlineLevel="0" collapsed="false">
      <c r="A32" s="2" t="s">
        <v>19</v>
      </c>
      <c r="B32" s="2" t="s">
        <v>20</v>
      </c>
      <c r="C32" s="14" t="n">
        <v>0</v>
      </c>
      <c r="D32" s="14" t="n">
        <v>5</v>
      </c>
      <c r="E32" s="2" t="s">
        <v>420</v>
      </c>
      <c r="F32" s="15" t="n">
        <v>7</v>
      </c>
      <c r="G32" s="15" t="n">
        <v>7</v>
      </c>
      <c r="H32" s="15" t="n">
        <v>7</v>
      </c>
      <c r="I32" s="15" t="n">
        <v>7</v>
      </c>
      <c r="J32" s="15" t="n">
        <v>6</v>
      </c>
      <c r="K32" s="15" t="n">
        <v>6</v>
      </c>
      <c r="L32" s="15" t="n">
        <v>7</v>
      </c>
      <c r="M32" s="4" t="n">
        <f aca="false">ROUND(F32*Rubric!$B$4+G32*Rubric!$B$5+H32*Rubric!$B$6+I32*Rubric!$B$7+J32*Rubric!$B$8+K32*Rubric!$B$9+L32*Rubric!$B$10-IF(OR(H32&lt;Rubric!$B$12,K32&lt;Rubric!$B$12),Rubric!$B$13,0),2)</f>
        <v>5.7</v>
      </c>
      <c r="N32" s="14" t="n">
        <v>24</v>
      </c>
      <c r="O32" s="2" t="s">
        <v>390</v>
      </c>
    </row>
    <row r="33" customFormat="false" ht="23.85" hidden="false" customHeight="false" outlineLevel="0" collapsed="false">
      <c r="A33" s="2" t="s">
        <v>19</v>
      </c>
      <c r="B33" s="2" t="s">
        <v>20</v>
      </c>
      <c r="C33" s="14" t="n">
        <v>1</v>
      </c>
      <c r="D33" s="14" t="n">
        <v>5</v>
      </c>
      <c r="E33" s="2" t="s">
        <v>421</v>
      </c>
      <c r="F33" s="15" t="n">
        <v>9</v>
      </c>
      <c r="G33" s="15" t="n">
        <v>7</v>
      </c>
      <c r="H33" s="15" t="n">
        <v>8</v>
      </c>
      <c r="I33" s="15" t="n">
        <v>4</v>
      </c>
      <c r="J33" s="15" t="n">
        <v>6</v>
      </c>
      <c r="K33" s="15" t="n">
        <v>8</v>
      </c>
      <c r="L33" s="15" t="n">
        <v>8</v>
      </c>
      <c r="M33" s="4" t="n">
        <f aca="false">ROUND(F33*Rubric!$B$4+G33*Rubric!$B$5+H33*Rubric!$B$6+I33*Rubric!$B$7+J33*Rubric!$B$8+K33*Rubric!$B$9+L33*Rubric!$B$10-IF(OR(H33&lt;Rubric!$B$12,K33&lt;Rubric!$B$12),Rubric!$B$13,0),2)</f>
        <v>7.2</v>
      </c>
      <c r="N33" s="14" t="n">
        <v>24</v>
      </c>
      <c r="O33" s="2" t="s">
        <v>422</v>
      </c>
    </row>
    <row r="34" customFormat="false" ht="23.85" hidden="false" customHeight="false" outlineLevel="0" collapsed="false">
      <c r="A34" s="2" t="s">
        <v>19</v>
      </c>
      <c r="B34" s="2" t="s">
        <v>20</v>
      </c>
      <c r="C34" s="14" t="n">
        <v>2</v>
      </c>
      <c r="D34" s="14" t="n">
        <v>5</v>
      </c>
      <c r="E34" s="2" t="s">
        <v>324</v>
      </c>
      <c r="F34" s="15" t="n">
        <v>9</v>
      </c>
      <c r="G34" s="15" t="n">
        <v>7</v>
      </c>
      <c r="H34" s="15" t="n">
        <v>8</v>
      </c>
      <c r="I34" s="15" t="n">
        <v>4</v>
      </c>
      <c r="J34" s="15" t="n">
        <v>7</v>
      </c>
      <c r="K34" s="15" t="n">
        <v>8</v>
      </c>
      <c r="L34" s="15" t="n">
        <v>8</v>
      </c>
      <c r="M34" s="4" t="n">
        <f aca="false">ROUND(F34*Rubric!$B$4+G34*Rubric!$B$5+H34*Rubric!$B$6+I34*Rubric!$B$7+J34*Rubric!$B$8+K34*Rubric!$B$9+L34*Rubric!$B$10-IF(OR(H34&lt;Rubric!$B$12,K34&lt;Rubric!$B$12),Rubric!$B$13,0),2)</f>
        <v>7.35</v>
      </c>
      <c r="N34" s="14" t="n">
        <v>24</v>
      </c>
      <c r="O34" s="2" t="s">
        <v>423</v>
      </c>
    </row>
    <row r="35" customFormat="false" ht="23.85" hidden="false" customHeight="false" outlineLevel="0" collapsed="false">
      <c r="A35" s="2" t="s">
        <v>24</v>
      </c>
      <c r="B35" s="2" t="s">
        <v>25</v>
      </c>
      <c r="C35" s="14" t="n">
        <v>0</v>
      </c>
      <c r="D35" s="14" t="n">
        <v>1</v>
      </c>
      <c r="E35" s="2" t="s">
        <v>325</v>
      </c>
      <c r="F35" s="15" t="n">
        <v>8</v>
      </c>
      <c r="G35" s="15" t="n">
        <v>8</v>
      </c>
      <c r="H35" s="15" t="n">
        <v>8</v>
      </c>
      <c r="I35" s="15" t="n">
        <v>3</v>
      </c>
      <c r="J35" s="15" t="n">
        <v>9</v>
      </c>
      <c r="K35" s="15" t="n">
        <v>8</v>
      </c>
      <c r="L35" s="15" t="n">
        <v>7</v>
      </c>
      <c r="M35" s="4" t="n">
        <f aca="false">ROUND(F35*Rubric!$B$4+G35*Rubric!$B$5+H35*Rubric!$B$6+I35*Rubric!$B$7+J35*Rubric!$B$8+K35*Rubric!$B$9+L35*Rubric!$B$10-IF(OR(H35&lt;Rubric!$B$12,K35&lt;Rubric!$B$12),Rubric!$B$13,0),2)</f>
        <v>7.55</v>
      </c>
      <c r="N35" s="14" t="n">
        <v>30</v>
      </c>
      <c r="O35" s="2" t="s">
        <v>390</v>
      </c>
    </row>
    <row r="36" customFormat="false" ht="23.85" hidden="false" customHeight="false" outlineLevel="0" collapsed="false">
      <c r="A36" s="2" t="s">
        <v>24</v>
      </c>
      <c r="B36" s="2" t="s">
        <v>25</v>
      </c>
      <c r="C36" s="14" t="n">
        <v>0</v>
      </c>
      <c r="D36" s="14" t="n">
        <v>2</v>
      </c>
      <c r="E36" s="2" t="s">
        <v>326</v>
      </c>
      <c r="F36" s="15" t="n">
        <v>8</v>
      </c>
      <c r="G36" s="15" t="n">
        <v>9</v>
      </c>
      <c r="H36" s="15" t="n">
        <v>7</v>
      </c>
      <c r="I36" s="15" t="n">
        <v>3</v>
      </c>
      <c r="J36" s="15" t="n">
        <v>9</v>
      </c>
      <c r="K36" s="15" t="n">
        <v>8</v>
      </c>
      <c r="L36" s="15" t="n">
        <v>8</v>
      </c>
      <c r="M36" s="4" t="n">
        <f aca="false">ROUND(F36*Rubric!$B$4+G36*Rubric!$B$5+H36*Rubric!$B$6+I36*Rubric!$B$7+J36*Rubric!$B$8+K36*Rubric!$B$9+L36*Rubric!$B$10-IF(OR(H36&lt;Rubric!$B$12,K36&lt;Rubric!$B$12),Rubric!$B$13,0),2)</f>
        <v>7.65</v>
      </c>
      <c r="N36" s="14" t="n">
        <v>31</v>
      </c>
      <c r="O36" s="2" t="s">
        <v>390</v>
      </c>
    </row>
    <row r="37" customFormat="false" ht="23.85" hidden="false" customHeight="false" outlineLevel="0" collapsed="false">
      <c r="A37" s="2" t="s">
        <v>24</v>
      </c>
      <c r="B37" s="2" t="s">
        <v>25</v>
      </c>
      <c r="C37" s="14" t="n">
        <v>0</v>
      </c>
      <c r="D37" s="14" t="n">
        <v>3</v>
      </c>
      <c r="E37" s="2" t="s">
        <v>327</v>
      </c>
      <c r="F37" s="15" t="n">
        <v>9</v>
      </c>
      <c r="G37" s="15" t="n">
        <v>9</v>
      </c>
      <c r="H37" s="15" t="n">
        <v>8</v>
      </c>
      <c r="I37" s="15" t="n">
        <v>3</v>
      </c>
      <c r="J37" s="15" t="n">
        <v>9</v>
      </c>
      <c r="K37" s="15" t="n">
        <v>9</v>
      </c>
      <c r="L37" s="15" t="n">
        <v>8</v>
      </c>
      <c r="M37" s="4" t="n">
        <f aca="false">ROUND(F37*Rubric!$B$4+G37*Rubric!$B$5+H37*Rubric!$B$6+I37*Rubric!$B$7+J37*Rubric!$B$8+K37*Rubric!$B$9+L37*Rubric!$B$10-IF(OR(H37&lt;Rubric!$B$12,K37&lt;Rubric!$B$12),Rubric!$B$13,0),2)</f>
        <v>8.1</v>
      </c>
      <c r="N37" s="14" t="n">
        <v>32</v>
      </c>
      <c r="O37" s="2" t="s">
        <v>390</v>
      </c>
    </row>
    <row r="38" customFormat="false" ht="23.85" hidden="false" customHeight="false" outlineLevel="0" collapsed="false">
      <c r="A38" s="2" t="s">
        <v>24</v>
      </c>
      <c r="B38" s="2" t="s">
        <v>25</v>
      </c>
      <c r="C38" s="14" t="n">
        <v>0</v>
      </c>
      <c r="D38" s="14" t="n">
        <v>4</v>
      </c>
      <c r="E38" s="2" t="s">
        <v>424</v>
      </c>
      <c r="F38" s="15" t="n">
        <v>8</v>
      </c>
      <c r="G38" s="15" t="n">
        <v>7</v>
      </c>
      <c r="H38" s="15" t="n">
        <v>8</v>
      </c>
      <c r="I38" s="15" t="n">
        <v>3</v>
      </c>
      <c r="J38" s="15" t="n">
        <v>8</v>
      </c>
      <c r="K38" s="15" t="n">
        <v>8</v>
      </c>
      <c r="L38" s="15" t="n">
        <v>7</v>
      </c>
      <c r="M38" s="4" t="n">
        <f aca="false">ROUND(F38*Rubric!$B$4+G38*Rubric!$B$5+H38*Rubric!$B$6+I38*Rubric!$B$7+J38*Rubric!$B$8+K38*Rubric!$B$9+L38*Rubric!$B$10-IF(OR(H38&lt;Rubric!$B$12,K38&lt;Rubric!$B$12),Rubric!$B$13,0),2)</f>
        <v>7.2</v>
      </c>
      <c r="N38" s="14" t="n">
        <v>33</v>
      </c>
      <c r="O38" s="2" t="s">
        <v>390</v>
      </c>
    </row>
    <row r="39" customFormat="false" ht="23.85" hidden="false" customHeight="false" outlineLevel="0" collapsed="false">
      <c r="A39" s="2" t="s">
        <v>24</v>
      </c>
      <c r="B39" s="2" t="s">
        <v>25</v>
      </c>
      <c r="C39" s="14" t="n">
        <v>2</v>
      </c>
      <c r="D39" s="14" t="n">
        <v>4</v>
      </c>
      <c r="E39" s="2" t="s">
        <v>328</v>
      </c>
      <c r="F39" s="15" t="n">
        <v>8</v>
      </c>
      <c r="G39" s="15" t="n">
        <v>8</v>
      </c>
      <c r="H39" s="15" t="n">
        <v>8</v>
      </c>
      <c r="I39" s="15" t="n">
        <v>3</v>
      </c>
      <c r="J39" s="15" t="n">
        <v>8</v>
      </c>
      <c r="K39" s="15" t="n">
        <v>8</v>
      </c>
      <c r="L39" s="15" t="n">
        <v>7</v>
      </c>
      <c r="M39" s="4" t="n">
        <f aca="false">ROUND(F39*Rubric!$B$4+G39*Rubric!$B$5+H39*Rubric!$B$6+I39*Rubric!$B$7+J39*Rubric!$B$8+K39*Rubric!$B$9+L39*Rubric!$B$10-IF(OR(H39&lt;Rubric!$B$12,K39&lt;Rubric!$B$12),Rubric!$B$13,0),2)</f>
        <v>7.4</v>
      </c>
      <c r="N39" s="14" t="n">
        <v>33</v>
      </c>
      <c r="O39" s="2" t="s">
        <v>425</v>
      </c>
    </row>
    <row r="40" customFormat="false" ht="23.85" hidden="false" customHeight="false" outlineLevel="0" collapsed="false">
      <c r="A40" s="2" t="s">
        <v>24</v>
      </c>
      <c r="B40" s="2" t="s">
        <v>25</v>
      </c>
      <c r="C40" s="14" t="n">
        <v>0</v>
      </c>
      <c r="D40" s="14" t="n">
        <v>5</v>
      </c>
      <c r="E40" s="2" t="s">
        <v>329</v>
      </c>
      <c r="F40" s="15" t="n">
        <v>8</v>
      </c>
      <c r="G40" s="15" t="n">
        <v>8</v>
      </c>
      <c r="H40" s="15" t="n">
        <v>7</v>
      </c>
      <c r="I40" s="15" t="n">
        <v>9</v>
      </c>
      <c r="J40" s="15" t="n">
        <v>8</v>
      </c>
      <c r="K40" s="15" t="n">
        <v>8</v>
      </c>
      <c r="L40" s="15" t="n">
        <v>9</v>
      </c>
      <c r="M40" s="4" t="n">
        <f aca="false">ROUND(F40*Rubric!$B$4+G40*Rubric!$B$5+H40*Rubric!$B$6+I40*Rubric!$B$7+J40*Rubric!$B$8+K40*Rubric!$B$9+L40*Rubric!$B$10-IF(OR(H40&lt;Rubric!$B$12,K40&lt;Rubric!$B$12),Rubric!$B$13,0),2)</f>
        <v>8</v>
      </c>
      <c r="N40" s="14" t="n">
        <v>34</v>
      </c>
      <c r="O40" s="2" t="s">
        <v>390</v>
      </c>
    </row>
    <row r="41" customFormat="false" ht="23.85" hidden="false" customHeight="false" outlineLevel="0" collapsed="false">
      <c r="A41" s="2" t="s">
        <v>24</v>
      </c>
      <c r="B41" s="2" t="s">
        <v>29</v>
      </c>
      <c r="C41" s="14" t="n">
        <v>0</v>
      </c>
      <c r="D41" s="14" t="n">
        <v>1</v>
      </c>
      <c r="E41" s="2" t="s">
        <v>426</v>
      </c>
      <c r="F41" s="15" t="n">
        <v>8</v>
      </c>
      <c r="G41" s="15" t="n">
        <v>7</v>
      </c>
      <c r="H41" s="15" t="n">
        <v>8</v>
      </c>
      <c r="I41" s="15" t="n">
        <v>3</v>
      </c>
      <c r="J41" s="15" t="n">
        <v>8</v>
      </c>
      <c r="K41" s="15" t="n">
        <v>7</v>
      </c>
      <c r="L41" s="15" t="n">
        <v>6</v>
      </c>
      <c r="M41" s="4" t="n">
        <f aca="false">ROUND(F41*Rubric!$B$4+G41*Rubric!$B$5+H41*Rubric!$B$6+I41*Rubric!$B$7+J41*Rubric!$B$8+K41*Rubric!$B$9+L41*Rubric!$B$10-IF(OR(H41&lt;Rubric!$B$12,K41&lt;Rubric!$B$12),Rubric!$B$13,0),2)</f>
        <v>6.95</v>
      </c>
      <c r="N41" s="14" t="n">
        <v>40</v>
      </c>
      <c r="O41" s="2" t="s">
        <v>390</v>
      </c>
    </row>
    <row r="42" customFormat="false" ht="23.85" hidden="false" customHeight="false" outlineLevel="0" collapsed="false">
      <c r="A42" s="2" t="s">
        <v>24</v>
      </c>
      <c r="B42" s="2" t="s">
        <v>29</v>
      </c>
      <c r="C42" s="14" t="n">
        <v>2</v>
      </c>
      <c r="D42" s="14" t="n">
        <v>1</v>
      </c>
      <c r="E42" s="2" t="s">
        <v>427</v>
      </c>
      <c r="F42" s="15" t="n">
        <v>8</v>
      </c>
      <c r="G42" s="15" t="n">
        <v>8</v>
      </c>
      <c r="H42" s="15" t="n">
        <v>8</v>
      </c>
      <c r="I42" s="15" t="n">
        <v>3</v>
      </c>
      <c r="J42" s="15" t="n">
        <v>8</v>
      </c>
      <c r="K42" s="15" t="n">
        <v>8</v>
      </c>
      <c r="L42" s="15" t="n">
        <v>7</v>
      </c>
      <c r="M42" s="4" t="n">
        <f aca="false">ROUND(F42*Rubric!$B$4+G42*Rubric!$B$5+H42*Rubric!$B$6+I42*Rubric!$B$7+J42*Rubric!$B$8+K42*Rubric!$B$9+L42*Rubric!$B$10-IF(OR(H42&lt;Rubric!$B$12,K42&lt;Rubric!$B$12),Rubric!$B$13,0),2)</f>
        <v>7.4</v>
      </c>
      <c r="N42" s="14" t="n">
        <v>40</v>
      </c>
      <c r="O42" s="2" t="s">
        <v>428</v>
      </c>
    </row>
    <row r="43" customFormat="false" ht="23.85" hidden="false" customHeight="false" outlineLevel="0" collapsed="false">
      <c r="A43" s="2" t="s">
        <v>24</v>
      </c>
      <c r="B43" s="2" t="s">
        <v>29</v>
      </c>
      <c r="C43" s="14" t="n">
        <v>3</v>
      </c>
      <c r="D43" s="14" t="n">
        <v>1</v>
      </c>
      <c r="E43" s="2" t="s">
        <v>330</v>
      </c>
      <c r="F43" s="15" t="n">
        <v>9</v>
      </c>
      <c r="G43" s="15" t="n">
        <v>8</v>
      </c>
      <c r="H43" s="15" t="n">
        <v>8</v>
      </c>
      <c r="I43" s="15" t="n">
        <v>3</v>
      </c>
      <c r="J43" s="15" t="n">
        <v>8</v>
      </c>
      <c r="K43" s="15" t="n">
        <v>8</v>
      </c>
      <c r="L43" s="15" t="n">
        <v>7</v>
      </c>
      <c r="M43" s="4" t="n">
        <f aca="false">ROUND(F43*Rubric!$B$4+G43*Rubric!$B$5+H43*Rubric!$B$6+I43*Rubric!$B$7+J43*Rubric!$B$8+K43*Rubric!$B$9+L43*Rubric!$B$10-IF(OR(H43&lt;Rubric!$B$12,K43&lt;Rubric!$B$12),Rubric!$B$13,0),2)</f>
        <v>7.5</v>
      </c>
      <c r="N43" s="14" t="n">
        <v>40</v>
      </c>
      <c r="O43" s="2" t="s">
        <v>395</v>
      </c>
    </row>
    <row r="44" customFormat="false" ht="23.85" hidden="false" customHeight="false" outlineLevel="0" collapsed="false">
      <c r="A44" s="2" t="s">
        <v>24</v>
      </c>
      <c r="B44" s="2" t="s">
        <v>29</v>
      </c>
      <c r="C44" s="14" t="n">
        <v>0</v>
      </c>
      <c r="D44" s="14" t="n">
        <v>2</v>
      </c>
      <c r="E44" s="2" t="s">
        <v>429</v>
      </c>
      <c r="F44" s="15" t="n">
        <v>7</v>
      </c>
      <c r="G44" s="15" t="n">
        <v>7</v>
      </c>
      <c r="H44" s="15" t="n">
        <v>7</v>
      </c>
      <c r="I44" s="15" t="n">
        <v>3</v>
      </c>
      <c r="J44" s="15" t="n">
        <v>7</v>
      </c>
      <c r="K44" s="15" t="n">
        <v>6</v>
      </c>
      <c r="L44" s="15" t="n">
        <v>6</v>
      </c>
      <c r="M44" s="4" t="n">
        <f aca="false">ROUND(F44*Rubric!$B$4+G44*Rubric!$B$5+H44*Rubric!$B$6+I44*Rubric!$B$7+J44*Rubric!$B$8+K44*Rubric!$B$9+L44*Rubric!$B$10-IF(OR(H44&lt;Rubric!$B$12,K44&lt;Rubric!$B$12),Rubric!$B$13,0),2)</f>
        <v>5.35</v>
      </c>
      <c r="N44" s="14" t="n">
        <v>41</v>
      </c>
      <c r="O44" s="2" t="s">
        <v>390</v>
      </c>
    </row>
    <row r="45" customFormat="false" ht="23.85" hidden="false" customHeight="false" outlineLevel="0" collapsed="false">
      <c r="A45" s="2" t="s">
        <v>24</v>
      </c>
      <c r="B45" s="2" t="s">
        <v>29</v>
      </c>
      <c r="C45" s="14" t="n">
        <v>1</v>
      </c>
      <c r="D45" s="14" t="n">
        <v>2</v>
      </c>
      <c r="E45" s="2" t="s">
        <v>430</v>
      </c>
      <c r="F45" s="15" t="n">
        <v>8</v>
      </c>
      <c r="G45" s="15" t="n">
        <v>7</v>
      </c>
      <c r="H45" s="15" t="n">
        <v>8</v>
      </c>
      <c r="I45" s="15" t="n">
        <v>3</v>
      </c>
      <c r="J45" s="15" t="n">
        <v>7</v>
      </c>
      <c r="K45" s="15" t="n">
        <v>7</v>
      </c>
      <c r="L45" s="15" t="n">
        <v>7</v>
      </c>
      <c r="M45" s="4" t="n">
        <f aca="false">ROUND(F45*Rubric!$B$4+G45*Rubric!$B$5+H45*Rubric!$B$6+I45*Rubric!$B$7+J45*Rubric!$B$8+K45*Rubric!$B$9+L45*Rubric!$B$10-IF(OR(H45&lt;Rubric!$B$12,K45&lt;Rubric!$B$12),Rubric!$B$13,0),2)</f>
        <v>6.9</v>
      </c>
      <c r="N45" s="14" t="n">
        <v>41</v>
      </c>
      <c r="O45" s="2" t="s">
        <v>431</v>
      </c>
    </row>
    <row r="46" customFormat="false" ht="23.85" hidden="false" customHeight="false" outlineLevel="0" collapsed="false">
      <c r="A46" s="2" t="s">
        <v>24</v>
      </c>
      <c r="B46" s="2" t="s">
        <v>29</v>
      </c>
      <c r="C46" s="14" t="n">
        <v>2</v>
      </c>
      <c r="D46" s="14" t="n">
        <v>2</v>
      </c>
      <c r="E46" s="2" t="s">
        <v>432</v>
      </c>
      <c r="F46" s="15" t="n">
        <v>9</v>
      </c>
      <c r="G46" s="15" t="n">
        <v>7</v>
      </c>
      <c r="H46" s="15" t="n">
        <v>8</v>
      </c>
      <c r="I46" s="15" t="n">
        <v>3</v>
      </c>
      <c r="J46" s="15" t="n">
        <v>7</v>
      </c>
      <c r="K46" s="15" t="n">
        <v>8</v>
      </c>
      <c r="L46" s="15" t="n">
        <v>7</v>
      </c>
      <c r="M46" s="4" t="n">
        <f aca="false">ROUND(F46*Rubric!$B$4+G46*Rubric!$B$5+H46*Rubric!$B$6+I46*Rubric!$B$7+J46*Rubric!$B$8+K46*Rubric!$B$9+L46*Rubric!$B$10-IF(OR(H46&lt;Rubric!$B$12,K46&lt;Rubric!$B$12),Rubric!$B$13,0),2)</f>
        <v>7.15</v>
      </c>
      <c r="N46" s="14" t="n">
        <v>41</v>
      </c>
      <c r="O46" s="2" t="s">
        <v>433</v>
      </c>
    </row>
    <row r="47" customFormat="false" ht="23.85" hidden="false" customHeight="false" outlineLevel="0" collapsed="false">
      <c r="A47" s="2" t="s">
        <v>24</v>
      </c>
      <c r="B47" s="2" t="s">
        <v>29</v>
      </c>
      <c r="C47" s="14" t="n">
        <v>3</v>
      </c>
      <c r="D47" s="14" t="n">
        <v>2</v>
      </c>
      <c r="E47" s="2" t="s">
        <v>331</v>
      </c>
      <c r="F47" s="15" t="n">
        <v>8</v>
      </c>
      <c r="G47" s="15" t="n">
        <v>8</v>
      </c>
      <c r="H47" s="15" t="n">
        <v>8</v>
      </c>
      <c r="I47" s="15" t="n">
        <v>3</v>
      </c>
      <c r="J47" s="15" t="n">
        <v>7</v>
      </c>
      <c r="K47" s="15" t="n">
        <v>8</v>
      </c>
      <c r="L47" s="15" t="n">
        <v>8</v>
      </c>
      <c r="M47" s="4" t="n">
        <f aca="false">ROUND(F47*Rubric!$B$4+G47*Rubric!$B$5+H47*Rubric!$B$6+I47*Rubric!$B$7+J47*Rubric!$B$8+K47*Rubric!$B$9+L47*Rubric!$B$10-IF(OR(H47&lt;Rubric!$B$12,K47&lt;Rubric!$B$12),Rubric!$B$13,0),2)</f>
        <v>7.35</v>
      </c>
      <c r="N47" s="14" t="n">
        <v>41</v>
      </c>
      <c r="O47" s="2" t="s">
        <v>434</v>
      </c>
    </row>
    <row r="48" customFormat="false" ht="23.85" hidden="false" customHeight="false" outlineLevel="0" collapsed="false">
      <c r="A48" s="2" t="s">
        <v>24</v>
      </c>
      <c r="B48" s="2" t="s">
        <v>29</v>
      </c>
      <c r="C48" s="14" t="n">
        <v>0</v>
      </c>
      <c r="D48" s="14" t="n">
        <v>3</v>
      </c>
      <c r="E48" s="2" t="s">
        <v>435</v>
      </c>
      <c r="F48" s="15" t="n">
        <v>8</v>
      </c>
      <c r="G48" s="15" t="n">
        <v>8</v>
      </c>
      <c r="H48" s="15" t="n">
        <v>7</v>
      </c>
      <c r="I48" s="15" t="n">
        <v>3</v>
      </c>
      <c r="J48" s="15" t="n">
        <v>8</v>
      </c>
      <c r="K48" s="15" t="n">
        <v>7</v>
      </c>
      <c r="L48" s="15" t="n">
        <v>7</v>
      </c>
      <c r="M48" s="4" t="n">
        <f aca="false">ROUND(F48*Rubric!$B$4+G48*Rubric!$B$5+H48*Rubric!$B$6+I48*Rubric!$B$7+J48*Rubric!$B$8+K48*Rubric!$B$9+L48*Rubric!$B$10-IF(OR(H48&lt;Rubric!$B$12,K48&lt;Rubric!$B$12),Rubric!$B$13,0),2)</f>
        <v>7.05</v>
      </c>
      <c r="N48" s="14" t="n">
        <v>42</v>
      </c>
      <c r="O48" s="2" t="s">
        <v>390</v>
      </c>
    </row>
    <row r="49" customFormat="false" ht="23.85" hidden="false" customHeight="false" outlineLevel="0" collapsed="false">
      <c r="A49" s="2" t="s">
        <v>24</v>
      </c>
      <c r="B49" s="2" t="s">
        <v>29</v>
      </c>
      <c r="C49" s="14" t="n">
        <v>2</v>
      </c>
      <c r="D49" s="14" t="n">
        <v>3</v>
      </c>
      <c r="E49" s="2" t="s">
        <v>436</v>
      </c>
      <c r="F49" s="15" t="n">
        <v>8</v>
      </c>
      <c r="G49" s="15" t="n">
        <v>8</v>
      </c>
      <c r="H49" s="15" t="n">
        <v>7</v>
      </c>
      <c r="I49" s="15" t="n">
        <v>4</v>
      </c>
      <c r="J49" s="15" t="n">
        <v>8</v>
      </c>
      <c r="K49" s="15" t="n">
        <v>7</v>
      </c>
      <c r="L49" s="15" t="n">
        <v>7</v>
      </c>
      <c r="M49" s="4" t="n">
        <f aca="false">ROUND(F49*Rubric!$B$4+G49*Rubric!$B$5+H49*Rubric!$B$6+I49*Rubric!$B$7+J49*Rubric!$B$8+K49*Rubric!$B$9+L49*Rubric!$B$10-IF(OR(H49&lt;Rubric!$B$12,K49&lt;Rubric!$B$12),Rubric!$B$13,0),2)</f>
        <v>7.15</v>
      </c>
      <c r="N49" s="14" t="n">
        <v>42</v>
      </c>
      <c r="O49" s="2" t="s">
        <v>437</v>
      </c>
    </row>
    <row r="50" customFormat="false" ht="23.85" hidden="false" customHeight="false" outlineLevel="0" collapsed="false">
      <c r="A50" s="2" t="s">
        <v>24</v>
      </c>
      <c r="B50" s="2" t="s">
        <v>29</v>
      </c>
      <c r="C50" s="14" t="n">
        <v>3</v>
      </c>
      <c r="D50" s="14" t="n">
        <v>3</v>
      </c>
      <c r="E50" s="2" t="s">
        <v>332</v>
      </c>
      <c r="F50" s="15" t="n">
        <v>9</v>
      </c>
      <c r="G50" s="15" t="n">
        <v>8</v>
      </c>
      <c r="H50" s="15" t="n">
        <v>7</v>
      </c>
      <c r="I50" s="15" t="n">
        <v>4</v>
      </c>
      <c r="J50" s="15" t="n">
        <v>8</v>
      </c>
      <c r="K50" s="15" t="n">
        <v>7</v>
      </c>
      <c r="L50" s="15" t="n">
        <v>7</v>
      </c>
      <c r="M50" s="4" t="n">
        <f aca="false">ROUND(F50*Rubric!$B$4+G50*Rubric!$B$5+H50*Rubric!$B$6+I50*Rubric!$B$7+J50*Rubric!$B$8+K50*Rubric!$B$9+L50*Rubric!$B$10-IF(OR(H50&lt;Rubric!$B$12,K50&lt;Rubric!$B$12),Rubric!$B$13,0),2)</f>
        <v>7.25</v>
      </c>
      <c r="N50" s="14" t="n">
        <v>42</v>
      </c>
      <c r="O50" s="2" t="s">
        <v>395</v>
      </c>
    </row>
    <row r="51" customFormat="false" ht="23.85" hidden="false" customHeight="false" outlineLevel="0" collapsed="false">
      <c r="A51" s="2" t="s">
        <v>24</v>
      </c>
      <c r="B51" s="2" t="s">
        <v>29</v>
      </c>
      <c r="C51" s="14" t="n">
        <v>0</v>
      </c>
      <c r="D51" s="14" t="n">
        <v>4</v>
      </c>
      <c r="E51" s="2" t="s">
        <v>438</v>
      </c>
      <c r="F51" s="15" t="n">
        <v>7</v>
      </c>
      <c r="G51" s="15" t="n">
        <v>8</v>
      </c>
      <c r="H51" s="15" t="n">
        <v>8</v>
      </c>
      <c r="I51" s="15" t="n">
        <v>3</v>
      </c>
      <c r="J51" s="15" t="n">
        <v>8</v>
      </c>
      <c r="K51" s="15" t="n">
        <v>8</v>
      </c>
      <c r="L51" s="15" t="n">
        <v>7</v>
      </c>
      <c r="M51" s="4" t="n">
        <f aca="false">ROUND(F51*Rubric!$B$4+G51*Rubric!$B$5+H51*Rubric!$B$6+I51*Rubric!$B$7+J51*Rubric!$B$8+K51*Rubric!$B$9+L51*Rubric!$B$10-IF(OR(H51&lt;Rubric!$B$12,K51&lt;Rubric!$B$12),Rubric!$B$13,0),2)</f>
        <v>7.3</v>
      </c>
      <c r="N51" s="14" t="n">
        <v>43</v>
      </c>
      <c r="O51" s="2" t="s">
        <v>390</v>
      </c>
    </row>
    <row r="52" customFormat="false" ht="23.85" hidden="false" customHeight="false" outlineLevel="0" collapsed="false">
      <c r="A52" s="2" t="s">
        <v>24</v>
      </c>
      <c r="B52" s="2" t="s">
        <v>29</v>
      </c>
      <c r="C52" s="14" t="n">
        <v>3</v>
      </c>
      <c r="D52" s="14" t="n">
        <v>4</v>
      </c>
      <c r="E52" s="2" t="s">
        <v>333</v>
      </c>
      <c r="F52" s="15" t="n">
        <v>8</v>
      </c>
      <c r="G52" s="15" t="n">
        <v>8</v>
      </c>
      <c r="H52" s="15" t="n">
        <v>8</v>
      </c>
      <c r="I52" s="15" t="n">
        <v>3</v>
      </c>
      <c r="J52" s="15" t="n">
        <v>8</v>
      </c>
      <c r="K52" s="15" t="n">
        <v>8</v>
      </c>
      <c r="L52" s="15" t="n">
        <v>7</v>
      </c>
      <c r="M52" s="4" t="n">
        <f aca="false">ROUND(F52*Rubric!$B$4+G52*Rubric!$B$5+H52*Rubric!$B$6+I52*Rubric!$B$7+J52*Rubric!$B$8+K52*Rubric!$B$9+L52*Rubric!$B$10-IF(OR(H52&lt;Rubric!$B$12,K52&lt;Rubric!$B$12),Rubric!$B$13,0),2)</f>
        <v>7.4</v>
      </c>
      <c r="N52" s="14" t="n">
        <v>43</v>
      </c>
      <c r="O52" s="2" t="s">
        <v>439</v>
      </c>
    </row>
    <row r="53" customFormat="false" ht="23.85" hidden="false" customHeight="false" outlineLevel="0" collapsed="false">
      <c r="A53" s="2" t="s">
        <v>24</v>
      </c>
      <c r="B53" s="2" t="s">
        <v>29</v>
      </c>
      <c r="C53" s="14" t="n">
        <v>0</v>
      </c>
      <c r="D53" s="14" t="n">
        <v>5</v>
      </c>
      <c r="E53" s="2" t="s">
        <v>440</v>
      </c>
      <c r="F53" s="15" t="n">
        <v>8</v>
      </c>
      <c r="G53" s="15" t="n">
        <v>7</v>
      </c>
      <c r="H53" s="15" t="n">
        <v>8</v>
      </c>
      <c r="I53" s="15" t="n">
        <v>8</v>
      </c>
      <c r="J53" s="15" t="n">
        <v>6</v>
      </c>
      <c r="K53" s="15" t="n">
        <v>7</v>
      </c>
      <c r="L53" s="15" t="n">
        <v>8</v>
      </c>
      <c r="M53" s="4" t="n">
        <f aca="false">ROUND(F53*Rubric!$B$4+G53*Rubric!$B$5+H53*Rubric!$B$6+I53*Rubric!$B$7+J53*Rubric!$B$8+K53*Rubric!$B$9+L53*Rubric!$B$10-IF(OR(H53&lt;Rubric!$B$12,K53&lt;Rubric!$B$12),Rubric!$B$13,0),2)</f>
        <v>7.35</v>
      </c>
      <c r="N53" s="14" t="n">
        <v>44</v>
      </c>
      <c r="O53" s="2" t="s">
        <v>390</v>
      </c>
    </row>
    <row r="54" customFormat="false" ht="23.85" hidden="false" customHeight="false" outlineLevel="0" collapsed="false">
      <c r="A54" s="2" t="s">
        <v>24</v>
      </c>
      <c r="B54" s="2" t="s">
        <v>29</v>
      </c>
      <c r="C54" s="14" t="n">
        <v>3</v>
      </c>
      <c r="D54" s="14" t="n">
        <v>5</v>
      </c>
      <c r="E54" s="2" t="s">
        <v>334</v>
      </c>
      <c r="F54" s="15" t="n">
        <v>8</v>
      </c>
      <c r="G54" s="15" t="n">
        <v>8</v>
      </c>
      <c r="H54" s="15" t="n">
        <v>8</v>
      </c>
      <c r="I54" s="15" t="n">
        <v>8</v>
      </c>
      <c r="J54" s="15" t="n">
        <v>7</v>
      </c>
      <c r="K54" s="15" t="n">
        <v>7</v>
      </c>
      <c r="L54" s="15" t="n">
        <v>8</v>
      </c>
      <c r="M54" s="4" t="n">
        <f aca="false">ROUND(F54*Rubric!$B$4+G54*Rubric!$B$5+H54*Rubric!$B$6+I54*Rubric!$B$7+J54*Rubric!$B$8+K54*Rubric!$B$9+L54*Rubric!$B$10-IF(OR(H54&lt;Rubric!$B$12,K54&lt;Rubric!$B$12),Rubric!$B$13,0),2)</f>
        <v>7.7</v>
      </c>
      <c r="N54" s="14" t="n">
        <v>44</v>
      </c>
      <c r="O54" s="2" t="s">
        <v>441</v>
      </c>
    </row>
    <row r="55" customFormat="false" ht="23.85" hidden="false" customHeight="false" outlineLevel="0" collapsed="false">
      <c r="A55" s="2" t="s">
        <v>33</v>
      </c>
      <c r="B55" s="2" t="s">
        <v>34</v>
      </c>
      <c r="C55" s="14" t="n">
        <v>0</v>
      </c>
      <c r="D55" s="14" t="n">
        <v>1</v>
      </c>
      <c r="E55" s="2" t="s">
        <v>442</v>
      </c>
      <c r="F55" s="15" t="n">
        <v>8</v>
      </c>
      <c r="G55" s="15" t="n">
        <v>8</v>
      </c>
      <c r="H55" s="15" t="n">
        <v>8</v>
      </c>
      <c r="I55" s="15" t="n">
        <v>4</v>
      </c>
      <c r="J55" s="15" t="n">
        <v>8</v>
      </c>
      <c r="K55" s="15" t="n">
        <v>8</v>
      </c>
      <c r="L55" s="15" t="n">
        <v>7</v>
      </c>
      <c r="M55" s="4" t="n">
        <f aca="false">ROUND(F55*Rubric!$B$4+G55*Rubric!$B$5+H55*Rubric!$B$6+I55*Rubric!$B$7+J55*Rubric!$B$8+K55*Rubric!$B$9+L55*Rubric!$B$10-IF(OR(H55&lt;Rubric!$B$12,K55&lt;Rubric!$B$12),Rubric!$B$13,0),2)</f>
        <v>7.5</v>
      </c>
      <c r="N55" s="14" t="n">
        <v>50</v>
      </c>
      <c r="O55" s="2" t="s">
        <v>390</v>
      </c>
    </row>
    <row r="56" customFormat="false" ht="23.85" hidden="false" customHeight="false" outlineLevel="0" collapsed="false">
      <c r="A56" s="2" t="s">
        <v>33</v>
      </c>
      <c r="B56" s="2" t="s">
        <v>34</v>
      </c>
      <c r="C56" s="14" t="n">
        <v>3</v>
      </c>
      <c r="D56" s="14" t="n">
        <v>1</v>
      </c>
      <c r="E56" s="2" t="s">
        <v>335</v>
      </c>
      <c r="F56" s="15" t="n">
        <v>9</v>
      </c>
      <c r="G56" s="15" t="n">
        <v>8</v>
      </c>
      <c r="H56" s="15" t="n">
        <v>8</v>
      </c>
      <c r="I56" s="15" t="n">
        <v>4</v>
      </c>
      <c r="J56" s="15" t="n">
        <v>8</v>
      </c>
      <c r="K56" s="15" t="n">
        <v>8</v>
      </c>
      <c r="L56" s="15" t="n">
        <v>7</v>
      </c>
      <c r="M56" s="4" t="n">
        <f aca="false">ROUND(F56*Rubric!$B$4+G56*Rubric!$B$5+H56*Rubric!$B$6+I56*Rubric!$B$7+J56*Rubric!$B$8+K56*Rubric!$B$9+L56*Rubric!$B$10-IF(OR(H56&lt;Rubric!$B$12,K56&lt;Rubric!$B$12),Rubric!$B$13,0),2)</f>
        <v>7.6</v>
      </c>
      <c r="N56" s="14" t="n">
        <v>50</v>
      </c>
      <c r="O56" s="2" t="s">
        <v>395</v>
      </c>
    </row>
    <row r="57" customFormat="false" ht="23.85" hidden="false" customHeight="false" outlineLevel="0" collapsed="false">
      <c r="A57" s="2" t="s">
        <v>33</v>
      </c>
      <c r="B57" s="2" t="s">
        <v>34</v>
      </c>
      <c r="C57" s="14" t="n">
        <v>0</v>
      </c>
      <c r="D57" s="14" t="n">
        <v>2</v>
      </c>
      <c r="E57" s="2" t="s">
        <v>336</v>
      </c>
      <c r="F57" s="15" t="n">
        <v>9</v>
      </c>
      <c r="G57" s="15" t="n">
        <v>9</v>
      </c>
      <c r="H57" s="15" t="n">
        <v>7</v>
      </c>
      <c r="I57" s="15" t="n">
        <v>3</v>
      </c>
      <c r="J57" s="15" t="n">
        <v>9</v>
      </c>
      <c r="K57" s="15" t="n">
        <v>8</v>
      </c>
      <c r="L57" s="15" t="n">
        <v>8</v>
      </c>
      <c r="M57" s="4" t="n">
        <f aca="false">ROUND(F57*Rubric!$B$4+G57*Rubric!$B$5+H57*Rubric!$B$6+I57*Rubric!$B$7+J57*Rubric!$B$8+K57*Rubric!$B$9+L57*Rubric!$B$10-IF(OR(H57&lt;Rubric!$B$12,K57&lt;Rubric!$B$12),Rubric!$B$13,0),2)</f>
        <v>7.75</v>
      </c>
      <c r="N57" s="14" t="n">
        <v>51</v>
      </c>
      <c r="O57" s="2" t="s">
        <v>390</v>
      </c>
    </row>
    <row r="58" customFormat="false" ht="23.85" hidden="false" customHeight="false" outlineLevel="0" collapsed="false">
      <c r="A58" s="2" t="s">
        <v>33</v>
      </c>
      <c r="B58" s="2" t="s">
        <v>34</v>
      </c>
      <c r="C58" s="14" t="n">
        <v>0</v>
      </c>
      <c r="D58" s="14" t="n">
        <v>3</v>
      </c>
      <c r="E58" s="2" t="s">
        <v>443</v>
      </c>
      <c r="F58" s="15" t="n">
        <v>8</v>
      </c>
      <c r="G58" s="15" t="n">
        <v>8</v>
      </c>
      <c r="H58" s="15" t="n">
        <v>8</v>
      </c>
      <c r="I58" s="15" t="n">
        <v>3</v>
      </c>
      <c r="J58" s="15" t="n">
        <v>7</v>
      </c>
      <c r="K58" s="15" t="n">
        <v>8</v>
      </c>
      <c r="L58" s="15" t="n">
        <v>6</v>
      </c>
      <c r="M58" s="4" t="n">
        <f aca="false">ROUND(F58*Rubric!$B$4+G58*Rubric!$B$5+H58*Rubric!$B$6+I58*Rubric!$B$7+J58*Rubric!$B$8+K58*Rubric!$B$9+L58*Rubric!$B$10-IF(OR(H58&lt;Rubric!$B$12,K58&lt;Rubric!$B$12),Rubric!$B$13,0),2)</f>
        <v>7.15</v>
      </c>
      <c r="N58" s="14" t="n">
        <v>52</v>
      </c>
      <c r="O58" s="2" t="s">
        <v>390</v>
      </c>
    </row>
    <row r="59" customFormat="false" ht="23.85" hidden="false" customHeight="false" outlineLevel="0" collapsed="false">
      <c r="A59" s="2" t="s">
        <v>33</v>
      </c>
      <c r="B59" s="2" t="s">
        <v>34</v>
      </c>
      <c r="C59" s="14" t="n">
        <v>2</v>
      </c>
      <c r="D59" s="14" t="n">
        <v>3</v>
      </c>
      <c r="E59" s="2" t="s">
        <v>337</v>
      </c>
      <c r="F59" s="15" t="n">
        <v>9</v>
      </c>
      <c r="G59" s="15" t="n">
        <v>8</v>
      </c>
      <c r="H59" s="15" t="n">
        <v>8</v>
      </c>
      <c r="I59" s="15" t="n">
        <v>3</v>
      </c>
      <c r="J59" s="15" t="n">
        <v>8</v>
      </c>
      <c r="K59" s="15" t="n">
        <v>8</v>
      </c>
      <c r="L59" s="15" t="n">
        <v>7</v>
      </c>
      <c r="M59" s="4" t="n">
        <f aca="false">ROUND(F59*Rubric!$B$4+G59*Rubric!$B$5+H59*Rubric!$B$6+I59*Rubric!$B$7+J59*Rubric!$B$8+K59*Rubric!$B$9+L59*Rubric!$B$10-IF(OR(H59&lt;Rubric!$B$12,K59&lt;Rubric!$B$12),Rubric!$B$13,0),2)</f>
        <v>7.5</v>
      </c>
      <c r="N59" s="14" t="n">
        <v>52</v>
      </c>
      <c r="O59" s="2" t="s">
        <v>444</v>
      </c>
    </row>
    <row r="60" customFormat="false" ht="23.85" hidden="false" customHeight="false" outlineLevel="0" collapsed="false">
      <c r="A60" s="2" t="s">
        <v>33</v>
      </c>
      <c r="B60" s="2" t="s">
        <v>34</v>
      </c>
      <c r="C60" s="14" t="n">
        <v>0</v>
      </c>
      <c r="D60" s="14" t="n">
        <v>4</v>
      </c>
      <c r="E60" s="2" t="s">
        <v>445</v>
      </c>
      <c r="F60" s="15" t="n">
        <v>8</v>
      </c>
      <c r="G60" s="15" t="n">
        <v>8</v>
      </c>
      <c r="H60" s="15" t="n">
        <v>6</v>
      </c>
      <c r="I60" s="15" t="n">
        <v>10</v>
      </c>
      <c r="J60" s="15" t="n">
        <v>9</v>
      </c>
      <c r="K60" s="15" t="n">
        <v>6</v>
      </c>
      <c r="L60" s="15" t="n">
        <v>9</v>
      </c>
      <c r="M60" s="4" t="n">
        <f aca="false">ROUND(F60*Rubric!$B$4+G60*Rubric!$B$5+H60*Rubric!$B$6+I60*Rubric!$B$7+J60*Rubric!$B$8+K60*Rubric!$B$9+L60*Rubric!$B$10-IF(OR(H60&lt;Rubric!$B$12,K60&lt;Rubric!$B$12),Rubric!$B$13,0),2)</f>
        <v>6.75</v>
      </c>
      <c r="N60" s="14" t="n">
        <v>53</v>
      </c>
      <c r="O60" s="2" t="s">
        <v>390</v>
      </c>
    </row>
    <row r="61" customFormat="false" ht="23.85" hidden="false" customHeight="false" outlineLevel="0" collapsed="false">
      <c r="A61" s="2" t="s">
        <v>33</v>
      </c>
      <c r="B61" s="2" t="s">
        <v>34</v>
      </c>
      <c r="C61" s="14" t="n">
        <v>1</v>
      </c>
      <c r="D61" s="14" t="n">
        <v>4</v>
      </c>
      <c r="E61" s="2" t="s">
        <v>338</v>
      </c>
      <c r="F61" s="15" t="n">
        <v>8</v>
      </c>
      <c r="G61" s="15" t="n">
        <v>8</v>
      </c>
      <c r="H61" s="15" t="n">
        <v>7</v>
      </c>
      <c r="I61" s="15" t="n">
        <v>10</v>
      </c>
      <c r="J61" s="15" t="n">
        <v>9</v>
      </c>
      <c r="K61" s="15" t="n">
        <v>7</v>
      </c>
      <c r="L61" s="15" t="n">
        <v>9</v>
      </c>
      <c r="M61" s="4" t="n">
        <f aca="false">ROUND(F61*Rubric!$B$4+G61*Rubric!$B$5+H61*Rubric!$B$6+I61*Rubric!$B$7+J61*Rubric!$B$8+K61*Rubric!$B$9+L61*Rubric!$B$10-IF(OR(H61&lt;Rubric!$B$12,K61&lt;Rubric!$B$12),Rubric!$B$13,0),2)</f>
        <v>8.1</v>
      </c>
      <c r="N61" s="14" t="n">
        <v>53</v>
      </c>
      <c r="O61" s="2" t="s">
        <v>446</v>
      </c>
    </row>
    <row r="62" customFormat="false" ht="23.85" hidden="false" customHeight="false" outlineLevel="0" collapsed="false">
      <c r="A62" s="2" t="s">
        <v>33</v>
      </c>
      <c r="B62" s="2" t="s">
        <v>34</v>
      </c>
      <c r="C62" s="14" t="n">
        <v>0</v>
      </c>
      <c r="D62" s="14" t="n">
        <v>5</v>
      </c>
      <c r="E62" s="2" t="s">
        <v>447</v>
      </c>
      <c r="F62" s="15" t="n">
        <v>8</v>
      </c>
      <c r="G62" s="15" t="n">
        <v>7</v>
      </c>
      <c r="H62" s="15" t="n">
        <v>7</v>
      </c>
      <c r="I62" s="15" t="n">
        <v>3</v>
      </c>
      <c r="J62" s="15" t="n">
        <v>7</v>
      </c>
      <c r="K62" s="15" t="n">
        <v>7</v>
      </c>
      <c r="L62" s="15" t="n">
        <v>6</v>
      </c>
      <c r="M62" s="4" t="n">
        <f aca="false">ROUND(F62*Rubric!$B$4+G62*Rubric!$B$5+H62*Rubric!$B$6+I62*Rubric!$B$7+J62*Rubric!$B$8+K62*Rubric!$B$9+L62*Rubric!$B$10-IF(OR(H62&lt;Rubric!$B$12,K62&lt;Rubric!$B$12),Rubric!$B$13,0),2)</f>
        <v>6.6</v>
      </c>
      <c r="N62" s="14" t="n">
        <v>54</v>
      </c>
      <c r="O62" s="2" t="s">
        <v>390</v>
      </c>
    </row>
    <row r="63" customFormat="false" ht="23.85" hidden="false" customHeight="false" outlineLevel="0" collapsed="false">
      <c r="A63" s="2" t="s">
        <v>33</v>
      </c>
      <c r="B63" s="2" t="s">
        <v>34</v>
      </c>
      <c r="C63" s="14" t="n">
        <v>1</v>
      </c>
      <c r="D63" s="14" t="n">
        <v>5</v>
      </c>
      <c r="E63" s="2" t="s">
        <v>448</v>
      </c>
      <c r="F63" s="15" t="n">
        <v>8</v>
      </c>
      <c r="G63" s="15" t="n">
        <v>7</v>
      </c>
      <c r="H63" s="15" t="n">
        <v>8</v>
      </c>
      <c r="I63" s="15" t="n">
        <v>3</v>
      </c>
      <c r="J63" s="15" t="n">
        <v>7</v>
      </c>
      <c r="K63" s="15" t="n">
        <v>7</v>
      </c>
      <c r="L63" s="15" t="n">
        <v>7</v>
      </c>
      <c r="M63" s="4" t="n">
        <f aca="false">ROUND(F63*Rubric!$B$4+G63*Rubric!$B$5+H63*Rubric!$B$6+I63*Rubric!$B$7+J63*Rubric!$B$8+K63*Rubric!$B$9+L63*Rubric!$B$10-IF(OR(H63&lt;Rubric!$B$12,K63&lt;Rubric!$B$12),Rubric!$B$13,0),2)</f>
        <v>6.9</v>
      </c>
      <c r="N63" s="14" t="n">
        <v>54</v>
      </c>
      <c r="O63" s="2" t="s">
        <v>449</v>
      </c>
    </row>
    <row r="64" customFormat="false" ht="23.85" hidden="false" customHeight="false" outlineLevel="0" collapsed="false">
      <c r="A64" s="2" t="s">
        <v>33</v>
      </c>
      <c r="B64" s="2" t="s">
        <v>34</v>
      </c>
      <c r="C64" s="14" t="n">
        <v>2</v>
      </c>
      <c r="D64" s="14" t="n">
        <v>5</v>
      </c>
      <c r="E64" s="2" t="s">
        <v>450</v>
      </c>
      <c r="F64" s="15" t="n">
        <v>9</v>
      </c>
      <c r="G64" s="15" t="n">
        <v>7</v>
      </c>
      <c r="H64" s="15" t="n">
        <v>8</v>
      </c>
      <c r="I64" s="15" t="n">
        <v>3</v>
      </c>
      <c r="J64" s="15" t="n">
        <v>8</v>
      </c>
      <c r="K64" s="15" t="n">
        <v>8</v>
      </c>
      <c r="L64" s="15" t="n">
        <v>7</v>
      </c>
      <c r="M64" s="4" t="n">
        <f aca="false">ROUND(F64*Rubric!$B$4+G64*Rubric!$B$5+H64*Rubric!$B$6+I64*Rubric!$B$7+J64*Rubric!$B$8+K64*Rubric!$B$9+L64*Rubric!$B$10-IF(OR(H64&lt;Rubric!$B$12,K64&lt;Rubric!$B$12),Rubric!$B$13,0),2)</f>
        <v>7.3</v>
      </c>
      <c r="N64" s="14" t="n">
        <v>54</v>
      </c>
      <c r="O64" s="2" t="s">
        <v>451</v>
      </c>
    </row>
    <row r="65" customFormat="false" ht="23.85" hidden="false" customHeight="false" outlineLevel="0" collapsed="false">
      <c r="A65" s="2" t="s">
        <v>33</v>
      </c>
      <c r="B65" s="2" t="s">
        <v>34</v>
      </c>
      <c r="C65" s="14" t="n">
        <v>3</v>
      </c>
      <c r="D65" s="14" t="n">
        <v>5</v>
      </c>
      <c r="E65" s="2" t="s">
        <v>339</v>
      </c>
      <c r="F65" s="15" t="n">
        <v>9</v>
      </c>
      <c r="G65" s="15" t="n">
        <v>8</v>
      </c>
      <c r="H65" s="15" t="n">
        <v>8</v>
      </c>
      <c r="I65" s="15" t="n">
        <v>3</v>
      </c>
      <c r="J65" s="15" t="n">
        <v>8</v>
      </c>
      <c r="K65" s="15" t="n">
        <v>8</v>
      </c>
      <c r="L65" s="15" t="n">
        <v>7</v>
      </c>
      <c r="M65" s="4" t="n">
        <f aca="false">ROUND(F65*Rubric!$B$4+G65*Rubric!$B$5+H65*Rubric!$B$6+I65*Rubric!$B$7+J65*Rubric!$B$8+K65*Rubric!$B$9+L65*Rubric!$B$10-IF(OR(H65&lt;Rubric!$B$12,K65&lt;Rubric!$B$12),Rubric!$B$13,0),2)</f>
        <v>7.5</v>
      </c>
      <c r="N65" s="14" t="n">
        <v>54</v>
      </c>
      <c r="O65" s="2" t="s">
        <v>395</v>
      </c>
    </row>
    <row r="66" customFormat="false" ht="23.85" hidden="false" customHeight="false" outlineLevel="0" collapsed="false">
      <c r="A66" s="2" t="s">
        <v>38</v>
      </c>
      <c r="B66" s="2" t="s">
        <v>39</v>
      </c>
      <c r="C66" s="14" t="n">
        <v>0</v>
      </c>
      <c r="D66" s="14" t="n">
        <v>1</v>
      </c>
      <c r="E66" s="2" t="s">
        <v>452</v>
      </c>
      <c r="F66" s="15" t="n">
        <v>8</v>
      </c>
      <c r="G66" s="15" t="n">
        <v>7</v>
      </c>
      <c r="H66" s="15" t="n">
        <v>6</v>
      </c>
      <c r="I66" s="15" t="n">
        <v>3</v>
      </c>
      <c r="J66" s="15" t="n">
        <v>8</v>
      </c>
      <c r="K66" s="15" t="n">
        <v>6</v>
      </c>
      <c r="L66" s="15" t="n">
        <v>5</v>
      </c>
      <c r="M66" s="4" t="n">
        <f aca="false">ROUND(F66*Rubric!$B$4+G66*Rubric!$B$5+H66*Rubric!$B$6+I66*Rubric!$B$7+J66*Rubric!$B$8+K66*Rubric!$B$9+L66*Rubric!$B$10-IF(OR(H66&lt;Rubric!$B$12,K66&lt;Rubric!$B$12),Rubric!$B$13,0),2)</f>
        <v>5.3</v>
      </c>
      <c r="N66" s="14" t="n">
        <v>60</v>
      </c>
      <c r="O66" s="2" t="s">
        <v>390</v>
      </c>
    </row>
    <row r="67" customFormat="false" ht="23.85" hidden="false" customHeight="false" outlineLevel="0" collapsed="false">
      <c r="A67" s="2" t="s">
        <v>38</v>
      </c>
      <c r="B67" s="2" t="s">
        <v>39</v>
      </c>
      <c r="C67" s="14" t="n">
        <v>1</v>
      </c>
      <c r="D67" s="14" t="n">
        <v>1</v>
      </c>
      <c r="E67" s="2" t="s">
        <v>453</v>
      </c>
      <c r="F67" s="15" t="n">
        <v>8</v>
      </c>
      <c r="G67" s="15" t="n">
        <v>7</v>
      </c>
      <c r="H67" s="15" t="n">
        <v>8</v>
      </c>
      <c r="I67" s="15" t="n">
        <v>3</v>
      </c>
      <c r="J67" s="15" t="n">
        <v>8</v>
      </c>
      <c r="K67" s="15" t="n">
        <v>8</v>
      </c>
      <c r="L67" s="15" t="n">
        <v>6</v>
      </c>
      <c r="M67" s="4" t="n">
        <f aca="false">ROUND(F67*Rubric!$B$4+G67*Rubric!$B$5+H67*Rubric!$B$6+I67*Rubric!$B$7+J67*Rubric!$B$8+K67*Rubric!$B$9+L67*Rubric!$B$10-IF(OR(H67&lt;Rubric!$B$12,K67&lt;Rubric!$B$12),Rubric!$B$13,0),2)</f>
        <v>7.1</v>
      </c>
      <c r="N67" s="14" t="n">
        <v>60</v>
      </c>
      <c r="O67" s="2" t="s">
        <v>454</v>
      </c>
    </row>
    <row r="68" customFormat="false" ht="23.85" hidden="false" customHeight="false" outlineLevel="0" collapsed="false">
      <c r="A68" s="2" t="s">
        <v>38</v>
      </c>
      <c r="B68" s="2" t="s">
        <v>39</v>
      </c>
      <c r="C68" s="14" t="n">
        <v>2</v>
      </c>
      <c r="D68" s="14" t="n">
        <v>1</v>
      </c>
      <c r="E68" s="2" t="s">
        <v>455</v>
      </c>
      <c r="F68" s="15" t="n">
        <v>8</v>
      </c>
      <c r="G68" s="15" t="n">
        <v>7</v>
      </c>
      <c r="H68" s="15" t="n">
        <v>8</v>
      </c>
      <c r="I68" s="15" t="n">
        <v>3</v>
      </c>
      <c r="J68" s="15" t="n">
        <v>8</v>
      </c>
      <c r="K68" s="15" t="n">
        <v>8</v>
      </c>
      <c r="L68" s="15" t="n">
        <v>7</v>
      </c>
      <c r="M68" s="4" t="n">
        <f aca="false">ROUND(F68*Rubric!$B$4+G68*Rubric!$B$5+H68*Rubric!$B$6+I68*Rubric!$B$7+J68*Rubric!$B$8+K68*Rubric!$B$9+L68*Rubric!$B$10-IF(OR(H68&lt;Rubric!$B$12,K68&lt;Rubric!$B$12),Rubric!$B$13,0),2)</f>
        <v>7.2</v>
      </c>
      <c r="N68" s="14" t="n">
        <v>60</v>
      </c>
      <c r="O68" s="2" t="s">
        <v>456</v>
      </c>
    </row>
    <row r="69" customFormat="false" ht="23.85" hidden="false" customHeight="false" outlineLevel="0" collapsed="false">
      <c r="A69" s="2" t="s">
        <v>38</v>
      </c>
      <c r="B69" s="2" t="s">
        <v>39</v>
      </c>
      <c r="C69" s="14" t="n">
        <v>3</v>
      </c>
      <c r="D69" s="14" t="n">
        <v>1</v>
      </c>
      <c r="E69" s="2" t="s">
        <v>340</v>
      </c>
      <c r="F69" s="15" t="n">
        <v>9</v>
      </c>
      <c r="G69" s="15" t="n">
        <v>8</v>
      </c>
      <c r="H69" s="15" t="n">
        <v>8</v>
      </c>
      <c r="I69" s="15" t="n">
        <v>3</v>
      </c>
      <c r="J69" s="15" t="n">
        <v>8</v>
      </c>
      <c r="K69" s="15" t="n">
        <v>8</v>
      </c>
      <c r="L69" s="15" t="n">
        <v>8</v>
      </c>
      <c r="M69" s="4" t="n">
        <f aca="false">ROUND(F69*Rubric!$B$4+G69*Rubric!$B$5+H69*Rubric!$B$6+I69*Rubric!$B$7+J69*Rubric!$B$8+K69*Rubric!$B$9+L69*Rubric!$B$10-IF(OR(H69&lt;Rubric!$B$12,K69&lt;Rubric!$B$12),Rubric!$B$13,0),2)</f>
        <v>7.6</v>
      </c>
      <c r="N69" s="14" t="n">
        <v>60</v>
      </c>
      <c r="O69" s="2" t="s">
        <v>457</v>
      </c>
    </row>
    <row r="70" customFormat="false" ht="23.85" hidden="false" customHeight="false" outlineLevel="0" collapsed="false">
      <c r="A70" s="2" t="s">
        <v>38</v>
      </c>
      <c r="B70" s="2" t="s">
        <v>39</v>
      </c>
      <c r="C70" s="14" t="n">
        <v>0</v>
      </c>
      <c r="D70" s="14" t="n">
        <v>2</v>
      </c>
      <c r="E70" s="2" t="s">
        <v>458</v>
      </c>
      <c r="F70" s="15" t="n">
        <v>8</v>
      </c>
      <c r="G70" s="15" t="n">
        <v>9</v>
      </c>
      <c r="H70" s="15" t="n">
        <v>7</v>
      </c>
      <c r="I70" s="15" t="n">
        <v>3</v>
      </c>
      <c r="J70" s="15" t="n">
        <v>9</v>
      </c>
      <c r="K70" s="15" t="n">
        <v>7</v>
      </c>
      <c r="L70" s="15" t="n">
        <v>8</v>
      </c>
      <c r="M70" s="4" t="n">
        <f aca="false">ROUND(F70*Rubric!$B$4+G70*Rubric!$B$5+H70*Rubric!$B$6+I70*Rubric!$B$7+J70*Rubric!$B$8+K70*Rubric!$B$9+L70*Rubric!$B$10-IF(OR(H70&lt;Rubric!$B$12,K70&lt;Rubric!$B$12),Rubric!$B$13,0),2)</f>
        <v>7.5</v>
      </c>
      <c r="N70" s="14" t="n">
        <v>61</v>
      </c>
      <c r="O70" s="2" t="s">
        <v>390</v>
      </c>
    </row>
    <row r="71" customFormat="false" ht="23.85" hidden="false" customHeight="false" outlineLevel="0" collapsed="false">
      <c r="A71" s="2" t="s">
        <v>38</v>
      </c>
      <c r="B71" s="2" t="s">
        <v>39</v>
      </c>
      <c r="C71" s="14" t="n">
        <v>3</v>
      </c>
      <c r="D71" s="14" t="n">
        <v>2</v>
      </c>
      <c r="E71" s="2" t="s">
        <v>341</v>
      </c>
      <c r="F71" s="15" t="n">
        <v>9</v>
      </c>
      <c r="G71" s="15" t="n">
        <v>9</v>
      </c>
      <c r="H71" s="15" t="n">
        <v>7</v>
      </c>
      <c r="I71" s="15" t="n">
        <v>3</v>
      </c>
      <c r="J71" s="15" t="n">
        <v>9</v>
      </c>
      <c r="K71" s="15" t="n">
        <v>7</v>
      </c>
      <c r="L71" s="15" t="n">
        <v>8</v>
      </c>
      <c r="M71" s="4" t="n">
        <f aca="false">ROUND(F71*Rubric!$B$4+G71*Rubric!$B$5+H71*Rubric!$B$6+I71*Rubric!$B$7+J71*Rubric!$B$8+K71*Rubric!$B$9+L71*Rubric!$B$10-IF(OR(H71&lt;Rubric!$B$12,K71&lt;Rubric!$B$12),Rubric!$B$13,0),2)</f>
        <v>7.6</v>
      </c>
      <c r="N71" s="14" t="n">
        <v>61</v>
      </c>
      <c r="O71" s="2" t="s">
        <v>395</v>
      </c>
    </row>
    <row r="72" customFormat="false" ht="23.85" hidden="false" customHeight="false" outlineLevel="0" collapsed="false">
      <c r="A72" s="2" t="s">
        <v>38</v>
      </c>
      <c r="B72" s="2" t="s">
        <v>39</v>
      </c>
      <c r="C72" s="14" t="n">
        <v>0</v>
      </c>
      <c r="D72" s="14" t="n">
        <v>3</v>
      </c>
      <c r="E72" s="2" t="s">
        <v>342</v>
      </c>
      <c r="F72" s="15" t="n">
        <v>9</v>
      </c>
      <c r="G72" s="15" t="n">
        <v>8</v>
      </c>
      <c r="H72" s="15" t="n">
        <v>8</v>
      </c>
      <c r="I72" s="15" t="n">
        <v>3</v>
      </c>
      <c r="J72" s="15" t="n">
        <v>8</v>
      </c>
      <c r="K72" s="15" t="n">
        <v>8</v>
      </c>
      <c r="L72" s="15" t="n">
        <v>8</v>
      </c>
      <c r="M72" s="4" t="n">
        <f aca="false">ROUND(F72*Rubric!$B$4+G72*Rubric!$B$5+H72*Rubric!$B$6+I72*Rubric!$B$7+J72*Rubric!$B$8+K72*Rubric!$B$9+L72*Rubric!$B$10-IF(OR(H72&lt;Rubric!$B$12,K72&lt;Rubric!$B$12),Rubric!$B$13,0),2)</f>
        <v>7.6</v>
      </c>
      <c r="N72" s="14" t="n">
        <v>62</v>
      </c>
      <c r="O72" s="2" t="s">
        <v>390</v>
      </c>
    </row>
    <row r="73" customFormat="false" ht="23.85" hidden="false" customHeight="false" outlineLevel="0" collapsed="false">
      <c r="A73" s="2" t="s">
        <v>38</v>
      </c>
      <c r="B73" s="2" t="s">
        <v>39</v>
      </c>
      <c r="C73" s="14" t="n">
        <v>0</v>
      </c>
      <c r="D73" s="14" t="n">
        <v>4</v>
      </c>
      <c r="E73" s="2" t="s">
        <v>459</v>
      </c>
      <c r="F73" s="15" t="n">
        <v>8</v>
      </c>
      <c r="G73" s="15" t="n">
        <v>7</v>
      </c>
      <c r="H73" s="15" t="n">
        <v>8</v>
      </c>
      <c r="I73" s="15" t="n">
        <v>3</v>
      </c>
      <c r="J73" s="15" t="n">
        <v>7</v>
      </c>
      <c r="K73" s="15" t="n">
        <v>7</v>
      </c>
      <c r="L73" s="15" t="n">
        <v>6</v>
      </c>
      <c r="M73" s="4" t="n">
        <f aca="false">ROUND(F73*Rubric!$B$4+G73*Rubric!$B$5+H73*Rubric!$B$6+I73*Rubric!$B$7+J73*Rubric!$B$8+K73*Rubric!$B$9+L73*Rubric!$B$10-IF(OR(H73&lt;Rubric!$B$12,K73&lt;Rubric!$B$12),Rubric!$B$13,0),2)</f>
        <v>6.8</v>
      </c>
      <c r="N73" s="14" t="n">
        <v>63</v>
      </c>
      <c r="O73" s="2" t="s">
        <v>390</v>
      </c>
    </row>
    <row r="74" customFormat="false" ht="23.85" hidden="false" customHeight="false" outlineLevel="0" collapsed="false">
      <c r="A74" s="2" t="s">
        <v>38</v>
      </c>
      <c r="B74" s="2" t="s">
        <v>39</v>
      </c>
      <c r="C74" s="14" t="n">
        <v>1</v>
      </c>
      <c r="D74" s="14" t="n">
        <v>4</v>
      </c>
      <c r="E74" s="2" t="s">
        <v>460</v>
      </c>
      <c r="F74" s="15" t="n">
        <v>8</v>
      </c>
      <c r="G74" s="15" t="n">
        <v>7</v>
      </c>
      <c r="H74" s="15" t="n">
        <v>8</v>
      </c>
      <c r="I74" s="15" t="n">
        <v>3</v>
      </c>
      <c r="J74" s="15" t="n">
        <v>7</v>
      </c>
      <c r="K74" s="15" t="n">
        <v>7</v>
      </c>
      <c r="L74" s="15" t="n">
        <v>6</v>
      </c>
      <c r="M74" s="4" t="n">
        <f aca="false">ROUND(F74*Rubric!$B$4+G74*Rubric!$B$5+H74*Rubric!$B$6+I74*Rubric!$B$7+J74*Rubric!$B$8+K74*Rubric!$B$9+L74*Rubric!$B$10-IF(OR(H74&lt;Rubric!$B$12,K74&lt;Rubric!$B$12),Rubric!$B$13,0),2)</f>
        <v>6.8</v>
      </c>
      <c r="N74" s="14" t="n">
        <v>63</v>
      </c>
      <c r="O74" s="2" t="s">
        <v>461</v>
      </c>
    </row>
    <row r="75" customFormat="false" ht="23.85" hidden="false" customHeight="false" outlineLevel="0" collapsed="false">
      <c r="A75" s="2" t="s">
        <v>38</v>
      </c>
      <c r="B75" s="2" t="s">
        <v>39</v>
      </c>
      <c r="C75" s="14" t="n">
        <v>2</v>
      </c>
      <c r="D75" s="14" t="n">
        <v>4</v>
      </c>
      <c r="E75" s="2" t="s">
        <v>343</v>
      </c>
      <c r="F75" s="15" t="n">
        <v>9</v>
      </c>
      <c r="G75" s="15" t="n">
        <v>8</v>
      </c>
      <c r="H75" s="15" t="n">
        <v>8</v>
      </c>
      <c r="I75" s="15" t="n">
        <v>3</v>
      </c>
      <c r="J75" s="15" t="n">
        <v>8</v>
      </c>
      <c r="K75" s="15" t="n">
        <v>8</v>
      </c>
      <c r="L75" s="15" t="n">
        <v>7</v>
      </c>
      <c r="M75" s="4" t="n">
        <f aca="false">ROUND(F75*Rubric!$B$4+G75*Rubric!$B$5+H75*Rubric!$B$6+I75*Rubric!$B$7+J75*Rubric!$B$8+K75*Rubric!$B$9+L75*Rubric!$B$10-IF(OR(H75&lt;Rubric!$B$12,K75&lt;Rubric!$B$12),Rubric!$B$13,0),2)</f>
        <v>7.5</v>
      </c>
      <c r="N75" s="14" t="n">
        <v>63</v>
      </c>
      <c r="O75" s="2" t="s">
        <v>462</v>
      </c>
    </row>
    <row r="76" customFormat="false" ht="23.85" hidden="false" customHeight="false" outlineLevel="0" collapsed="false">
      <c r="A76" s="2" t="s">
        <v>38</v>
      </c>
      <c r="B76" s="2" t="s">
        <v>39</v>
      </c>
      <c r="C76" s="14" t="n">
        <v>0</v>
      </c>
      <c r="D76" s="14" t="n">
        <v>5</v>
      </c>
      <c r="E76" s="2" t="s">
        <v>463</v>
      </c>
      <c r="F76" s="15" t="n">
        <v>8</v>
      </c>
      <c r="G76" s="15" t="n">
        <v>6</v>
      </c>
      <c r="H76" s="15" t="n">
        <v>8</v>
      </c>
      <c r="I76" s="15" t="n">
        <v>8</v>
      </c>
      <c r="J76" s="15" t="n">
        <v>6</v>
      </c>
      <c r="K76" s="15" t="n">
        <v>7</v>
      </c>
      <c r="L76" s="15" t="n">
        <v>7</v>
      </c>
      <c r="M76" s="4" t="n">
        <f aca="false">ROUND(F76*Rubric!$B$4+G76*Rubric!$B$5+H76*Rubric!$B$6+I76*Rubric!$B$7+J76*Rubric!$B$8+K76*Rubric!$B$9+L76*Rubric!$B$10-IF(OR(H76&lt;Rubric!$B$12,K76&lt;Rubric!$B$12),Rubric!$B$13,0),2)</f>
        <v>7.05</v>
      </c>
      <c r="N76" s="14" t="n">
        <v>64</v>
      </c>
      <c r="O76" s="2" t="s">
        <v>390</v>
      </c>
    </row>
    <row r="77" customFormat="false" ht="23.85" hidden="false" customHeight="false" outlineLevel="0" collapsed="false">
      <c r="A77" s="2" t="s">
        <v>38</v>
      </c>
      <c r="B77" s="2" t="s">
        <v>39</v>
      </c>
      <c r="C77" s="14" t="n">
        <v>2</v>
      </c>
      <c r="D77" s="14" t="n">
        <v>5</v>
      </c>
      <c r="E77" s="2" t="s">
        <v>344</v>
      </c>
      <c r="F77" s="15" t="n">
        <v>8</v>
      </c>
      <c r="G77" s="15" t="n">
        <v>7</v>
      </c>
      <c r="H77" s="15" t="n">
        <v>8</v>
      </c>
      <c r="I77" s="15" t="n">
        <v>8</v>
      </c>
      <c r="J77" s="15" t="n">
        <v>7</v>
      </c>
      <c r="K77" s="15" t="n">
        <v>8</v>
      </c>
      <c r="L77" s="15" t="n">
        <v>8</v>
      </c>
      <c r="M77" s="4" t="n">
        <f aca="false">ROUND(F77*Rubric!$B$4+G77*Rubric!$B$5+H77*Rubric!$B$6+I77*Rubric!$B$7+J77*Rubric!$B$8+K77*Rubric!$B$9+L77*Rubric!$B$10-IF(OR(H77&lt;Rubric!$B$12,K77&lt;Rubric!$B$12),Rubric!$B$13,0),2)</f>
        <v>7.65</v>
      </c>
      <c r="N77" s="14" t="n">
        <v>64</v>
      </c>
      <c r="O77" s="2" t="s">
        <v>464</v>
      </c>
    </row>
    <row r="78" customFormat="false" ht="35.05" hidden="false" customHeight="false" outlineLevel="0" collapsed="false">
      <c r="A78" s="2" t="s">
        <v>43</v>
      </c>
      <c r="B78" s="2" t="s">
        <v>44</v>
      </c>
      <c r="C78" s="14" t="n">
        <v>0</v>
      </c>
      <c r="D78" s="14" t="n">
        <v>1</v>
      </c>
      <c r="E78" s="2" t="s">
        <v>345</v>
      </c>
      <c r="F78" s="15" t="n">
        <v>9</v>
      </c>
      <c r="G78" s="15" t="n">
        <v>9</v>
      </c>
      <c r="H78" s="15" t="n">
        <v>8</v>
      </c>
      <c r="I78" s="15" t="n">
        <v>3</v>
      </c>
      <c r="J78" s="15" t="n">
        <v>9</v>
      </c>
      <c r="K78" s="15" t="n">
        <v>8</v>
      </c>
      <c r="L78" s="15" t="n">
        <v>9</v>
      </c>
      <c r="M78" s="4" t="n">
        <f aca="false">ROUND(F78*Rubric!$B$4+G78*Rubric!$B$5+H78*Rubric!$B$6+I78*Rubric!$B$7+J78*Rubric!$B$8+K78*Rubric!$B$9+L78*Rubric!$B$10-IF(OR(H78&lt;Rubric!$B$12,K78&lt;Rubric!$B$12),Rubric!$B$13,0),2)</f>
        <v>8.05</v>
      </c>
      <c r="N78" s="14" t="n">
        <v>70</v>
      </c>
      <c r="O78" s="2" t="s">
        <v>390</v>
      </c>
    </row>
    <row r="79" customFormat="false" ht="35.05" hidden="false" customHeight="false" outlineLevel="0" collapsed="false">
      <c r="A79" s="2" t="s">
        <v>43</v>
      </c>
      <c r="B79" s="2" t="s">
        <v>44</v>
      </c>
      <c r="C79" s="14" t="n">
        <v>0</v>
      </c>
      <c r="D79" s="14" t="n">
        <v>2</v>
      </c>
      <c r="E79" s="2" t="s">
        <v>346</v>
      </c>
      <c r="F79" s="15" t="n">
        <v>8</v>
      </c>
      <c r="G79" s="15" t="n">
        <v>9</v>
      </c>
      <c r="H79" s="15" t="n">
        <v>8</v>
      </c>
      <c r="I79" s="15" t="n">
        <v>3</v>
      </c>
      <c r="J79" s="15" t="n">
        <v>9</v>
      </c>
      <c r="K79" s="15" t="n">
        <v>8</v>
      </c>
      <c r="L79" s="15" t="n">
        <v>8</v>
      </c>
      <c r="M79" s="4" t="n">
        <f aca="false">ROUND(F79*Rubric!$B$4+G79*Rubric!$B$5+H79*Rubric!$B$6+I79*Rubric!$B$7+J79*Rubric!$B$8+K79*Rubric!$B$9+L79*Rubric!$B$10-IF(OR(H79&lt;Rubric!$B$12,K79&lt;Rubric!$B$12),Rubric!$B$13,0),2)</f>
        <v>7.85</v>
      </c>
      <c r="N79" s="14" t="n">
        <v>71</v>
      </c>
      <c r="O79" s="2" t="s">
        <v>390</v>
      </c>
    </row>
    <row r="80" customFormat="false" ht="35.05" hidden="false" customHeight="false" outlineLevel="0" collapsed="false">
      <c r="A80" s="2" t="s">
        <v>43</v>
      </c>
      <c r="B80" s="2" t="s">
        <v>44</v>
      </c>
      <c r="C80" s="14" t="n">
        <v>0</v>
      </c>
      <c r="D80" s="14" t="n">
        <v>3</v>
      </c>
      <c r="E80" s="2" t="s">
        <v>465</v>
      </c>
      <c r="F80" s="15" t="n">
        <v>7</v>
      </c>
      <c r="G80" s="15" t="n">
        <v>7</v>
      </c>
      <c r="H80" s="15" t="n">
        <v>6</v>
      </c>
      <c r="I80" s="15" t="n">
        <v>2</v>
      </c>
      <c r="J80" s="15" t="n">
        <v>8</v>
      </c>
      <c r="K80" s="15" t="n">
        <v>6</v>
      </c>
      <c r="L80" s="15" t="n">
        <v>6</v>
      </c>
      <c r="M80" s="4" t="n">
        <f aca="false">ROUND(F80*Rubric!$B$4+G80*Rubric!$B$5+H80*Rubric!$B$6+I80*Rubric!$B$7+J80*Rubric!$B$8+K80*Rubric!$B$9+L80*Rubric!$B$10-IF(OR(H80&lt;Rubric!$B$12,K80&lt;Rubric!$B$12),Rubric!$B$13,0),2)</f>
        <v>5.2</v>
      </c>
      <c r="N80" s="14" t="n">
        <v>72</v>
      </c>
      <c r="O80" s="2" t="s">
        <v>390</v>
      </c>
    </row>
    <row r="81" customFormat="false" ht="35.05" hidden="false" customHeight="false" outlineLevel="0" collapsed="false">
      <c r="A81" s="2" t="s">
        <v>43</v>
      </c>
      <c r="B81" s="2" t="s">
        <v>44</v>
      </c>
      <c r="C81" s="14" t="n">
        <v>1</v>
      </c>
      <c r="D81" s="14" t="n">
        <v>3</v>
      </c>
      <c r="E81" s="2" t="s">
        <v>347</v>
      </c>
      <c r="F81" s="15" t="n">
        <v>8</v>
      </c>
      <c r="G81" s="15" t="n">
        <v>8</v>
      </c>
      <c r="H81" s="15" t="n">
        <v>8</v>
      </c>
      <c r="I81" s="15" t="n">
        <v>3</v>
      </c>
      <c r="J81" s="15" t="n">
        <v>8</v>
      </c>
      <c r="K81" s="15" t="n">
        <v>8</v>
      </c>
      <c r="L81" s="15" t="n">
        <v>8</v>
      </c>
      <c r="M81" s="4" t="n">
        <f aca="false">ROUND(F81*Rubric!$B$4+G81*Rubric!$B$5+H81*Rubric!$B$6+I81*Rubric!$B$7+J81*Rubric!$B$8+K81*Rubric!$B$9+L81*Rubric!$B$10-IF(OR(H81&lt;Rubric!$B$12,K81&lt;Rubric!$B$12),Rubric!$B$13,0),2)</f>
        <v>7.5</v>
      </c>
      <c r="N81" s="14" t="n">
        <v>72</v>
      </c>
      <c r="O81" s="2" t="s">
        <v>466</v>
      </c>
    </row>
    <row r="82" customFormat="false" ht="35.05" hidden="false" customHeight="false" outlineLevel="0" collapsed="false">
      <c r="A82" s="2" t="s">
        <v>43</v>
      </c>
      <c r="B82" s="2" t="s">
        <v>44</v>
      </c>
      <c r="C82" s="14" t="n">
        <v>0</v>
      </c>
      <c r="D82" s="14" t="n">
        <v>4</v>
      </c>
      <c r="E82" s="2" t="s">
        <v>467</v>
      </c>
      <c r="F82" s="15" t="n">
        <v>8</v>
      </c>
      <c r="G82" s="15" t="n">
        <v>7</v>
      </c>
      <c r="H82" s="15" t="n">
        <v>8</v>
      </c>
      <c r="I82" s="15" t="n">
        <v>3</v>
      </c>
      <c r="J82" s="15" t="n">
        <v>7</v>
      </c>
      <c r="K82" s="15" t="n">
        <v>7</v>
      </c>
      <c r="L82" s="15" t="n">
        <v>7</v>
      </c>
      <c r="M82" s="4" t="n">
        <f aca="false">ROUND(F82*Rubric!$B$4+G82*Rubric!$B$5+H82*Rubric!$B$6+I82*Rubric!$B$7+J82*Rubric!$B$8+K82*Rubric!$B$9+L82*Rubric!$B$10-IF(OR(H82&lt;Rubric!$B$12,K82&lt;Rubric!$B$12),Rubric!$B$13,0),2)</f>
        <v>6.9</v>
      </c>
      <c r="N82" s="14" t="n">
        <v>73</v>
      </c>
      <c r="O82" s="2" t="s">
        <v>390</v>
      </c>
    </row>
    <row r="83" customFormat="false" ht="35.05" hidden="false" customHeight="false" outlineLevel="0" collapsed="false">
      <c r="A83" s="2" t="s">
        <v>43</v>
      </c>
      <c r="B83" s="2" t="s">
        <v>44</v>
      </c>
      <c r="C83" s="14" t="n">
        <v>1</v>
      </c>
      <c r="D83" s="14" t="n">
        <v>4</v>
      </c>
      <c r="E83" s="2" t="s">
        <v>348</v>
      </c>
      <c r="F83" s="15" t="n">
        <v>9</v>
      </c>
      <c r="G83" s="15" t="n">
        <v>8</v>
      </c>
      <c r="H83" s="15" t="n">
        <v>8</v>
      </c>
      <c r="I83" s="15" t="n">
        <v>3</v>
      </c>
      <c r="J83" s="15" t="n">
        <v>7</v>
      </c>
      <c r="K83" s="15" t="n">
        <v>8</v>
      </c>
      <c r="L83" s="15" t="n">
        <v>9</v>
      </c>
      <c r="M83" s="4" t="n">
        <f aca="false">ROUND(F83*Rubric!$B$4+G83*Rubric!$B$5+H83*Rubric!$B$6+I83*Rubric!$B$7+J83*Rubric!$B$8+K83*Rubric!$B$9+L83*Rubric!$B$10-IF(OR(H83&lt;Rubric!$B$12,K83&lt;Rubric!$B$12),Rubric!$B$13,0),2)</f>
        <v>7.55</v>
      </c>
      <c r="N83" s="14" t="n">
        <v>73</v>
      </c>
      <c r="O83" s="2" t="s">
        <v>468</v>
      </c>
    </row>
    <row r="84" customFormat="false" ht="35.05" hidden="false" customHeight="false" outlineLevel="0" collapsed="false">
      <c r="A84" s="2" t="s">
        <v>43</v>
      </c>
      <c r="B84" s="2" t="s">
        <v>44</v>
      </c>
      <c r="C84" s="14" t="n">
        <v>0</v>
      </c>
      <c r="D84" s="14" t="n">
        <v>5</v>
      </c>
      <c r="E84" s="2" t="s">
        <v>349</v>
      </c>
      <c r="F84" s="15" t="n">
        <v>8</v>
      </c>
      <c r="G84" s="15" t="n">
        <v>8</v>
      </c>
      <c r="H84" s="15" t="n">
        <v>8</v>
      </c>
      <c r="I84" s="15" t="n">
        <v>9</v>
      </c>
      <c r="J84" s="15" t="n">
        <v>8</v>
      </c>
      <c r="K84" s="15" t="n">
        <v>8</v>
      </c>
      <c r="L84" s="15" t="n">
        <v>9</v>
      </c>
      <c r="M84" s="4" t="n">
        <f aca="false">ROUND(F84*Rubric!$B$4+G84*Rubric!$B$5+H84*Rubric!$B$6+I84*Rubric!$B$7+J84*Rubric!$B$8+K84*Rubric!$B$9+L84*Rubric!$B$10-IF(OR(H84&lt;Rubric!$B$12,K84&lt;Rubric!$B$12),Rubric!$B$13,0),2)</f>
        <v>8.2</v>
      </c>
      <c r="N84" s="14" t="n">
        <v>74</v>
      </c>
      <c r="O84" s="2" t="s">
        <v>390</v>
      </c>
    </row>
    <row r="85" customFormat="false" ht="23.85" hidden="false" customHeight="false" outlineLevel="0" collapsed="false">
      <c r="A85" s="2" t="s">
        <v>48</v>
      </c>
      <c r="B85" s="2" t="s">
        <v>49</v>
      </c>
      <c r="C85" s="14" t="n">
        <v>0</v>
      </c>
      <c r="D85" s="14" t="n">
        <v>1</v>
      </c>
      <c r="E85" s="2" t="s">
        <v>469</v>
      </c>
      <c r="F85" s="15" t="n">
        <v>7</v>
      </c>
      <c r="G85" s="15" t="n">
        <v>7</v>
      </c>
      <c r="H85" s="15" t="n">
        <v>8</v>
      </c>
      <c r="I85" s="15" t="n">
        <v>3</v>
      </c>
      <c r="J85" s="15" t="n">
        <v>8</v>
      </c>
      <c r="K85" s="15" t="n">
        <v>7</v>
      </c>
      <c r="L85" s="15" t="n">
        <v>6</v>
      </c>
      <c r="M85" s="4" t="n">
        <f aca="false">ROUND(F85*Rubric!$B$4+G85*Rubric!$B$5+H85*Rubric!$B$6+I85*Rubric!$B$7+J85*Rubric!$B$8+K85*Rubric!$B$9+L85*Rubric!$B$10-IF(OR(H85&lt;Rubric!$B$12,K85&lt;Rubric!$B$12),Rubric!$B$13,0),2)</f>
        <v>6.85</v>
      </c>
      <c r="N85" s="14" t="n">
        <v>80</v>
      </c>
      <c r="O85" s="2" t="s">
        <v>390</v>
      </c>
    </row>
    <row r="86" customFormat="false" ht="23.85" hidden="false" customHeight="false" outlineLevel="0" collapsed="false">
      <c r="A86" s="2" t="s">
        <v>48</v>
      </c>
      <c r="B86" s="2" t="s">
        <v>49</v>
      </c>
      <c r="C86" s="14" t="n">
        <v>1</v>
      </c>
      <c r="D86" s="14" t="n">
        <v>1</v>
      </c>
      <c r="E86" s="2" t="s">
        <v>470</v>
      </c>
      <c r="F86" s="15" t="n">
        <v>8</v>
      </c>
      <c r="G86" s="15" t="n">
        <v>7</v>
      </c>
      <c r="H86" s="15" t="n">
        <v>8</v>
      </c>
      <c r="I86" s="15" t="n">
        <v>3</v>
      </c>
      <c r="J86" s="15" t="n">
        <v>8</v>
      </c>
      <c r="K86" s="15" t="n">
        <v>7</v>
      </c>
      <c r="L86" s="15" t="n">
        <v>6</v>
      </c>
      <c r="M86" s="4" t="n">
        <f aca="false">ROUND(F86*Rubric!$B$4+G86*Rubric!$B$5+H86*Rubric!$B$6+I86*Rubric!$B$7+J86*Rubric!$B$8+K86*Rubric!$B$9+L86*Rubric!$B$10-IF(OR(H86&lt;Rubric!$B$12,K86&lt;Rubric!$B$12),Rubric!$B$13,0),2)</f>
        <v>6.95</v>
      </c>
      <c r="N86" s="14" t="n">
        <v>80</v>
      </c>
      <c r="O86" s="2" t="s">
        <v>471</v>
      </c>
    </row>
    <row r="87" customFormat="false" ht="23.85" hidden="false" customHeight="false" outlineLevel="0" collapsed="false">
      <c r="A87" s="2" t="s">
        <v>48</v>
      </c>
      <c r="B87" s="2" t="s">
        <v>49</v>
      </c>
      <c r="C87" s="14" t="n">
        <v>2</v>
      </c>
      <c r="D87" s="14" t="n">
        <v>1</v>
      </c>
      <c r="E87" s="2" t="s">
        <v>350</v>
      </c>
      <c r="F87" s="15" t="n">
        <v>8</v>
      </c>
      <c r="G87" s="15" t="n">
        <v>8</v>
      </c>
      <c r="H87" s="15" t="n">
        <v>7</v>
      </c>
      <c r="I87" s="15" t="n">
        <v>3</v>
      </c>
      <c r="J87" s="15" t="n">
        <v>8</v>
      </c>
      <c r="K87" s="15" t="n">
        <v>7</v>
      </c>
      <c r="L87" s="15" t="n">
        <v>8</v>
      </c>
      <c r="M87" s="4" t="n">
        <f aca="false">ROUND(F87*Rubric!$B$4+G87*Rubric!$B$5+H87*Rubric!$B$6+I87*Rubric!$B$7+J87*Rubric!$B$8+K87*Rubric!$B$9+L87*Rubric!$B$10-IF(OR(H87&lt;Rubric!$B$12,K87&lt;Rubric!$B$12),Rubric!$B$13,0),2)</f>
        <v>7.15</v>
      </c>
      <c r="N87" s="14" t="n">
        <v>80</v>
      </c>
      <c r="O87" s="2" t="s">
        <v>472</v>
      </c>
    </row>
    <row r="88" customFormat="false" ht="23.85" hidden="false" customHeight="false" outlineLevel="0" collapsed="false">
      <c r="A88" s="2" t="s">
        <v>48</v>
      </c>
      <c r="B88" s="2" t="s">
        <v>49</v>
      </c>
      <c r="C88" s="14" t="n">
        <v>0</v>
      </c>
      <c r="D88" s="14" t="n">
        <v>2</v>
      </c>
      <c r="E88" s="2" t="s">
        <v>473</v>
      </c>
      <c r="F88" s="15" t="n">
        <v>8</v>
      </c>
      <c r="G88" s="15" t="n">
        <v>8</v>
      </c>
      <c r="H88" s="15" t="n">
        <v>6</v>
      </c>
      <c r="I88" s="15" t="n">
        <v>6</v>
      </c>
      <c r="J88" s="15" t="n">
        <v>9</v>
      </c>
      <c r="K88" s="15" t="n">
        <v>5</v>
      </c>
      <c r="L88" s="15" t="n">
        <v>8</v>
      </c>
      <c r="M88" s="4" t="n">
        <f aca="false">ROUND(F88*Rubric!$B$4+G88*Rubric!$B$5+H88*Rubric!$B$6+I88*Rubric!$B$7+J88*Rubric!$B$8+K88*Rubric!$B$9+L88*Rubric!$B$10-IF(OR(H88&lt;Rubric!$B$12,K88&lt;Rubric!$B$12),Rubric!$B$13,0),2)</f>
        <v>6.1</v>
      </c>
      <c r="N88" s="14" t="n">
        <v>81</v>
      </c>
      <c r="O88" s="2" t="s">
        <v>390</v>
      </c>
    </row>
    <row r="89" customFormat="false" ht="23.85" hidden="false" customHeight="false" outlineLevel="0" collapsed="false">
      <c r="A89" s="2" t="s">
        <v>48</v>
      </c>
      <c r="B89" s="2" t="s">
        <v>49</v>
      </c>
      <c r="C89" s="14" t="n">
        <v>1</v>
      </c>
      <c r="D89" s="14" t="n">
        <v>2</v>
      </c>
      <c r="E89" s="2" t="s">
        <v>351</v>
      </c>
      <c r="F89" s="15" t="n">
        <v>8</v>
      </c>
      <c r="G89" s="15" t="n">
        <v>8</v>
      </c>
      <c r="H89" s="15" t="n">
        <v>7</v>
      </c>
      <c r="I89" s="15" t="n">
        <v>9</v>
      </c>
      <c r="J89" s="15" t="n">
        <v>9</v>
      </c>
      <c r="K89" s="15" t="n">
        <v>7</v>
      </c>
      <c r="L89" s="15" t="n">
        <v>9</v>
      </c>
      <c r="M89" s="4" t="n">
        <f aca="false">ROUND(F89*Rubric!$B$4+G89*Rubric!$B$5+H89*Rubric!$B$6+I89*Rubric!$B$7+J89*Rubric!$B$8+K89*Rubric!$B$9+L89*Rubric!$B$10-IF(OR(H89&lt;Rubric!$B$12,K89&lt;Rubric!$B$12),Rubric!$B$13,0),2)</f>
        <v>8</v>
      </c>
      <c r="N89" s="14" t="n">
        <v>81</v>
      </c>
      <c r="O89" s="2" t="s">
        <v>474</v>
      </c>
    </row>
    <row r="90" customFormat="false" ht="23.85" hidden="false" customHeight="false" outlineLevel="0" collapsed="false">
      <c r="A90" s="2" t="s">
        <v>48</v>
      </c>
      <c r="B90" s="2" t="s">
        <v>49</v>
      </c>
      <c r="C90" s="14" t="n">
        <v>0</v>
      </c>
      <c r="D90" s="14" t="n">
        <v>3</v>
      </c>
      <c r="E90" s="2" t="s">
        <v>352</v>
      </c>
      <c r="F90" s="15" t="n">
        <v>9</v>
      </c>
      <c r="G90" s="15" t="n">
        <v>9</v>
      </c>
      <c r="H90" s="15" t="n">
        <v>7</v>
      </c>
      <c r="I90" s="15" t="n">
        <v>10</v>
      </c>
      <c r="J90" s="15" t="n">
        <v>10</v>
      </c>
      <c r="K90" s="15" t="n">
        <v>8</v>
      </c>
      <c r="L90" s="15" t="n">
        <v>10</v>
      </c>
      <c r="M90" s="4" t="n">
        <f aca="false">ROUND(F90*Rubric!$B$4+G90*Rubric!$B$5+H90*Rubric!$B$6+I90*Rubric!$B$7+J90*Rubric!$B$8+K90*Rubric!$B$9+L90*Rubric!$B$10-IF(OR(H90&lt;Rubric!$B$12,K90&lt;Rubric!$B$12),Rubric!$B$13,0),2)</f>
        <v>8.8</v>
      </c>
      <c r="N90" s="14" t="n">
        <v>82</v>
      </c>
      <c r="O90" s="2" t="s">
        <v>390</v>
      </c>
    </row>
    <row r="91" customFormat="false" ht="23.85" hidden="false" customHeight="false" outlineLevel="0" collapsed="false">
      <c r="A91" s="2" t="s">
        <v>48</v>
      </c>
      <c r="B91" s="2" t="s">
        <v>49</v>
      </c>
      <c r="C91" s="14" t="n">
        <v>0</v>
      </c>
      <c r="D91" s="14" t="n">
        <v>4</v>
      </c>
      <c r="E91" s="2" t="s">
        <v>475</v>
      </c>
      <c r="F91" s="15" t="n">
        <v>8</v>
      </c>
      <c r="G91" s="15" t="n">
        <v>8</v>
      </c>
      <c r="H91" s="15" t="n">
        <v>7</v>
      </c>
      <c r="I91" s="15" t="n">
        <v>10</v>
      </c>
      <c r="J91" s="15" t="n">
        <v>9</v>
      </c>
      <c r="K91" s="15" t="n">
        <v>6</v>
      </c>
      <c r="L91" s="15" t="n">
        <v>8</v>
      </c>
      <c r="M91" s="4" t="n">
        <f aca="false">ROUND(F91*Rubric!$B$4+G91*Rubric!$B$5+H91*Rubric!$B$6+I91*Rubric!$B$7+J91*Rubric!$B$8+K91*Rubric!$B$9+L91*Rubric!$B$10-IF(OR(H91&lt;Rubric!$B$12,K91&lt;Rubric!$B$12),Rubric!$B$13,0),2)</f>
        <v>6.85</v>
      </c>
      <c r="N91" s="14" t="n">
        <v>83</v>
      </c>
      <c r="O91" s="2" t="s">
        <v>390</v>
      </c>
    </row>
    <row r="92" customFormat="false" ht="23.85" hidden="false" customHeight="false" outlineLevel="0" collapsed="false">
      <c r="A92" s="2" t="s">
        <v>48</v>
      </c>
      <c r="B92" s="2" t="s">
        <v>49</v>
      </c>
      <c r="C92" s="14" t="n">
        <v>1</v>
      </c>
      <c r="D92" s="14" t="n">
        <v>4</v>
      </c>
      <c r="E92" s="2" t="s">
        <v>353</v>
      </c>
      <c r="F92" s="15" t="n">
        <v>7</v>
      </c>
      <c r="G92" s="15" t="n">
        <v>8</v>
      </c>
      <c r="H92" s="15" t="n">
        <v>8</v>
      </c>
      <c r="I92" s="15" t="n">
        <v>10</v>
      </c>
      <c r="J92" s="15" t="n">
        <v>9</v>
      </c>
      <c r="K92" s="15" t="n">
        <v>8</v>
      </c>
      <c r="L92" s="15" t="n">
        <v>9</v>
      </c>
      <c r="M92" s="4" t="n">
        <f aca="false">ROUND(F92*Rubric!$B$4+G92*Rubric!$B$5+H92*Rubric!$B$6+I92*Rubric!$B$7+J92*Rubric!$B$8+K92*Rubric!$B$9+L92*Rubric!$B$10-IF(OR(H92&lt;Rubric!$B$12,K92&lt;Rubric!$B$12),Rubric!$B$13,0),2)</f>
        <v>8.35</v>
      </c>
      <c r="N92" s="14" t="n">
        <v>83</v>
      </c>
      <c r="O92" s="2" t="s">
        <v>476</v>
      </c>
    </row>
    <row r="93" customFormat="false" ht="23.85" hidden="false" customHeight="false" outlineLevel="0" collapsed="false">
      <c r="A93" s="2" t="s">
        <v>48</v>
      </c>
      <c r="B93" s="2" t="s">
        <v>49</v>
      </c>
      <c r="C93" s="14" t="n">
        <v>0</v>
      </c>
      <c r="D93" s="14" t="n">
        <v>5</v>
      </c>
      <c r="E93" s="2" t="s">
        <v>477</v>
      </c>
      <c r="F93" s="15" t="n">
        <v>8</v>
      </c>
      <c r="G93" s="15" t="n">
        <v>7</v>
      </c>
      <c r="H93" s="15" t="n">
        <v>8</v>
      </c>
      <c r="I93" s="15" t="n">
        <v>4</v>
      </c>
      <c r="J93" s="15" t="n">
        <v>9</v>
      </c>
      <c r="K93" s="15" t="n">
        <v>7</v>
      </c>
      <c r="L93" s="15" t="n">
        <v>7</v>
      </c>
      <c r="M93" s="4" t="n">
        <f aca="false">ROUND(F93*Rubric!$B$4+G93*Rubric!$B$5+H93*Rubric!$B$6+I93*Rubric!$B$7+J93*Rubric!$B$8+K93*Rubric!$B$9+L93*Rubric!$B$10-IF(OR(H93&lt;Rubric!$B$12,K93&lt;Rubric!$B$12),Rubric!$B$13,0),2)</f>
        <v>7.3</v>
      </c>
      <c r="N93" s="14" t="n">
        <v>84</v>
      </c>
      <c r="O93" s="2" t="s">
        <v>390</v>
      </c>
    </row>
    <row r="94" customFormat="false" ht="23.85" hidden="false" customHeight="false" outlineLevel="0" collapsed="false">
      <c r="A94" s="2" t="s">
        <v>48</v>
      </c>
      <c r="B94" s="2" t="s">
        <v>49</v>
      </c>
      <c r="C94" s="14" t="n">
        <v>3</v>
      </c>
      <c r="D94" s="14" t="n">
        <v>5</v>
      </c>
      <c r="E94" s="2" t="s">
        <v>354</v>
      </c>
      <c r="F94" s="15" t="n">
        <v>8</v>
      </c>
      <c r="G94" s="15" t="n">
        <v>9</v>
      </c>
      <c r="H94" s="15" t="n">
        <v>8</v>
      </c>
      <c r="I94" s="15" t="n">
        <v>5</v>
      </c>
      <c r="J94" s="15" t="n">
        <v>9</v>
      </c>
      <c r="K94" s="15" t="n">
        <v>8</v>
      </c>
      <c r="L94" s="15" t="n">
        <v>8</v>
      </c>
      <c r="M94" s="4" t="n">
        <f aca="false">ROUND(F94*Rubric!$B$4+G94*Rubric!$B$5+H94*Rubric!$B$6+I94*Rubric!$B$7+J94*Rubric!$B$8+K94*Rubric!$B$9+L94*Rubric!$B$10-IF(OR(H94&lt;Rubric!$B$12,K94&lt;Rubric!$B$12),Rubric!$B$13,0),2)</f>
        <v>8.05</v>
      </c>
      <c r="N94" s="14" t="n">
        <v>84</v>
      </c>
      <c r="O94" s="2" t="s">
        <v>478</v>
      </c>
    </row>
    <row r="95" customFormat="false" ht="23.85" hidden="false" customHeight="false" outlineLevel="0" collapsed="false">
      <c r="A95" s="2" t="s">
        <v>53</v>
      </c>
      <c r="B95" s="2" t="s">
        <v>54</v>
      </c>
      <c r="C95" s="14" t="n">
        <v>0</v>
      </c>
      <c r="D95" s="14" t="n">
        <v>1</v>
      </c>
      <c r="E95" s="2" t="s">
        <v>355</v>
      </c>
      <c r="F95" s="15" t="n">
        <v>9</v>
      </c>
      <c r="G95" s="15" t="n">
        <v>9</v>
      </c>
      <c r="H95" s="15" t="n">
        <v>7</v>
      </c>
      <c r="I95" s="15" t="n">
        <v>4</v>
      </c>
      <c r="J95" s="15" t="n">
        <v>8</v>
      </c>
      <c r="K95" s="15" t="n">
        <v>7</v>
      </c>
      <c r="L95" s="15" t="n">
        <v>8</v>
      </c>
      <c r="M95" s="4" t="n">
        <f aca="false">ROUND(F95*Rubric!$B$4+G95*Rubric!$B$5+H95*Rubric!$B$6+I95*Rubric!$B$7+J95*Rubric!$B$8+K95*Rubric!$B$9+L95*Rubric!$B$10-IF(OR(H95&lt;Rubric!$B$12,K95&lt;Rubric!$B$12),Rubric!$B$13,0),2)</f>
        <v>7.55</v>
      </c>
      <c r="N95" s="14" t="n">
        <v>90</v>
      </c>
      <c r="O95" s="2" t="s">
        <v>390</v>
      </c>
    </row>
    <row r="96" customFormat="false" ht="23.85" hidden="false" customHeight="false" outlineLevel="0" collapsed="false">
      <c r="A96" s="2" t="s">
        <v>53</v>
      </c>
      <c r="B96" s="2" t="s">
        <v>54</v>
      </c>
      <c r="C96" s="14" t="n">
        <v>0</v>
      </c>
      <c r="D96" s="14" t="n">
        <v>2</v>
      </c>
      <c r="E96" s="2" t="s">
        <v>479</v>
      </c>
      <c r="F96" s="15" t="n">
        <v>8</v>
      </c>
      <c r="G96" s="15" t="n">
        <v>7</v>
      </c>
      <c r="H96" s="15" t="n">
        <v>8</v>
      </c>
      <c r="I96" s="15" t="n">
        <v>3</v>
      </c>
      <c r="J96" s="15" t="n">
        <v>7</v>
      </c>
      <c r="K96" s="15" t="n">
        <v>7</v>
      </c>
      <c r="L96" s="15" t="n">
        <v>5</v>
      </c>
      <c r="M96" s="4" t="n">
        <f aca="false">ROUND(F96*Rubric!$B$4+G96*Rubric!$B$5+H96*Rubric!$B$6+I96*Rubric!$B$7+J96*Rubric!$B$8+K96*Rubric!$B$9+L96*Rubric!$B$10-IF(OR(H96&lt;Rubric!$B$12,K96&lt;Rubric!$B$12),Rubric!$B$13,0),2)</f>
        <v>6.7</v>
      </c>
      <c r="N96" s="14" t="n">
        <v>91</v>
      </c>
      <c r="O96" s="2" t="s">
        <v>390</v>
      </c>
    </row>
    <row r="97" customFormat="false" ht="23.85" hidden="false" customHeight="false" outlineLevel="0" collapsed="false">
      <c r="A97" s="2" t="s">
        <v>53</v>
      </c>
      <c r="B97" s="2" t="s">
        <v>54</v>
      </c>
      <c r="C97" s="14" t="n">
        <v>1</v>
      </c>
      <c r="D97" s="14" t="n">
        <v>2</v>
      </c>
      <c r="E97" s="2" t="s">
        <v>480</v>
      </c>
      <c r="F97" s="15" t="n">
        <v>8</v>
      </c>
      <c r="G97" s="15" t="n">
        <v>7</v>
      </c>
      <c r="H97" s="15" t="n">
        <v>8</v>
      </c>
      <c r="I97" s="15" t="n">
        <v>3</v>
      </c>
      <c r="J97" s="15" t="n">
        <v>7</v>
      </c>
      <c r="K97" s="15" t="n">
        <v>7</v>
      </c>
      <c r="L97" s="15" t="n">
        <v>6</v>
      </c>
      <c r="M97" s="4" t="n">
        <f aca="false">ROUND(F97*Rubric!$B$4+G97*Rubric!$B$5+H97*Rubric!$B$6+I97*Rubric!$B$7+J97*Rubric!$B$8+K97*Rubric!$B$9+L97*Rubric!$B$10-IF(OR(H97&lt;Rubric!$B$12,K97&lt;Rubric!$B$12),Rubric!$B$13,0),2)</f>
        <v>6.8</v>
      </c>
      <c r="N97" s="14" t="n">
        <v>91</v>
      </c>
      <c r="O97" s="2" t="s">
        <v>481</v>
      </c>
    </row>
    <row r="98" customFormat="false" ht="23.85" hidden="false" customHeight="false" outlineLevel="0" collapsed="false">
      <c r="A98" s="2" t="s">
        <v>53</v>
      </c>
      <c r="B98" s="2" t="s">
        <v>54</v>
      </c>
      <c r="C98" s="14" t="n">
        <v>2</v>
      </c>
      <c r="D98" s="14" t="n">
        <v>2</v>
      </c>
      <c r="E98" s="2" t="s">
        <v>356</v>
      </c>
      <c r="F98" s="15" t="n">
        <v>7</v>
      </c>
      <c r="G98" s="15" t="n">
        <v>8</v>
      </c>
      <c r="H98" s="15" t="n">
        <v>8</v>
      </c>
      <c r="I98" s="15" t="n">
        <v>7</v>
      </c>
      <c r="J98" s="15" t="n">
        <v>8</v>
      </c>
      <c r="K98" s="15" t="n">
        <v>8</v>
      </c>
      <c r="L98" s="15" t="n">
        <v>8</v>
      </c>
      <c r="M98" s="4" t="n">
        <f aca="false">ROUND(F98*Rubric!$B$4+G98*Rubric!$B$5+H98*Rubric!$B$6+I98*Rubric!$B$7+J98*Rubric!$B$8+K98*Rubric!$B$9+L98*Rubric!$B$10-IF(OR(H98&lt;Rubric!$B$12,K98&lt;Rubric!$B$12),Rubric!$B$13,0),2)</f>
        <v>7.8</v>
      </c>
      <c r="N98" s="14" t="n">
        <v>91</v>
      </c>
      <c r="O98" s="2" t="s">
        <v>482</v>
      </c>
    </row>
    <row r="99" customFormat="false" ht="23.85" hidden="false" customHeight="false" outlineLevel="0" collapsed="false">
      <c r="A99" s="2" t="s">
        <v>53</v>
      </c>
      <c r="B99" s="2" t="s">
        <v>54</v>
      </c>
      <c r="C99" s="14" t="n">
        <v>0</v>
      </c>
      <c r="D99" s="14" t="n">
        <v>3</v>
      </c>
      <c r="E99" s="2" t="s">
        <v>357</v>
      </c>
      <c r="F99" s="15" t="n">
        <v>8</v>
      </c>
      <c r="G99" s="15" t="n">
        <v>8</v>
      </c>
      <c r="H99" s="15" t="n">
        <v>7</v>
      </c>
      <c r="I99" s="15" t="n">
        <v>10</v>
      </c>
      <c r="J99" s="15" t="n">
        <v>10</v>
      </c>
      <c r="K99" s="15" t="n">
        <v>7</v>
      </c>
      <c r="L99" s="15" t="n">
        <v>9</v>
      </c>
      <c r="M99" s="4" t="n">
        <f aca="false">ROUND(F99*Rubric!$B$4+G99*Rubric!$B$5+H99*Rubric!$B$6+I99*Rubric!$B$7+J99*Rubric!$B$8+K99*Rubric!$B$9+L99*Rubric!$B$10-IF(OR(H99&lt;Rubric!$B$12,K99&lt;Rubric!$B$12),Rubric!$B$13,0),2)</f>
        <v>8.25</v>
      </c>
      <c r="N99" s="14" t="n">
        <v>92</v>
      </c>
      <c r="O99" s="2" t="s">
        <v>390</v>
      </c>
    </row>
    <row r="100" customFormat="false" ht="23.85" hidden="false" customHeight="false" outlineLevel="0" collapsed="false">
      <c r="A100" s="2" t="s">
        <v>53</v>
      </c>
      <c r="B100" s="2" t="s">
        <v>54</v>
      </c>
      <c r="C100" s="14" t="n">
        <v>0</v>
      </c>
      <c r="D100" s="14" t="n">
        <v>4</v>
      </c>
      <c r="E100" s="2" t="s">
        <v>483</v>
      </c>
      <c r="F100" s="15" t="n">
        <v>7</v>
      </c>
      <c r="G100" s="15" t="n">
        <v>6</v>
      </c>
      <c r="H100" s="15" t="n">
        <v>7</v>
      </c>
      <c r="I100" s="15" t="n">
        <v>3</v>
      </c>
      <c r="J100" s="15" t="n">
        <v>7</v>
      </c>
      <c r="K100" s="15" t="n">
        <v>7</v>
      </c>
      <c r="L100" s="15" t="n">
        <v>6</v>
      </c>
      <c r="M100" s="4" t="n">
        <f aca="false">ROUND(F100*Rubric!$B$4+G100*Rubric!$B$5+H100*Rubric!$B$6+I100*Rubric!$B$7+J100*Rubric!$B$8+K100*Rubric!$B$9+L100*Rubric!$B$10-IF(OR(H100&lt;Rubric!$B$12,K100&lt;Rubric!$B$12),Rubric!$B$13,0),2)</f>
        <v>6.3</v>
      </c>
      <c r="N100" s="14" t="n">
        <v>93</v>
      </c>
      <c r="O100" s="2" t="s">
        <v>390</v>
      </c>
    </row>
    <row r="101" customFormat="false" ht="23.85" hidden="false" customHeight="false" outlineLevel="0" collapsed="false">
      <c r="A101" s="2" t="s">
        <v>53</v>
      </c>
      <c r="B101" s="2" t="s">
        <v>54</v>
      </c>
      <c r="C101" s="14" t="n">
        <v>1</v>
      </c>
      <c r="D101" s="14" t="n">
        <v>4</v>
      </c>
      <c r="E101" s="2" t="s">
        <v>484</v>
      </c>
      <c r="F101" s="15" t="n">
        <v>8</v>
      </c>
      <c r="G101" s="15" t="n">
        <v>7</v>
      </c>
      <c r="H101" s="15" t="n">
        <v>8</v>
      </c>
      <c r="I101" s="15" t="n">
        <v>4</v>
      </c>
      <c r="J101" s="15" t="n">
        <v>7</v>
      </c>
      <c r="K101" s="15" t="n">
        <v>7</v>
      </c>
      <c r="L101" s="15" t="n">
        <v>8</v>
      </c>
      <c r="M101" s="4" t="n">
        <f aca="false">ROUND(F101*Rubric!$B$4+G101*Rubric!$B$5+H101*Rubric!$B$6+I101*Rubric!$B$7+J101*Rubric!$B$8+K101*Rubric!$B$9+L101*Rubric!$B$10-IF(OR(H101&lt;Rubric!$B$12,K101&lt;Rubric!$B$12),Rubric!$B$13,0),2)</f>
        <v>7.1</v>
      </c>
      <c r="N101" s="14" t="n">
        <v>93</v>
      </c>
      <c r="O101" s="2" t="s">
        <v>485</v>
      </c>
    </row>
    <row r="102" customFormat="false" ht="23.85" hidden="false" customHeight="false" outlineLevel="0" collapsed="false">
      <c r="A102" s="2" t="s">
        <v>53</v>
      </c>
      <c r="B102" s="2" t="s">
        <v>54</v>
      </c>
      <c r="C102" s="14" t="n">
        <v>2</v>
      </c>
      <c r="D102" s="14" t="n">
        <v>4</v>
      </c>
      <c r="E102" s="2" t="s">
        <v>358</v>
      </c>
      <c r="F102" s="15" t="n">
        <v>9</v>
      </c>
      <c r="G102" s="15" t="n">
        <v>8</v>
      </c>
      <c r="H102" s="15" t="n">
        <v>8</v>
      </c>
      <c r="I102" s="15" t="n">
        <v>4</v>
      </c>
      <c r="J102" s="15" t="n">
        <v>7</v>
      </c>
      <c r="K102" s="15" t="n">
        <v>8</v>
      </c>
      <c r="L102" s="15" t="n">
        <v>8</v>
      </c>
      <c r="M102" s="4" t="n">
        <f aca="false">ROUND(F102*Rubric!$B$4+G102*Rubric!$B$5+H102*Rubric!$B$6+I102*Rubric!$B$7+J102*Rubric!$B$8+K102*Rubric!$B$9+L102*Rubric!$B$10-IF(OR(H102&lt;Rubric!$B$12,K102&lt;Rubric!$B$12),Rubric!$B$13,0),2)</f>
        <v>7.55</v>
      </c>
      <c r="N102" s="14" t="n">
        <v>93</v>
      </c>
      <c r="O102" s="2" t="s">
        <v>486</v>
      </c>
    </row>
    <row r="103" customFormat="false" ht="23.85" hidden="false" customHeight="false" outlineLevel="0" collapsed="false">
      <c r="A103" s="2" t="s">
        <v>53</v>
      </c>
      <c r="B103" s="2" t="s">
        <v>54</v>
      </c>
      <c r="C103" s="14" t="n">
        <v>0</v>
      </c>
      <c r="D103" s="14" t="n">
        <v>5</v>
      </c>
      <c r="E103" s="2" t="s">
        <v>487</v>
      </c>
      <c r="F103" s="15" t="n">
        <v>8</v>
      </c>
      <c r="G103" s="15" t="n">
        <v>7</v>
      </c>
      <c r="H103" s="15" t="n">
        <v>8</v>
      </c>
      <c r="I103" s="15" t="n">
        <v>3</v>
      </c>
      <c r="J103" s="15" t="n">
        <v>6</v>
      </c>
      <c r="K103" s="15" t="n">
        <v>7</v>
      </c>
      <c r="L103" s="15" t="n">
        <v>6</v>
      </c>
      <c r="M103" s="4" t="n">
        <f aca="false">ROUND(F103*Rubric!$B$4+G103*Rubric!$B$5+H103*Rubric!$B$6+I103*Rubric!$B$7+J103*Rubric!$B$8+K103*Rubric!$B$9+L103*Rubric!$B$10-IF(OR(H103&lt;Rubric!$B$12,K103&lt;Rubric!$B$12),Rubric!$B$13,0),2)</f>
        <v>6.65</v>
      </c>
      <c r="N103" s="14" t="n">
        <v>94</v>
      </c>
      <c r="O103" s="2" t="s">
        <v>390</v>
      </c>
    </row>
    <row r="104" customFormat="false" ht="23.85" hidden="false" customHeight="false" outlineLevel="0" collapsed="false">
      <c r="A104" s="2" t="s">
        <v>53</v>
      </c>
      <c r="B104" s="2" t="s">
        <v>54</v>
      </c>
      <c r="C104" s="14" t="n">
        <v>1</v>
      </c>
      <c r="D104" s="14" t="n">
        <v>5</v>
      </c>
      <c r="E104" s="2" t="s">
        <v>359</v>
      </c>
      <c r="F104" s="15" t="n">
        <v>9</v>
      </c>
      <c r="G104" s="15" t="n">
        <v>8</v>
      </c>
      <c r="H104" s="15" t="n">
        <v>8</v>
      </c>
      <c r="I104" s="15" t="n">
        <v>3</v>
      </c>
      <c r="J104" s="15" t="n">
        <v>7</v>
      </c>
      <c r="K104" s="15" t="n">
        <v>8</v>
      </c>
      <c r="L104" s="15" t="n">
        <v>9</v>
      </c>
      <c r="M104" s="4" t="n">
        <f aca="false">ROUND(F104*Rubric!$B$4+G104*Rubric!$B$5+H104*Rubric!$B$6+I104*Rubric!$B$7+J104*Rubric!$B$8+K104*Rubric!$B$9+L104*Rubric!$B$10-IF(OR(H104&lt;Rubric!$B$12,K104&lt;Rubric!$B$12),Rubric!$B$13,0),2)</f>
        <v>7.55</v>
      </c>
      <c r="N104" s="14" t="n">
        <v>94</v>
      </c>
      <c r="O104" s="2" t="s">
        <v>488</v>
      </c>
    </row>
    <row r="105" customFormat="false" ht="23.85" hidden="false" customHeight="false" outlineLevel="0" collapsed="false">
      <c r="A105" s="2" t="s">
        <v>57</v>
      </c>
      <c r="B105" s="2" t="s">
        <v>58</v>
      </c>
      <c r="C105" s="14" t="n">
        <v>0</v>
      </c>
      <c r="D105" s="14" t="n">
        <v>1</v>
      </c>
      <c r="E105" s="2" t="s">
        <v>489</v>
      </c>
      <c r="F105" s="15" t="n">
        <v>8</v>
      </c>
      <c r="G105" s="15" t="n">
        <v>8</v>
      </c>
      <c r="H105" s="15" t="n">
        <v>7</v>
      </c>
      <c r="I105" s="15" t="n">
        <v>10</v>
      </c>
      <c r="J105" s="15" t="n">
        <v>10</v>
      </c>
      <c r="K105" s="15" t="n">
        <v>6</v>
      </c>
      <c r="L105" s="15" t="n">
        <v>8</v>
      </c>
      <c r="M105" s="4" t="n">
        <f aca="false">ROUND(F105*Rubric!$B$4+G105*Rubric!$B$5+H105*Rubric!$B$6+I105*Rubric!$B$7+J105*Rubric!$B$8+K105*Rubric!$B$9+L105*Rubric!$B$10-IF(OR(H105&lt;Rubric!$B$12,K105&lt;Rubric!$B$12),Rubric!$B$13,0),2)</f>
        <v>7</v>
      </c>
      <c r="N105" s="14" t="n">
        <v>100</v>
      </c>
      <c r="O105" s="2" t="s">
        <v>390</v>
      </c>
    </row>
    <row r="106" customFormat="false" ht="23.85" hidden="false" customHeight="false" outlineLevel="0" collapsed="false">
      <c r="A106" s="2" t="s">
        <v>57</v>
      </c>
      <c r="B106" s="2" t="s">
        <v>58</v>
      </c>
      <c r="C106" s="14" t="n">
        <v>2</v>
      </c>
      <c r="D106" s="14" t="n">
        <v>1</v>
      </c>
      <c r="E106" s="2" t="s">
        <v>360</v>
      </c>
      <c r="F106" s="15" t="n">
        <v>8</v>
      </c>
      <c r="G106" s="15" t="n">
        <v>8</v>
      </c>
      <c r="H106" s="15" t="n">
        <v>7</v>
      </c>
      <c r="I106" s="15" t="n">
        <v>10</v>
      </c>
      <c r="J106" s="15" t="n">
        <v>10</v>
      </c>
      <c r="K106" s="15" t="n">
        <v>7</v>
      </c>
      <c r="L106" s="15" t="n">
        <v>9</v>
      </c>
      <c r="M106" s="4" t="n">
        <f aca="false">ROUND(F106*Rubric!$B$4+G106*Rubric!$B$5+H106*Rubric!$B$6+I106*Rubric!$B$7+J106*Rubric!$B$8+K106*Rubric!$B$9+L106*Rubric!$B$10-IF(OR(H106&lt;Rubric!$B$12,K106&lt;Rubric!$B$12),Rubric!$B$13,0),2)</f>
        <v>8.25</v>
      </c>
      <c r="N106" s="14" t="n">
        <v>100</v>
      </c>
      <c r="O106" s="2" t="s">
        <v>490</v>
      </c>
    </row>
    <row r="107" customFormat="false" ht="23.85" hidden="false" customHeight="false" outlineLevel="0" collapsed="false">
      <c r="A107" s="2" t="s">
        <v>57</v>
      </c>
      <c r="B107" s="2" t="s">
        <v>58</v>
      </c>
      <c r="C107" s="14" t="n">
        <v>0</v>
      </c>
      <c r="D107" s="14" t="n">
        <v>2</v>
      </c>
      <c r="E107" s="2" t="s">
        <v>361</v>
      </c>
      <c r="F107" s="15" t="n">
        <v>9</v>
      </c>
      <c r="G107" s="15" t="n">
        <v>8</v>
      </c>
      <c r="H107" s="15" t="n">
        <v>8</v>
      </c>
      <c r="I107" s="15" t="n">
        <v>10</v>
      </c>
      <c r="J107" s="15" t="n">
        <v>9</v>
      </c>
      <c r="K107" s="15" t="n">
        <v>8</v>
      </c>
      <c r="L107" s="15" t="n">
        <v>9</v>
      </c>
      <c r="M107" s="4" t="n">
        <f aca="false">ROUND(F107*Rubric!$B$4+G107*Rubric!$B$5+H107*Rubric!$B$6+I107*Rubric!$B$7+J107*Rubric!$B$8+K107*Rubric!$B$9+L107*Rubric!$B$10-IF(OR(H107&lt;Rubric!$B$12,K107&lt;Rubric!$B$12),Rubric!$B$13,0),2)</f>
        <v>8.55</v>
      </c>
      <c r="N107" s="14" t="n">
        <v>101</v>
      </c>
      <c r="O107" s="2" t="s">
        <v>390</v>
      </c>
    </row>
    <row r="108" customFormat="false" ht="23.85" hidden="false" customHeight="false" outlineLevel="0" collapsed="false">
      <c r="A108" s="2" t="s">
        <v>57</v>
      </c>
      <c r="B108" s="2" t="s">
        <v>58</v>
      </c>
      <c r="C108" s="14" t="n">
        <v>0</v>
      </c>
      <c r="D108" s="14" t="n">
        <v>3</v>
      </c>
      <c r="E108" s="2" t="s">
        <v>362</v>
      </c>
      <c r="F108" s="15" t="n">
        <v>9</v>
      </c>
      <c r="G108" s="15" t="n">
        <v>9</v>
      </c>
      <c r="H108" s="15" t="n">
        <v>8</v>
      </c>
      <c r="I108" s="15" t="n">
        <v>3</v>
      </c>
      <c r="J108" s="15" t="n">
        <v>8</v>
      </c>
      <c r="K108" s="15" t="n">
        <v>9</v>
      </c>
      <c r="L108" s="15" t="n">
        <v>8</v>
      </c>
      <c r="M108" s="4" t="n">
        <f aca="false">ROUND(F108*Rubric!$B$4+G108*Rubric!$B$5+H108*Rubric!$B$6+I108*Rubric!$B$7+J108*Rubric!$B$8+K108*Rubric!$B$9+L108*Rubric!$B$10-IF(OR(H108&lt;Rubric!$B$12,K108&lt;Rubric!$B$12),Rubric!$B$13,0),2)</f>
        <v>7.95</v>
      </c>
      <c r="N108" s="14" t="n">
        <v>102</v>
      </c>
      <c r="O108" s="2" t="s">
        <v>390</v>
      </c>
    </row>
    <row r="109" customFormat="false" ht="23.85" hidden="false" customHeight="false" outlineLevel="0" collapsed="false">
      <c r="A109" s="2" t="s">
        <v>57</v>
      </c>
      <c r="B109" s="2" t="s">
        <v>58</v>
      </c>
      <c r="C109" s="14" t="n">
        <v>0</v>
      </c>
      <c r="D109" s="14" t="n">
        <v>4</v>
      </c>
      <c r="E109" s="2" t="s">
        <v>491</v>
      </c>
      <c r="F109" s="15" t="n">
        <v>8</v>
      </c>
      <c r="G109" s="15" t="n">
        <v>7</v>
      </c>
      <c r="H109" s="15" t="n">
        <v>8</v>
      </c>
      <c r="I109" s="15" t="n">
        <v>5</v>
      </c>
      <c r="J109" s="15" t="n">
        <v>8</v>
      </c>
      <c r="K109" s="15" t="n">
        <v>7</v>
      </c>
      <c r="L109" s="15" t="n">
        <v>8</v>
      </c>
      <c r="M109" s="4" t="n">
        <f aca="false">ROUND(F109*Rubric!$B$4+G109*Rubric!$B$5+H109*Rubric!$B$6+I109*Rubric!$B$7+J109*Rubric!$B$8+K109*Rubric!$B$9+L109*Rubric!$B$10-IF(OR(H109&lt;Rubric!$B$12,K109&lt;Rubric!$B$12),Rubric!$B$13,0),2)</f>
        <v>7.35</v>
      </c>
      <c r="N109" s="14" t="n">
        <v>103</v>
      </c>
      <c r="O109" s="2" t="s">
        <v>390</v>
      </c>
    </row>
    <row r="110" customFormat="false" ht="23.85" hidden="false" customHeight="false" outlineLevel="0" collapsed="false">
      <c r="A110" s="2" t="s">
        <v>57</v>
      </c>
      <c r="B110" s="2" t="s">
        <v>58</v>
      </c>
      <c r="C110" s="14" t="n">
        <v>3</v>
      </c>
      <c r="D110" s="14" t="n">
        <v>4</v>
      </c>
      <c r="E110" s="2" t="s">
        <v>363</v>
      </c>
      <c r="F110" s="15" t="n">
        <v>9</v>
      </c>
      <c r="G110" s="15" t="n">
        <v>8</v>
      </c>
      <c r="H110" s="15" t="n">
        <v>8</v>
      </c>
      <c r="I110" s="15" t="n">
        <v>5</v>
      </c>
      <c r="J110" s="15" t="n">
        <v>8</v>
      </c>
      <c r="K110" s="15" t="n">
        <v>7</v>
      </c>
      <c r="L110" s="15" t="n">
        <v>8</v>
      </c>
      <c r="M110" s="4" t="n">
        <f aca="false">ROUND(F110*Rubric!$B$4+G110*Rubric!$B$5+H110*Rubric!$B$6+I110*Rubric!$B$7+J110*Rubric!$B$8+K110*Rubric!$B$9+L110*Rubric!$B$10-IF(OR(H110&lt;Rubric!$B$12,K110&lt;Rubric!$B$12),Rubric!$B$13,0),2)</f>
        <v>7.65</v>
      </c>
      <c r="N110" s="14" t="n">
        <v>103</v>
      </c>
      <c r="O110" s="2" t="s">
        <v>492</v>
      </c>
    </row>
    <row r="111" customFormat="false" ht="23.85" hidden="false" customHeight="false" outlineLevel="0" collapsed="false">
      <c r="A111" s="2" t="s">
        <v>57</v>
      </c>
      <c r="B111" s="2" t="s">
        <v>58</v>
      </c>
      <c r="C111" s="14" t="n">
        <v>0</v>
      </c>
      <c r="D111" s="14" t="n">
        <v>5</v>
      </c>
      <c r="E111" s="2" t="s">
        <v>493</v>
      </c>
      <c r="F111" s="15" t="n">
        <v>7</v>
      </c>
      <c r="G111" s="15" t="n">
        <v>6</v>
      </c>
      <c r="H111" s="15" t="n">
        <v>8</v>
      </c>
      <c r="I111" s="15" t="n">
        <v>3</v>
      </c>
      <c r="J111" s="15" t="n">
        <v>6</v>
      </c>
      <c r="K111" s="15" t="n">
        <v>6</v>
      </c>
      <c r="L111" s="15" t="n">
        <v>5</v>
      </c>
      <c r="M111" s="4" t="n">
        <f aca="false">ROUND(F111*Rubric!$B$4+G111*Rubric!$B$5+H111*Rubric!$B$6+I111*Rubric!$B$7+J111*Rubric!$B$8+K111*Rubric!$B$9+L111*Rubric!$B$10-IF(OR(H111&lt;Rubric!$B$12,K111&lt;Rubric!$B$12),Rubric!$B$13,0),2)</f>
        <v>5.1</v>
      </c>
      <c r="N111" s="14" t="n">
        <v>104</v>
      </c>
      <c r="O111" s="2" t="s">
        <v>390</v>
      </c>
    </row>
    <row r="112" customFormat="false" ht="23.85" hidden="false" customHeight="false" outlineLevel="0" collapsed="false">
      <c r="A112" s="2" t="s">
        <v>57</v>
      </c>
      <c r="B112" s="2" t="s">
        <v>58</v>
      </c>
      <c r="C112" s="14" t="n">
        <v>1</v>
      </c>
      <c r="D112" s="14" t="n">
        <v>5</v>
      </c>
      <c r="E112" s="2" t="s">
        <v>494</v>
      </c>
      <c r="F112" s="15" t="n">
        <v>8</v>
      </c>
      <c r="G112" s="15" t="n">
        <v>7</v>
      </c>
      <c r="H112" s="15" t="n">
        <v>8</v>
      </c>
      <c r="I112" s="15" t="n">
        <v>3</v>
      </c>
      <c r="J112" s="15" t="n">
        <v>7</v>
      </c>
      <c r="K112" s="15" t="n">
        <v>8</v>
      </c>
      <c r="L112" s="15" t="n">
        <v>7</v>
      </c>
      <c r="M112" s="4" t="n">
        <f aca="false">ROUND(F112*Rubric!$B$4+G112*Rubric!$B$5+H112*Rubric!$B$6+I112*Rubric!$B$7+J112*Rubric!$B$8+K112*Rubric!$B$9+L112*Rubric!$B$10-IF(OR(H112&lt;Rubric!$B$12,K112&lt;Rubric!$B$12),Rubric!$B$13,0),2)</f>
        <v>7.05</v>
      </c>
      <c r="N112" s="14" t="n">
        <v>104</v>
      </c>
      <c r="O112" s="2" t="s">
        <v>495</v>
      </c>
    </row>
    <row r="113" customFormat="false" ht="23.85" hidden="false" customHeight="false" outlineLevel="0" collapsed="false">
      <c r="A113" s="2" t="s">
        <v>57</v>
      </c>
      <c r="B113" s="2" t="s">
        <v>58</v>
      </c>
      <c r="C113" s="14" t="n">
        <v>2</v>
      </c>
      <c r="D113" s="14" t="n">
        <v>5</v>
      </c>
      <c r="E113" s="2" t="s">
        <v>364</v>
      </c>
      <c r="F113" s="15" t="n">
        <v>7</v>
      </c>
      <c r="G113" s="15" t="n">
        <v>7</v>
      </c>
      <c r="H113" s="15" t="n">
        <v>8</v>
      </c>
      <c r="I113" s="15" t="n">
        <v>8</v>
      </c>
      <c r="J113" s="15" t="n">
        <v>8</v>
      </c>
      <c r="K113" s="15" t="n">
        <v>8</v>
      </c>
      <c r="L113" s="15" t="n">
        <v>8</v>
      </c>
      <c r="M113" s="4" t="n">
        <f aca="false">ROUND(F113*Rubric!$B$4+G113*Rubric!$B$5+H113*Rubric!$B$6+I113*Rubric!$B$7+J113*Rubric!$B$8+K113*Rubric!$B$9+L113*Rubric!$B$10-IF(OR(H113&lt;Rubric!$B$12,K113&lt;Rubric!$B$12),Rubric!$B$13,0),2)</f>
        <v>7.7</v>
      </c>
      <c r="N113" s="14" t="n">
        <v>104</v>
      </c>
      <c r="O113" s="2" t="s">
        <v>496</v>
      </c>
    </row>
    <row r="114" customFormat="false" ht="23.85" hidden="false" customHeight="false" outlineLevel="0" collapsed="false">
      <c r="A114" s="2" t="s">
        <v>62</v>
      </c>
      <c r="B114" s="2" t="s">
        <v>63</v>
      </c>
      <c r="C114" s="14" t="n">
        <v>0</v>
      </c>
      <c r="D114" s="14" t="n">
        <v>1</v>
      </c>
      <c r="E114" s="2" t="s">
        <v>497</v>
      </c>
      <c r="F114" s="15" t="n">
        <v>8</v>
      </c>
      <c r="G114" s="15" t="n">
        <v>8</v>
      </c>
      <c r="H114" s="15" t="n">
        <v>7</v>
      </c>
      <c r="I114" s="15" t="n">
        <v>3</v>
      </c>
      <c r="J114" s="15" t="n">
        <v>8</v>
      </c>
      <c r="K114" s="15" t="n">
        <v>7</v>
      </c>
      <c r="L114" s="15" t="n">
        <v>7</v>
      </c>
      <c r="M114" s="4" t="n">
        <f aca="false">ROUND(F114*Rubric!$B$4+G114*Rubric!$B$5+H114*Rubric!$B$6+I114*Rubric!$B$7+J114*Rubric!$B$8+K114*Rubric!$B$9+L114*Rubric!$B$10-IF(OR(H114&lt;Rubric!$B$12,K114&lt;Rubric!$B$12),Rubric!$B$13,0),2)</f>
        <v>7.05</v>
      </c>
      <c r="N114" s="14" t="n">
        <v>110</v>
      </c>
      <c r="O114" s="2" t="s">
        <v>390</v>
      </c>
    </row>
    <row r="115" customFormat="false" ht="23.85" hidden="false" customHeight="false" outlineLevel="0" collapsed="false">
      <c r="A115" s="2" t="s">
        <v>62</v>
      </c>
      <c r="B115" s="2" t="s">
        <v>63</v>
      </c>
      <c r="C115" s="14" t="n">
        <v>2</v>
      </c>
      <c r="D115" s="14" t="n">
        <v>1</v>
      </c>
      <c r="E115" s="2" t="s">
        <v>365</v>
      </c>
      <c r="F115" s="15" t="n">
        <v>9</v>
      </c>
      <c r="G115" s="15" t="n">
        <v>8</v>
      </c>
      <c r="H115" s="15" t="n">
        <v>8</v>
      </c>
      <c r="I115" s="15" t="n">
        <v>3</v>
      </c>
      <c r="J115" s="15" t="n">
        <v>8</v>
      </c>
      <c r="K115" s="15" t="n">
        <v>8</v>
      </c>
      <c r="L115" s="15" t="n">
        <v>7</v>
      </c>
      <c r="M115" s="4" t="n">
        <f aca="false">ROUND(F115*Rubric!$B$4+G115*Rubric!$B$5+H115*Rubric!$B$6+I115*Rubric!$B$7+J115*Rubric!$B$8+K115*Rubric!$B$9+L115*Rubric!$B$10-IF(OR(H115&lt;Rubric!$B$12,K115&lt;Rubric!$B$12),Rubric!$B$13,0),2)</f>
        <v>7.5</v>
      </c>
      <c r="N115" s="14" t="n">
        <v>110</v>
      </c>
      <c r="O115" s="2" t="s">
        <v>498</v>
      </c>
    </row>
    <row r="116" customFormat="false" ht="23.85" hidden="false" customHeight="false" outlineLevel="0" collapsed="false">
      <c r="A116" s="2" t="s">
        <v>62</v>
      </c>
      <c r="B116" s="2" t="s">
        <v>63</v>
      </c>
      <c r="C116" s="14" t="n">
        <v>0</v>
      </c>
      <c r="D116" s="14" t="n">
        <v>2</v>
      </c>
      <c r="E116" s="2" t="s">
        <v>366</v>
      </c>
      <c r="F116" s="15" t="n">
        <v>9</v>
      </c>
      <c r="G116" s="15" t="n">
        <v>9</v>
      </c>
      <c r="H116" s="15" t="n">
        <v>8</v>
      </c>
      <c r="I116" s="15" t="n">
        <v>3</v>
      </c>
      <c r="J116" s="15" t="n">
        <v>8</v>
      </c>
      <c r="K116" s="15" t="n">
        <v>9</v>
      </c>
      <c r="L116" s="15" t="n">
        <v>8</v>
      </c>
      <c r="M116" s="4" t="n">
        <f aca="false">ROUND(F116*Rubric!$B$4+G116*Rubric!$B$5+H116*Rubric!$B$6+I116*Rubric!$B$7+J116*Rubric!$B$8+K116*Rubric!$B$9+L116*Rubric!$B$10-IF(OR(H116&lt;Rubric!$B$12,K116&lt;Rubric!$B$12),Rubric!$B$13,0),2)</f>
        <v>7.95</v>
      </c>
      <c r="N116" s="14" t="n">
        <v>111</v>
      </c>
      <c r="O116" s="2" t="s">
        <v>390</v>
      </c>
    </row>
    <row r="117" customFormat="false" ht="23.85" hidden="false" customHeight="false" outlineLevel="0" collapsed="false">
      <c r="A117" s="2" t="s">
        <v>62</v>
      </c>
      <c r="B117" s="2" t="s">
        <v>63</v>
      </c>
      <c r="C117" s="14" t="n">
        <v>0</v>
      </c>
      <c r="D117" s="14" t="n">
        <v>3</v>
      </c>
      <c r="E117" s="2" t="s">
        <v>499</v>
      </c>
      <c r="F117" s="15" t="n">
        <v>8</v>
      </c>
      <c r="G117" s="15" t="n">
        <v>8</v>
      </c>
      <c r="H117" s="15" t="n">
        <v>6</v>
      </c>
      <c r="I117" s="15" t="n">
        <v>3</v>
      </c>
      <c r="J117" s="15" t="n">
        <v>8</v>
      </c>
      <c r="K117" s="15" t="n">
        <v>6</v>
      </c>
      <c r="L117" s="15" t="n">
        <v>7</v>
      </c>
      <c r="M117" s="4" t="n">
        <f aca="false">ROUND(F117*Rubric!$B$4+G117*Rubric!$B$5+H117*Rubric!$B$6+I117*Rubric!$B$7+J117*Rubric!$B$8+K117*Rubric!$B$9+L117*Rubric!$B$10-IF(OR(H117&lt;Rubric!$B$12,K117&lt;Rubric!$B$12),Rubric!$B$13,0),2)</f>
        <v>5.7</v>
      </c>
      <c r="N117" s="14" t="n">
        <v>112</v>
      </c>
      <c r="O117" s="2" t="s">
        <v>390</v>
      </c>
    </row>
    <row r="118" customFormat="false" ht="23.85" hidden="false" customHeight="false" outlineLevel="0" collapsed="false">
      <c r="A118" s="2" t="s">
        <v>62</v>
      </c>
      <c r="B118" s="2" t="s">
        <v>63</v>
      </c>
      <c r="C118" s="14" t="n">
        <v>1</v>
      </c>
      <c r="D118" s="14" t="n">
        <v>3</v>
      </c>
      <c r="E118" s="2" t="s">
        <v>500</v>
      </c>
      <c r="F118" s="15" t="n">
        <v>8</v>
      </c>
      <c r="G118" s="15" t="n">
        <v>7</v>
      </c>
      <c r="H118" s="15" t="n">
        <v>8</v>
      </c>
      <c r="I118" s="15" t="n">
        <v>3</v>
      </c>
      <c r="J118" s="15" t="n">
        <v>8</v>
      </c>
      <c r="K118" s="15" t="n">
        <v>8</v>
      </c>
      <c r="L118" s="15" t="n">
        <v>8</v>
      </c>
      <c r="M118" s="4" t="n">
        <f aca="false">ROUND(F118*Rubric!$B$4+G118*Rubric!$B$5+H118*Rubric!$B$6+I118*Rubric!$B$7+J118*Rubric!$B$8+K118*Rubric!$B$9+L118*Rubric!$B$10-IF(OR(H118&lt;Rubric!$B$12,K118&lt;Rubric!$B$12),Rubric!$B$13,0),2)</f>
        <v>7.3</v>
      </c>
      <c r="N118" s="14" t="n">
        <v>112</v>
      </c>
      <c r="O118" s="2" t="s">
        <v>501</v>
      </c>
    </row>
    <row r="119" customFormat="false" ht="23.85" hidden="false" customHeight="false" outlineLevel="0" collapsed="false">
      <c r="A119" s="2" t="s">
        <v>62</v>
      </c>
      <c r="B119" s="2" t="s">
        <v>63</v>
      </c>
      <c r="C119" s="14" t="n">
        <v>3</v>
      </c>
      <c r="D119" s="14" t="n">
        <v>3</v>
      </c>
      <c r="E119" s="2" t="s">
        <v>367</v>
      </c>
      <c r="F119" s="15" t="n">
        <v>9</v>
      </c>
      <c r="G119" s="15" t="n">
        <v>8</v>
      </c>
      <c r="H119" s="15" t="n">
        <v>8</v>
      </c>
      <c r="I119" s="15" t="n">
        <v>3</v>
      </c>
      <c r="J119" s="15" t="n">
        <v>8</v>
      </c>
      <c r="K119" s="15" t="n">
        <v>8</v>
      </c>
      <c r="L119" s="15" t="n">
        <v>8</v>
      </c>
      <c r="M119" s="4" t="n">
        <f aca="false">ROUND(F119*Rubric!$B$4+G119*Rubric!$B$5+H119*Rubric!$B$6+I119*Rubric!$B$7+J119*Rubric!$B$8+K119*Rubric!$B$9+L119*Rubric!$B$10-IF(OR(H119&lt;Rubric!$B$12,K119&lt;Rubric!$B$12),Rubric!$B$13,0),2)</f>
        <v>7.6</v>
      </c>
      <c r="N119" s="14" t="n">
        <v>112</v>
      </c>
      <c r="O119" s="2" t="s">
        <v>502</v>
      </c>
    </row>
    <row r="120" customFormat="false" ht="23.85" hidden="false" customHeight="false" outlineLevel="0" collapsed="false">
      <c r="A120" s="2" t="s">
        <v>62</v>
      </c>
      <c r="B120" s="2" t="s">
        <v>63</v>
      </c>
      <c r="C120" s="14" t="n">
        <v>0</v>
      </c>
      <c r="D120" s="14" t="n">
        <v>4</v>
      </c>
      <c r="E120" s="2" t="s">
        <v>503</v>
      </c>
      <c r="F120" s="15" t="n">
        <v>8</v>
      </c>
      <c r="G120" s="15" t="n">
        <v>6</v>
      </c>
      <c r="H120" s="15" t="n">
        <v>8</v>
      </c>
      <c r="I120" s="15" t="n">
        <v>8</v>
      </c>
      <c r="J120" s="15" t="n">
        <v>6</v>
      </c>
      <c r="K120" s="15" t="n">
        <v>7</v>
      </c>
      <c r="L120" s="15" t="n">
        <v>6</v>
      </c>
      <c r="M120" s="4" t="n">
        <f aca="false">ROUND(F120*Rubric!$B$4+G120*Rubric!$B$5+H120*Rubric!$B$6+I120*Rubric!$B$7+J120*Rubric!$B$8+K120*Rubric!$B$9+L120*Rubric!$B$10-IF(OR(H120&lt;Rubric!$B$12,K120&lt;Rubric!$B$12),Rubric!$B$13,0),2)</f>
        <v>6.95</v>
      </c>
      <c r="N120" s="14" t="n">
        <v>113</v>
      </c>
      <c r="O120" s="2" t="s">
        <v>390</v>
      </c>
    </row>
    <row r="121" customFormat="false" ht="23.85" hidden="false" customHeight="false" outlineLevel="0" collapsed="false">
      <c r="A121" s="2" t="s">
        <v>62</v>
      </c>
      <c r="B121" s="2" t="s">
        <v>63</v>
      </c>
      <c r="C121" s="14" t="n">
        <v>2</v>
      </c>
      <c r="D121" s="14" t="n">
        <v>4</v>
      </c>
      <c r="E121" s="2" t="s">
        <v>504</v>
      </c>
      <c r="F121" s="15" t="n">
        <v>8</v>
      </c>
      <c r="G121" s="15" t="n">
        <v>7</v>
      </c>
      <c r="H121" s="15" t="n">
        <v>8</v>
      </c>
      <c r="I121" s="15" t="n">
        <v>8</v>
      </c>
      <c r="J121" s="15" t="n">
        <v>7</v>
      </c>
      <c r="K121" s="15" t="n">
        <v>7</v>
      </c>
      <c r="L121" s="15" t="n">
        <v>7</v>
      </c>
      <c r="M121" s="4" t="n">
        <f aca="false">ROUND(F121*Rubric!$B$4+G121*Rubric!$B$5+H121*Rubric!$B$6+I121*Rubric!$B$7+J121*Rubric!$B$8+K121*Rubric!$B$9+L121*Rubric!$B$10-IF(OR(H121&lt;Rubric!$B$12,K121&lt;Rubric!$B$12),Rubric!$B$13,0),2)</f>
        <v>7.4</v>
      </c>
      <c r="N121" s="14" t="n">
        <v>113</v>
      </c>
      <c r="O121" s="2" t="s">
        <v>505</v>
      </c>
    </row>
    <row r="122" customFormat="false" ht="23.85" hidden="false" customHeight="false" outlineLevel="0" collapsed="false">
      <c r="A122" s="2" t="s">
        <v>62</v>
      </c>
      <c r="B122" s="2" t="s">
        <v>63</v>
      </c>
      <c r="C122" s="14" t="n">
        <v>3</v>
      </c>
      <c r="D122" s="14" t="n">
        <v>4</v>
      </c>
      <c r="E122" s="2" t="s">
        <v>368</v>
      </c>
      <c r="F122" s="15" t="n">
        <v>9</v>
      </c>
      <c r="G122" s="15" t="n">
        <v>7</v>
      </c>
      <c r="H122" s="15" t="n">
        <v>8</v>
      </c>
      <c r="I122" s="15" t="n">
        <v>8</v>
      </c>
      <c r="J122" s="15" t="n">
        <v>7</v>
      </c>
      <c r="K122" s="15" t="n">
        <v>7</v>
      </c>
      <c r="L122" s="15" t="n">
        <v>7</v>
      </c>
      <c r="M122" s="4" t="n">
        <f aca="false">ROUND(F122*Rubric!$B$4+G122*Rubric!$B$5+H122*Rubric!$B$6+I122*Rubric!$B$7+J122*Rubric!$B$8+K122*Rubric!$B$9+L122*Rubric!$B$10-IF(OR(H122&lt;Rubric!$B$12,K122&lt;Rubric!$B$12),Rubric!$B$13,0),2)</f>
        <v>7.5</v>
      </c>
      <c r="N122" s="14" t="n">
        <v>113</v>
      </c>
      <c r="O122" s="2" t="s">
        <v>395</v>
      </c>
    </row>
    <row r="123" customFormat="false" ht="23.85" hidden="false" customHeight="false" outlineLevel="0" collapsed="false">
      <c r="A123" s="2" t="s">
        <v>62</v>
      </c>
      <c r="B123" s="2" t="s">
        <v>63</v>
      </c>
      <c r="C123" s="14" t="n">
        <v>0</v>
      </c>
      <c r="D123" s="14" t="n">
        <v>5</v>
      </c>
      <c r="E123" s="2" t="s">
        <v>506</v>
      </c>
      <c r="F123" s="15" t="n">
        <v>8</v>
      </c>
      <c r="G123" s="15" t="n">
        <v>7</v>
      </c>
      <c r="H123" s="15" t="n">
        <v>8</v>
      </c>
      <c r="I123" s="15" t="n">
        <v>2</v>
      </c>
      <c r="J123" s="15" t="n">
        <v>8</v>
      </c>
      <c r="K123" s="15" t="n">
        <v>7</v>
      </c>
      <c r="L123" s="15" t="n">
        <v>6</v>
      </c>
      <c r="M123" s="4" t="n">
        <f aca="false">ROUND(F123*Rubric!$B$4+G123*Rubric!$B$5+H123*Rubric!$B$6+I123*Rubric!$B$7+J123*Rubric!$B$8+K123*Rubric!$B$9+L123*Rubric!$B$10-IF(OR(H123&lt;Rubric!$B$12,K123&lt;Rubric!$B$12),Rubric!$B$13,0),2)</f>
        <v>6.85</v>
      </c>
      <c r="N123" s="14" t="n">
        <v>114</v>
      </c>
      <c r="O123" s="2" t="s">
        <v>390</v>
      </c>
    </row>
    <row r="124" customFormat="false" ht="23.85" hidden="false" customHeight="false" outlineLevel="0" collapsed="false">
      <c r="A124" s="2" t="s">
        <v>62</v>
      </c>
      <c r="B124" s="2" t="s">
        <v>63</v>
      </c>
      <c r="C124" s="14" t="n">
        <v>1</v>
      </c>
      <c r="D124" s="14" t="n">
        <v>5</v>
      </c>
      <c r="E124" s="2" t="s">
        <v>507</v>
      </c>
      <c r="F124" s="15" t="n">
        <v>8</v>
      </c>
      <c r="G124" s="15" t="n">
        <v>7</v>
      </c>
      <c r="H124" s="15" t="n">
        <v>8</v>
      </c>
      <c r="I124" s="15" t="n">
        <v>3</v>
      </c>
      <c r="J124" s="15" t="n">
        <v>8</v>
      </c>
      <c r="K124" s="15" t="n">
        <v>8</v>
      </c>
      <c r="L124" s="15" t="n">
        <v>7</v>
      </c>
      <c r="M124" s="4" t="n">
        <f aca="false">ROUND(F124*Rubric!$B$4+G124*Rubric!$B$5+H124*Rubric!$B$6+I124*Rubric!$B$7+J124*Rubric!$B$8+K124*Rubric!$B$9+L124*Rubric!$B$10-IF(OR(H124&lt;Rubric!$B$12,K124&lt;Rubric!$B$12),Rubric!$B$13,0),2)</f>
        <v>7.2</v>
      </c>
      <c r="N124" s="14" t="n">
        <v>114</v>
      </c>
      <c r="O124" s="2" t="s">
        <v>508</v>
      </c>
    </row>
    <row r="125" customFormat="false" ht="23.85" hidden="false" customHeight="false" outlineLevel="0" collapsed="false">
      <c r="A125" s="2" t="s">
        <v>62</v>
      </c>
      <c r="B125" s="2" t="s">
        <v>63</v>
      </c>
      <c r="C125" s="14" t="n">
        <v>2</v>
      </c>
      <c r="D125" s="14" t="n">
        <v>5</v>
      </c>
      <c r="E125" s="2" t="s">
        <v>369</v>
      </c>
      <c r="F125" s="15" t="n">
        <v>8</v>
      </c>
      <c r="G125" s="15" t="n">
        <v>8</v>
      </c>
      <c r="H125" s="15" t="n">
        <v>8</v>
      </c>
      <c r="I125" s="15" t="n">
        <v>3</v>
      </c>
      <c r="J125" s="15" t="n">
        <v>8</v>
      </c>
      <c r="K125" s="15" t="n">
        <v>8</v>
      </c>
      <c r="L125" s="15" t="n">
        <v>8</v>
      </c>
      <c r="M125" s="4" t="n">
        <f aca="false">ROUND(F125*Rubric!$B$4+G125*Rubric!$B$5+H125*Rubric!$B$6+I125*Rubric!$B$7+J125*Rubric!$B$8+K125*Rubric!$B$9+L125*Rubric!$B$10-IF(OR(H125&lt;Rubric!$B$12,K125&lt;Rubric!$B$12),Rubric!$B$13,0),2)</f>
        <v>7.5</v>
      </c>
      <c r="N125" s="14" t="n">
        <v>114</v>
      </c>
      <c r="O125" s="2" t="s">
        <v>509</v>
      </c>
    </row>
    <row r="126" customFormat="false" ht="23.85" hidden="false" customHeight="false" outlineLevel="0" collapsed="false">
      <c r="A126" s="2" t="s">
        <v>67</v>
      </c>
      <c r="B126" s="2" t="s">
        <v>68</v>
      </c>
      <c r="C126" s="14" t="n">
        <v>0</v>
      </c>
      <c r="D126" s="14" t="n">
        <v>1</v>
      </c>
      <c r="E126" s="2" t="s">
        <v>510</v>
      </c>
      <c r="F126" s="15" t="n">
        <v>8</v>
      </c>
      <c r="G126" s="15" t="n">
        <v>8</v>
      </c>
      <c r="H126" s="15" t="n">
        <v>7</v>
      </c>
      <c r="I126" s="15" t="n">
        <v>3</v>
      </c>
      <c r="J126" s="15" t="n">
        <v>8</v>
      </c>
      <c r="K126" s="15" t="n">
        <v>7</v>
      </c>
      <c r="L126" s="15" t="n">
        <v>7</v>
      </c>
      <c r="M126" s="4" t="n">
        <f aca="false">ROUND(F126*Rubric!$B$4+G126*Rubric!$B$5+H126*Rubric!$B$6+I126*Rubric!$B$7+J126*Rubric!$B$8+K126*Rubric!$B$9+L126*Rubric!$B$10-IF(OR(H126&lt;Rubric!$B$12,K126&lt;Rubric!$B$12),Rubric!$B$13,0),2)</f>
        <v>7.05</v>
      </c>
      <c r="N126" s="14" t="n">
        <v>120</v>
      </c>
      <c r="O126" s="2" t="s">
        <v>390</v>
      </c>
    </row>
    <row r="127" customFormat="false" ht="23.85" hidden="false" customHeight="false" outlineLevel="0" collapsed="false">
      <c r="A127" s="2" t="s">
        <v>67</v>
      </c>
      <c r="B127" s="2" t="s">
        <v>68</v>
      </c>
      <c r="C127" s="14" t="n">
        <v>2</v>
      </c>
      <c r="D127" s="14" t="n">
        <v>1</v>
      </c>
      <c r="E127" s="2" t="s">
        <v>370</v>
      </c>
      <c r="F127" s="15" t="n">
        <v>8</v>
      </c>
      <c r="G127" s="15" t="n">
        <v>8</v>
      </c>
      <c r="H127" s="15" t="n">
        <v>8</v>
      </c>
      <c r="I127" s="15" t="n">
        <v>3</v>
      </c>
      <c r="J127" s="15" t="n">
        <v>8</v>
      </c>
      <c r="K127" s="15" t="n">
        <v>8</v>
      </c>
      <c r="L127" s="15" t="n">
        <v>9</v>
      </c>
      <c r="M127" s="4" t="n">
        <f aca="false">ROUND(F127*Rubric!$B$4+G127*Rubric!$B$5+H127*Rubric!$B$6+I127*Rubric!$B$7+J127*Rubric!$B$8+K127*Rubric!$B$9+L127*Rubric!$B$10-IF(OR(H127&lt;Rubric!$B$12,K127&lt;Rubric!$B$12),Rubric!$B$13,0),2)</f>
        <v>7.6</v>
      </c>
      <c r="N127" s="14" t="n">
        <v>120</v>
      </c>
      <c r="O127" s="2" t="s">
        <v>511</v>
      </c>
    </row>
    <row r="128" customFormat="false" ht="23.85" hidden="false" customHeight="false" outlineLevel="0" collapsed="false">
      <c r="A128" s="2" t="s">
        <v>67</v>
      </c>
      <c r="B128" s="2" t="s">
        <v>68</v>
      </c>
      <c r="C128" s="14" t="n">
        <v>0</v>
      </c>
      <c r="D128" s="14" t="n">
        <v>2</v>
      </c>
      <c r="E128" s="2" t="s">
        <v>371</v>
      </c>
      <c r="F128" s="15" t="n">
        <v>9</v>
      </c>
      <c r="G128" s="15" t="n">
        <v>9</v>
      </c>
      <c r="H128" s="15" t="n">
        <v>7</v>
      </c>
      <c r="I128" s="15" t="n">
        <v>3</v>
      </c>
      <c r="J128" s="15" t="n">
        <v>9</v>
      </c>
      <c r="K128" s="15" t="n">
        <v>8</v>
      </c>
      <c r="L128" s="15" t="n">
        <v>8</v>
      </c>
      <c r="M128" s="4" t="n">
        <f aca="false">ROUND(F128*Rubric!$B$4+G128*Rubric!$B$5+H128*Rubric!$B$6+I128*Rubric!$B$7+J128*Rubric!$B$8+K128*Rubric!$B$9+L128*Rubric!$B$10-IF(OR(H128&lt;Rubric!$B$12,K128&lt;Rubric!$B$12),Rubric!$B$13,0),2)</f>
        <v>7.75</v>
      </c>
      <c r="N128" s="14" t="n">
        <v>121</v>
      </c>
      <c r="O128" s="2" t="s">
        <v>390</v>
      </c>
    </row>
    <row r="129" customFormat="false" ht="23.85" hidden="false" customHeight="false" outlineLevel="0" collapsed="false">
      <c r="A129" s="2" t="s">
        <v>67</v>
      </c>
      <c r="B129" s="2" t="s">
        <v>68</v>
      </c>
      <c r="C129" s="14" t="n">
        <v>0</v>
      </c>
      <c r="D129" s="14" t="n">
        <v>3</v>
      </c>
      <c r="E129" s="2" t="s">
        <v>512</v>
      </c>
      <c r="F129" s="15" t="n">
        <v>8</v>
      </c>
      <c r="G129" s="15" t="n">
        <v>7</v>
      </c>
      <c r="H129" s="15" t="n">
        <v>8</v>
      </c>
      <c r="I129" s="15" t="n">
        <v>3</v>
      </c>
      <c r="J129" s="15" t="n">
        <v>7</v>
      </c>
      <c r="K129" s="15" t="n">
        <v>7</v>
      </c>
      <c r="L129" s="15" t="n">
        <v>5</v>
      </c>
      <c r="M129" s="4" t="n">
        <f aca="false">ROUND(F129*Rubric!$B$4+G129*Rubric!$B$5+H129*Rubric!$B$6+I129*Rubric!$B$7+J129*Rubric!$B$8+K129*Rubric!$B$9+L129*Rubric!$B$10-IF(OR(H129&lt;Rubric!$B$12,K129&lt;Rubric!$B$12),Rubric!$B$13,0),2)</f>
        <v>6.7</v>
      </c>
      <c r="N129" s="14" t="n">
        <v>122</v>
      </c>
      <c r="O129" s="2" t="s">
        <v>390</v>
      </c>
    </row>
    <row r="130" customFormat="false" ht="23.85" hidden="false" customHeight="false" outlineLevel="0" collapsed="false">
      <c r="A130" s="2" t="s">
        <v>67</v>
      </c>
      <c r="B130" s="2" t="s">
        <v>68</v>
      </c>
      <c r="C130" s="14" t="n">
        <v>1</v>
      </c>
      <c r="D130" s="14" t="n">
        <v>3</v>
      </c>
      <c r="E130" s="2" t="s">
        <v>513</v>
      </c>
      <c r="F130" s="15" t="n">
        <v>8</v>
      </c>
      <c r="G130" s="15" t="n">
        <v>7</v>
      </c>
      <c r="H130" s="15" t="n">
        <v>7</v>
      </c>
      <c r="I130" s="15" t="n">
        <v>3</v>
      </c>
      <c r="J130" s="15" t="n">
        <v>7</v>
      </c>
      <c r="K130" s="15" t="n">
        <v>7</v>
      </c>
      <c r="L130" s="15" t="n">
        <v>8</v>
      </c>
      <c r="M130" s="4" t="n">
        <f aca="false">ROUND(F130*Rubric!$B$4+G130*Rubric!$B$5+H130*Rubric!$B$6+I130*Rubric!$B$7+J130*Rubric!$B$8+K130*Rubric!$B$9+L130*Rubric!$B$10-IF(OR(H130&lt;Rubric!$B$12,K130&lt;Rubric!$B$12),Rubric!$B$13,0),2)</f>
        <v>6.8</v>
      </c>
      <c r="N130" s="14" t="n">
        <v>122</v>
      </c>
      <c r="O130" s="2" t="s">
        <v>514</v>
      </c>
    </row>
    <row r="131" customFormat="false" ht="23.85" hidden="false" customHeight="false" outlineLevel="0" collapsed="false">
      <c r="A131" s="2" t="s">
        <v>67</v>
      </c>
      <c r="B131" s="2" t="s">
        <v>68</v>
      </c>
      <c r="C131" s="14" t="n">
        <v>2</v>
      </c>
      <c r="D131" s="14" t="n">
        <v>3</v>
      </c>
      <c r="E131" s="2" t="s">
        <v>515</v>
      </c>
      <c r="F131" s="15" t="n">
        <v>8</v>
      </c>
      <c r="G131" s="15" t="n">
        <v>7</v>
      </c>
      <c r="H131" s="15" t="n">
        <v>8</v>
      </c>
      <c r="I131" s="15" t="n">
        <v>3</v>
      </c>
      <c r="J131" s="15" t="n">
        <v>7</v>
      </c>
      <c r="K131" s="15" t="n">
        <v>8</v>
      </c>
      <c r="L131" s="15" t="n">
        <v>9</v>
      </c>
      <c r="M131" s="4" t="n">
        <f aca="false">ROUND(F131*Rubric!$B$4+G131*Rubric!$B$5+H131*Rubric!$B$6+I131*Rubric!$B$7+J131*Rubric!$B$8+K131*Rubric!$B$9+L131*Rubric!$B$10-IF(OR(H131&lt;Rubric!$B$12,K131&lt;Rubric!$B$12),Rubric!$B$13,0),2)</f>
        <v>7.25</v>
      </c>
      <c r="N131" s="14" t="n">
        <v>122</v>
      </c>
      <c r="O131" s="2" t="s">
        <v>516</v>
      </c>
    </row>
    <row r="132" customFormat="false" ht="23.85" hidden="false" customHeight="false" outlineLevel="0" collapsed="false">
      <c r="A132" s="2" t="s">
        <v>67</v>
      </c>
      <c r="B132" s="2" t="s">
        <v>68</v>
      </c>
      <c r="C132" s="14" t="n">
        <v>3</v>
      </c>
      <c r="D132" s="14" t="n">
        <v>3</v>
      </c>
      <c r="E132" s="2" t="s">
        <v>372</v>
      </c>
      <c r="F132" s="15" t="n">
        <v>8</v>
      </c>
      <c r="G132" s="15" t="n">
        <v>8</v>
      </c>
      <c r="H132" s="15" t="n">
        <v>8</v>
      </c>
      <c r="I132" s="15" t="n">
        <v>3</v>
      </c>
      <c r="J132" s="15" t="n">
        <v>7</v>
      </c>
      <c r="K132" s="15" t="n">
        <v>8</v>
      </c>
      <c r="L132" s="15" t="n">
        <v>9</v>
      </c>
      <c r="M132" s="4" t="n">
        <f aca="false">ROUND(F132*Rubric!$B$4+G132*Rubric!$B$5+H132*Rubric!$B$6+I132*Rubric!$B$7+J132*Rubric!$B$8+K132*Rubric!$B$9+L132*Rubric!$B$10-IF(OR(H132&lt;Rubric!$B$12,K132&lt;Rubric!$B$12),Rubric!$B$13,0),2)</f>
        <v>7.45</v>
      </c>
      <c r="N132" s="14" t="n">
        <v>122</v>
      </c>
      <c r="O132" s="2" t="s">
        <v>517</v>
      </c>
    </row>
    <row r="133" customFormat="false" ht="23.85" hidden="false" customHeight="false" outlineLevel="0" collapsed="false">
      <c r="A133" s="2" t="s">
        <v>67</v>
      </c>
      <c r="B133" s="2" t="s">
        <v>68</v>
      </c>
      <c r="C133" s="14" t="n">
        <v>0</v>
      </c>
      <c r="D133" s="14" t="n">
        <v>4</v>
      </c>
      <c r="E133" s="2" t="s">
        <v>518</v>
      </c>
      <c r="F133" s="15" t="n">
        <v>8</v>
      </c>
      <c r="G133" s="15" t="n">
        <v>8</v>
      </c>
      <c r="H133" s="15" t="n">
        <v>7</v>
      </c>
      <c r="I133" s="15" t="n">
        <v>3</v>
      </c>
      <c r="J133" s="15" t="n">
        <v>8</v>
      </c>
      <c r="K133" s="15" t="n">
        <v>7</v>
      </c>
      <c r="L133" s="15" t="n">
        <v>7</v>
      </c>
      <c r="M133" s="4" t="n">
        <f aca="false">ROUND(F133*Rubric!$B$4+G133*Rubric!$B$5+H133*Rubric!$B$6+I133*Rubric!$B$7+J133*Rubric!$B$8+K133*Rubric!$B$9+L133*Rubric!$B$10-IF(OR(H133&lt;Rubric!$B$12,K133&lt;Rubric!$B$12),Rubric!$B$13,0),2)</f>
        <v>7.05</v>
      </c>
      <c r="N133" s="14" t="n">
        <v>123</v>
      </c>
      <c r="O133" s="2" t="s">
        <v>390</v>
      </c>
    </row>
    <row r="134" customFormat="false" ht="23.85" hidden="false" customHeight="false" outlineLevel="0" collapsed="false">
      <c r="A134" s="2" t="s">
        <v>67</v>
      </c>
      <c r="B134" s="2" t="s">
        <v>68</v>
      </c>
      <c r="C134" s="14" t="n">
        <v>2</v>
      </c>
      <c r="D134" s="14" t="n">
        <v>4</v>
      </c>
      <c r="E134" s="2" t="s">
        <v>519</v>
      </c>
      <c r="F134" s="15" t="n">
        <v>9</v>
      </c>
      <c r="G134" s="15" t="n">
        <v>8</v>
      </c>
      <c r="H134" s="15" t="n">
        <v>7</v>
      </c>
      <c r="I134" s="15" t="n">
        <v>3</v>
      </c>
      <c r="J134" s="15" t="n">
        <v>8</v>
      </c>
      <c r="K134" s="15" t="n">
        <v>7</v>
      </c>
      <c r="L134" s="15" t="n">
        <v>8</v>
      </c>
      <c r="M134" s="4" t="n">
        <f aca="false">ROUND(F134*Rubric!$B$4+G134*Rubric!$B$5+H134*Rubric!$B$6+I134*Rubric!$B$7+J134*Rubric!$B$8+K134*Rubric!$B$9+L134*Rubric!$B$10-IF(OR(H134&lt;Rubric!$B$12,K134&lt;Rubric!$B$12),Rubric!$B$13,0),2)</f>
        <v>7.25</v>
      </c>
      <c r="N134" s="14" t="n">
        <v>123</v>
      </c>
      <c r="O134" s="2" t="s">
        <v>520</v>
      </c>
    </row>
    <row r="135" customFormat="false" ht="23.85" hidden="false" customHeight="false" outlineLevel="0" collapsed="false">
      <c r="A135" s="2" t="s">
        <v>67</v>
      </c>
      <c r="B135" s="2" t="s">
        <v>68</v>
      </c>
      <c r="C135" s="14" t="n">
        <v>3</v>
      </c>
      <c r="D135" s="14" t="n">
        <v>4</v>
      </c>
      <c r="E135" s="2" t="s">
        <v>373</v>
      </c>
      <c r="F135" s="15" t="n">
        <v>8</v>
      </c>
      <c r="G135" s="15" t="n">
        <v>8</v>
      </c>
      <c r="H135" s="15" t="n">
        <v>8</v>
      </c>
      <c r="I135" s="15" t="n">
        <v>3</v>
      </c>
      <c r="J135" s="15" t="n">
        <v>8</v>
      </c>
      <c r="K135" s="15" t="n">
        <v>8</v>
      </c>
      <c r="L135" s="15" t="n">
        <v>8</v>
      </c>
      <c r="M135" s="4" t="n">
        <f aca="false">ROUND(F135*Rubric!$B$4+G135*Rubric!$B$5+H135*Rubric!$B$6+I135*Rubric!$B$7+J135*Rubric!$B$8+K135*Rubric!$B$9+L135*Rubric!$B$10-IF(OR(H135&lt;Rubric!$B$12,K135&lt;Rubric!$B$12),Rubric!$B$13,0),2)</f>
        <v>7.5</v>
      </c>
      <c r="N135" s="14" t="n">
        <v>123</v>
      </c>
      <c r="O135" s="2" t="s">
        <v>521</v>
      </c>
    </row>
    <row r="136" customFormat="false" ht="23.85" hidden="false" customHeight="false" outlineLevel="0" collapsed="false">
      <c r="A136" s="2" t="s">
        <v>67</v>
      </c>
      <c r="B136" s="2" t="s">
        <v>68</v>
      </c>
      <c r="C136" s="14" t="n">
        <v>0</v>
      </c>
      <c r="D136" s="14" t="n">
        <v>5</v>
      </c>
      <c r="E136" s="2" t="s">
        <v>522</v>
      </c>
      <c r="F136" s="15" t="n">
        <v>7</v>
      </c>
      <c r="G136" s="15" t="n">
        <v>7</v>
      </c>
      <c r="H136" s="15" t="n">
        <v>7</v>
      </c>
      <c r="I136" s="15" t="n">
        <v>9</v>
      </c>
      <c r="J136" s="15" t="n">
        <v>7</v>
      </c>
      <c r="K136" s="15" t="n">
        <v>7</v>
      </c>
      <c r="L136" s="15" t="n">
        <v>7</v>
      </c>
      <c r="M136" s="4" t="n">
        <f aca="false">ROUND(F136*Rubric!$B$4+G136*Rubric!$B$5+H136*Rubric!$B$6+I136*Rubric!$B$7+J136*Rubric!$B$8+K136*Rubric!$B$9+L136*Rubric!$B$10-IF(OR(H136&lt;Rubric!$B$12,K136&lt;Rubric!$B$12),Rubric!$B$13,0),2)</f>
        <v>7.2</v>
      </c>
      <c r="N136" s="14" t="n">
        <v>124</v>
      </c>
      <c r="O136" s="2" t="s">
        <v>390</v>
      </c>
    </row>
    <row r="137" customFormat="false" ht="23.85" hidden="false" customHeight="false" outlineLevel="0" collapsed="false">
      <c r="A137" s="2" t="s">
        <v>67</v>
      </c>
      <c r="B137" s="2" t="s">
        <v>68</v>
      </c>
      <c r="C137" s="14" t="n">
        <v>2</v>
      </c>
      <c r="D137" s="14" t="n">
        <v>5</v>
      </c>
      <c r="E137" s="2" t="s">
        <v>374</v>
      </c>
      <c r="F137" s="15" t="n">
        <v>8</v>
      </c>
      <c r="G137" s="15" t="n">
        <v>8</v>
      </c>
      <c r="H137" s="15" t="n">
        <v>8</v>
      </c>
      <c r="I137" s="15" t="n">
        <v>9</v>
      </c>
      <c r="J137" s="15" t="n">
        <v>7</v>
      </c>
      <c r="K137" s="15" t="n">
        <v>8</v>
      </c>
      <c r="L137" s="15" t="n">
        <v>8</v>
      </c>
      <c r="M137" s="4" t="n">
        <f aca="false">ROUND(F137*Rubric!$B$4+G137*Rubric!$B$5+H137*Rubric!$B$6+I137*Rubric!$B$7+J137*Rubric!$B$8+K137*Rubric!$B$9+L137*Rubric!$B$10-IF(OR(H137&lt;Rubric!$B$12,K137&lt;Rubric!$B$12),Rubric!$B$13,0),2)</f>
        <v>7.95</v>
      </c>
      <c r="N137" s="14" t="n">
        <v>124</v>
      </c>
      <c r="O137" s="2" t="s">
        <v>523</v>
      </c>
    </row>
    <row r="138" customFormat="false" ht="23.85" hidden="false" customHeight="false" outlineLevel="0" collapsed="false">
      <c r="A138" s="2" t="s">
        <v>72</v>
      </c>
      <c r="B138" s="2" t="s">
        <v>73</v>
      </c>
      <c r="C138" s="14" t="n">
        <v>0</v>
      </c>
      <c r="D138" s="14" t="n">
        <v>1</v>
      </c>
      <c r="E138" s="2" t="s">
        <v>524</v>
      </c>
      <c r="F138" s="15" t="n">
        <v>8</v>
      </c>
      <c r="G138" s="15" t="n">
        <v>8</v>
      </c>
      <c r="H138" s="15" t="n">
        <v>7</v>
      </c>
      <c r="I138" s="15" t="n">
        <v>3</v>
      </c>
      <c r="J138" s="15" t="n">
        <v>9</v>
      </c>
      <c r="K138" s="15" t="n">
        <v>7</v>
      </c>
      <c r="L138" s="15" t="n">
        <v>7</v>
      </c>
      <c r="M138" s="4" t="n">
        <f aca="false">ROUND(F138*Rubric!$B$4+G138*Rubric!$B$5+H138*Rubric!$B$6+I138*Rubric!$B$7+J138*Rubric!$B$8+K138*Rubric!$B$9+L138*Rubric!$B$10-IF(OR(H138&lt;Rubric!$B$12,K138&lt;Rubric!$B$12),Rubric!$B$13,0),2)</f>
        <v>7.2</v>
      </c>
      <c r="N138" s="14" t="n">
        <v>130</v>
      </c>
      <c r="O138" s="2" t="s">
        <v>390</v>
      </c>
    </row>
    <row r="139" customFormat="false" ht="23.85" hidden="false" customHeight="false" outlineLevel="0" collapsed="false">
      <c r="A139" s="2" t="s">
        <v>72</v>
      </c>
      <c r="B139" s="2" t="s">
        <v>73</v>
      </c>
      <c r="C139" s="14" t="n">
        <v>2</v>
      </c>
      <c r="D139" s="14" t="n">
        <v>1</v>
      </c>
      <c r="E139" s="2" t="s">
        <v>375</v>
      </c>
      <c r="F139" s="15" t="n">
        <v>8</v>
      </c>
      <c r="G139" s="15" t="n">
        <v>9</v>
      </c>
      <c r="H139" s="15" t="n">
        <v>7</v>
      </c>
      <c r="I139" s="15" t="n">
        <v>3</v>
      </c>
      <c r="J139" s="15" t="n">
        <v>9</v>
      </c>
      <c r="K139" s="15" t="n">
        <v>8</v>
      </c>
      <c r="L139" s="15" t="n">
        <v>8</v>
      </c>
      <c r="M139" s="4" t="n">
        <f aca="false">ROUND(F139*Rubric!$B$4+G139*Rubric!$B$5+H139*Rubric!$B$6+I139*Rubric!$B$7+J139*Rubric!$B$8+K139*Rubric!$B$9+L139*Rubric!$B$10-IF(OR(H139&lt;Rubric!$B$12,K139&lt;Rubric!$B$12),Rubric!$B$13,0),2)</f>
        <v>7.65</v>
      </c>
      <c r="N139" s="14" t="n">
        <v>130</v>
      </c>
      <c r="O139" s="2" t="s">
        <v>525</v>
      </c>
    </row>
    <row r="140" customFormat="false" ht="23.85" hidden="false" customHeight="false" outlineLevel="0" collapsed="false">
      <c r="A140" s="2" t="s">
        <v>72</v>
      </c>
      <c r="B140" s="2" t="s">
        <v>73</v>
      </c>
      <c r="C140" s="14" t="n">
        <v>0</v>
      </c>
      <c r="D140" s="14" t="n">
        <v>2</v>
      </c>
      <c r="E140" s="2" t="s">
        <v>526</v>
      </c>
      <c r="F140" s="15" t="n">
        <v>8</v>
      </c>
      <c r="G140" s="15" t="n">
        <v>7</v>
      </c>
      <c r="H140" s="15" t="n">
        <v>8</v>
      </c>
      <c r="I140" s="15" t="n">
        <v>3</v>
      </c>
      <c r="J140" s="15" t="n">
        <v>8</v>
      </c>
      <c r="K140" s="15" t="n">
        <v>8</v>
      </c>
      <c r="L140" s="15" t="n">
        <v>6</v>
      </c>
      <c r="M140" s="4" t="n">
        <f aca="false">ROUND(F140*Rubric!$B$4+G140*Rubric!$B$5+H140*Rubric!$B$6+I140*Rubric!$B$7+J140*Rubric!$B$8+K140*Rubric!$B$9+L140*Rubric!$B$10-IF(OR(H140&lt;Rubric!$B$12,K140&lt;Rubric!$B$12),Rubric!$B$13,0),2)</f>
        <v>7.1</v>
      </c>
      <c r="N140" s="14" t="n">
        <v>131</v>
      </c>
      <c r="O140" s="2" t="s">
        <v>390</v>
      </c>
    </row>
    <row r="141" customFormat="false" ht="23.85" hidden="false" customHeight="false" outlineLevel="0" collapsed="false">
      <c r="A141" s="2" t="s">
        <v>72</v>
      </c>
      <c r="B141" s="2" t="s">
        <v>73</v>
      </c>
      <c r="C141" s="14" t="n">
        <v>2</v>
      </c>
      <c r="D141" s="14" t="n">
        <v>2</v>
      </c>
      <c r="E141" s="2" t="s">
        <v>376</v>
      </c>
      <c r="F141" s="15" t="n">
        <v>8</v>
      </c>
      <c r="G141" s="15" t="n">
        <v>8</v>
      </c>
      <c r="H141" s="15" t="n">
        <v>8</v>
      </c>
      <c r="I141" s="15" t="n">
        <v>3</v>
      </c>
      <c r="J141" s="15" t="n">
        <v>8</v>
      </c>
      <c r="K141" s="15" t="n">
        <v>8</v>
      </c>
      <c r="L141" s="15" t="n">
        <v>7</v>
      </c>
      <c r="M141" s="4" t="n">
        <f aca="false">ROUND(F141*Rubric!$B$4+G141*Rubric!$B$5+H141*Rubric!$B$6+I141*Rubric!$B$7+J141*Rubric!$B$8+K141*Rubric!$B$9+L141*Rubric!$B$10-IF(OR(H141&lt;Rubric!$B$12,K141&lt;Rubric!$B$12),Rubric!$B$13,0),2)</f>
        <v>7.4</v>
      </c>
      <c r="N141" s="14" t="n">
        <v>131</v>
      </c>
      <c r="O141" s="2" t="s">
        <v>527</v>
      </c>
    </row>
    <row r="142" customFormat="false" ht="23.85" hidden="false" customHeight="false" outlineLevel="0" collapsed="false">
      <c r="A142" s="2" t="s">
        <v>72</v>
      </c>
      <c r="B142" s="2" t="s">
        <v>73</v>
      </c>
      <c r="C142" s="14" t="n">
        <v>3</v>
      </c>
      <c r="D142" s="14" t="n">
        <v>2</v>
      </c>
      <c r="E142" s="2" t="s">
        <v>376</v>
      </c>
      <c r="F142" s="15" t="n">
        <v>9</v>
      </c>
      <c r="G142" s="15" t="n">
        <v>8</v>
      </c>
      <c r="H142" s="15" t="n">
        <v>8</v>
      </c>
      <c r="I142" s="15" t="n">
        <v>3</v>
      </c>
      <c r="J142" s="15" t="n">
        <v>8</v>
      </c>
      <c r="K142" s="15" t="n">
        <v>8</v>
      </c>
      <c r="L142" s="15" t="n">
        <v>7</v>
      </c>
      <c r="M142" s="4" t="n">
        <f aca="false">ROUND(F142*Rubric!$B$4+G142*Rubric!$B$5+H142*Rubric!$B$6+I142*Rubric!$B$7+J142*Rubric!$B$8+K142*Rubric!$B$9+L142*Rubric!$B$10-IF(OR(H142&lt;Rubric!$B$12,K142&lt;Rubric!$B$12),Rubric!$B$13,0),2)</f>
        <v>7.5</v>
      </c>
      <c r="N142" s="14" t="n">
        <v>131</v>
      </c>
      <c r="O142" s="2" t="s">
        <v>395</v>
      </c>
    </row>
    <row r="143" customFormat="false" ht="23.85" hidden="false" customHeight="false" outlineLevel="0" collapsed="false">
      <c r="A143" s="2" t="s">
        <v>72</v>
      </c>
      <c r="B143" s="2" t="s">
        <v>73</v>
      </c>
      <c r="C143" s="14" t="n">
        <v>0</v>
      </c>
      <c r="D143" s="14" t="n">
        <v>3</v>
      </c>
      <c r="E143" s="2" t="s">
        <v>377</v>
      </c>
      <c r="F143" s="15" t="n">
        <v>9</v>
      </c>
      <c r="G143" s="15" t="n">
        <v>9</v>
      </c>
      <c r="H143" s="15" t="n">
        <v>7</v>
      </c>
      <c r="I143" s="15" t="n">
        <v>3</v>
      </c>
      <c r="J143" s="15" t="n">
        <v>9</v>
      </c>
      <c r="K143" s="15" t="n">
        <v>8</v>
      </c>
      <c r="L143" s="15" t="n">
        <v>8</v>
      </c>
      <c r="M143" s="4" t="n">
        <f aca="false">ROUND(F143*Rubric!$B$4+G143*Rubric!$B$5+H143*Rubric!$B$6+I143*Rubric!$B$7+J143*Rubric!$B$8+K143*Rubric!$B$9+L143*Rubric!$B$10-IF(OR(H143&lt;Rubric!$B$12,K143&lt;Rubric!$B$12),Rubric!$B$13,0),2)</f>
        <v>7.75</v>
      </c>
      <c r="N143" s="14" t="n">
        <v>132</v>
      </c>
      <c r="O143" s="2" t="s">
        <v>390</v>
      </c>
    </row>
    <row r="144" customFormat="false" ht="23.85" hidden="false" customHeight="false" outlineLevel="0" collapsed="false">
      <c r="A144" s="2" t="s">
        <v>72</v>
      </c>
      <c r="B144" s="2" t="s">
        <v>73</v>
      </c>
      <c r="C144" s="14" t="n">
        <v>0</v>
      </c>
      <c r="D144" s="14" t="n">
        <v>4</v>
      </c>
      <c r="E144" s="2" t="s">
        <v>528</v>
      </c>
      <c r="F144" s="15" t="n">
        <v>8</v>
      </c>
      <c r="G144" s="15" t="n">
        <v>8</v>
      </c>
      <c r="H144" s="15" t="n">
        <v>8</v>
      </c>
      <c r="I144" s="15" t="n">
        <v>3</v>
      </c>
      <c r="J144" s="15" t="n">
        <v>8</v>
      </c>
      <c r="K144" s="15" t="n">
        <v>8</v>
      </c>
      <c r="L144" s="15" t="n">
        <v>6</v>
      </c>
      <c r="M144" s="4" t="n">
        <f aca="false">ROUND(F144*Rubric!$B$4+G144*Rubric!$B$5+H144*Rubric!$B$6+I144*Rubric!$B$7+J144*Rubric!$B$8+K144*Rubric!$B$9+L144*Rubric!$B$10-IF(OR(H144&lt;Rubric!$B$12,K144&lt;Rubric!$B$12),Rubric!$B$13,0),2)</f>
        <v>7.3</v>
      </c>
      <c r="N144" s="14" t="n">
        <v>133</v>
      </c>
      <c r="O144" s="2" t="s">
        <v>390</v>
      </c>
    </row>
    <row r="145" customFormat="false" ht="23.85" hidden="false" customHeight="false" outlineLevel="0" collapsed="false">
      <c r="A145" s="2" t="s">
        <v>72</v>
      </c>
      <c r="B145" s="2" t="s">
        <v>73</v>
      </c>
      <c r="C145" s="14" t="n">
        <v>3</v>
      </c>
      <c r="D145" s="14" t="n">
        <v>4</v>
      </c>
      <c r="E145" s="2" t="s">
        <v>378</v>
      </c>
      <c r="F145" s="15" t="n">
        <v>8</v>
      </c>
      <c r="G145" s="15" t="n">
        <v>8</v>
      </c>
      <c r="H145" s="15" t="n">
        <v>8</v>
      </c>
      <c r="I145" s="15" t="n">
        <v>3</v>
      </c>
      <c r="J145" s="15" t="n">
        <v>8</v>
      </c>
      <c r="K145" s="15" t="n">
        <v>8</v>
      </c>
      <c r="L145" s="15" t="n">
        <v>7</v>
      </c>
      <c r="M145" s="4" t="n">
        <f aca="false">ROUND(F145*Rubric!$B$4+G145*Rubric!$B$5+H145*Rubric!$B$6+I145*Rubric!$B$7+J145*Rubric!$B$8+K145*Rubric!$B$9+L145*Rubric!$B$10-IF(OR(H145&lt;Rubric!$B$12,K145&lt;Rubric!$B$12),Rubric!$B$13,0),2)</f>
        <v>7.4</v>
      </c>
      <c r="N145" s="14" t="n">
        <v>133</v>
      </c>
      <c r="O145" s="2" t="s">
        <v>529</v>
      </c>
    </row>
    <row r="146" customFormat="false" ht="23.85" hidden="false" customHeight="false" outlineLevel="0" collapsed="false">
      <c r="A146" s="2" t="s">
        <v>72</v>
      </c>
      <c r="B146" s="2" t="s">
        <v>73</v>
      </c>
      <c r="C146" s="14" t="n">
        <v>0</v>
      </c>
      <c r="D146" s="14" t="n">
        <v>5</v>
      </c>
      <c r="E146" s="2" t="s">
        <v>379</v>
      </c>
      <c r="F146" s="15" t="n">
        <v>8</v>
      </c>
      <c r="G146" s="15" t="n">
        <v>8</v>
      </c>
      <c r="H146" s="15" t="n">
        <v>7</v>
      </c>
      <c r="I146" s="15" t="n">
        <v>9</v>
      </c>
      <c r="J146" s="15" t="n">
        <v>8</v>
      </c>
      <c r="K146" s="15" t="n">
        <v>8</v>
      </c>
      <c r="L146" s="15" t="n">
        <v>9</v>
      </c>
      <c r="M146" s="4" t="n">
        <f aca="false">ROUND(F146*Rubric!$B$4+G146*Rubric!$B$5+H146*Rubric!$B$6+I146*Rubric!$B$7+J146*Rubric!$B$8+K146*Rubric!$B$9+L146*Rubric!$B$10-IF(OR(H146&lt;Rubric!$B$12,K146&lt;Rubric!$B$12),Rubric!$B$13,0),2)</f>
        <v>8</v>
      </c>
      <c r="N146" s="14" t="n">
        <v>134</v>
      </c>
      <c r="O146" s="2" t="s">
        <v>390</v>
      </c>
    </row>
  </sheetData>
  <autoFilter ref="A1:O1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7" t="s">
        <v>309</v>
      </c>
      <c r="B1" s="17" t="s">
        <v>530</v>
      </c>
      <c r="C1" s="17" t="s">
        <v>531</v>
      </c>
      <c r="D1" s="17" t="s">
        <v>532</v>
      </c>
      <c r="E1" s="17" t="s">
        <v>533</v>
      </c>
    </row>
    <row r="2" customFormat="false" ht="15" hidden="false" customHeight="false" outlineLevel="0" collapsed="false">
      <c r="A2" s="18" t="n">
        <v>0</v>
      </c>
      <c r="B2" s="19" t="n">
        <f aca="false">SUMIFS('Revision Log'!$M$2:$M$146,'Revision Log'!$N$2:$N$146,$A2,'Revision Log'!$C$2:$C$146,0)</f>
        <v>7.2</v>
      </c>
      <c r="C2" s="19" t="n">
        <f aca="false">SUMIFS('Revision Log'!$M$2:$M$146,'Revision Log'!$N$2:$N$146,$A2,'Revision Log'!$C$2:$C$146,0)</f>
        <v>7.2</v>
      </c>
      <c r="D2" s="19" t="n">
        <f aca="false">SUMIFS('Revision Log'!$M$2:$M$146,'Revision Log'!$N$2:$N$146,$A2,'Revision Log'!$C$2:$C$146,2)</f>
        <v>7.5</v>
      </c>
      <c r="E2" s="19" t="n">
        <f aca="false">SUMIFS('Revision Log'!$M$2:$M$146,'Revision Log'!$N$2:$N$146,$A2,'Revision Log'!$C$2:$C$146,2)</f>
        <v>7.5</v>
      </c>
    </row>
    <row r="3" customFormat="false" ht="15" hidden="false" customHeight="false" outlineLevel="0" collapsed="false">
      <c r="A3" s="18" t="n">
        <v>1</v>
      </c>
      <c r="B3" s="19" t="n">
        <f aca="false">SUMIFS('Revision Log'!$M$2:$M$146,'Revision Log'!$N$2:$N$146,$A3,'Revision Log'!$C$2:$C$146,0)</f>
        <v>8.05</v>
      </c>
      <c r="C3" s="19" t="n">
        <f aca="false">SUMIFS('Revision Log'!$M$2:$M$146,'Revision Log'!$N$2:$N$146,$A3,'Revision Log'!$C$2:$C$146,0)</f>
        <v>8.05</v>
      </c>
      <c r="D3" s="19" t="n">
        <f aca="false">SUMIFS('Revision Log'!$M$2:$M$146,'Revision Log'!$N$2:$N$146,$A3,'Revision Log'!$C$2:$C$146,0)</f>
        <v>8.05</v>
      </c>
      <c r="E3" s="19" t="n">
        <f aca="false">SUMIFS('Revision Log'!$M$2:$M$146,'Revision Log'!$N$2:$N$146,$A3,'Revision Log'!$C$2:$C$146,0)</f>
        <v>8.05</v>
      </c>
    </row>
    <row r="4" customFormat="false" ht="15" hidden="false" customHeight="false" outlineLevel="0" collapsed="false">
      <c r="A4" s="18" t="n">
        <v>2</v>
      </c>
      <c r="B4" s="19" t="n">
        <f aca="false">SUMIFS('Revision Log'!$M$2:$M$146,'Revision Log'!$N$2:$N$146,$A4,'Revision Log'!$C$2:$C$146,0)</f>
        <v>7.25</v>
      </c>
      <c r="C4" s="19" t="n">
        <f aca="false">SUMIFS('Revision Log'!$M$2:$M$146,'Revision Log'!$N$2:$N$146,$A4,'Revision Log'!$C$2:$C$146,0)</f>
        <v>7.25</v>
      </c>
      <c r="D4" s="19" t="n">
        <f aca="false">SUMIFS('Revision Log'!$M$2:$M$146,'Revision Log'!$N$2:$N$146,$A4,'Revision Log'!$C$2:$C$146,2)</f>
        <v>7.35</v>
      </c>
      <c r="E4" s="19" t="n">
        <f aca="false">SUMIFS('Revision Log'!$M$2:$M$146,'Revision Log'!$N$2:$N$146,$A4,'Revision Log'!$C$2:$C$146,3)</f>
        <v>7.45</v>
      </c>
    </row>
    <row r="5" customFormat="false" ht="15" hidden="false" customHeight="false" outlineLevel="0" collapsed="false">
      <c r="A5" s="18" t="n">
        <v>3</v>
      </c>
      <c r="B5" s="19" t="n">
        <f aca="false">SUMIFS('Revision Log'!$M$2:$M$146,'Revision Log'!$N$2:$N$146,$A5,'Revision Log'!$C$2:$C$146,0)</f>
        <v>6.95</v>
      </c>
      <c r="C5" s="19" t="n">
        <f aca="false">SUMIFS('Revision Log'!$M$2:$M$146,'Revision Log'!$N$2:$N$146,$A5,'Revision Log'!$C$2:$C$146,0)</f>
        <v>6.95</v>
      </c>
      <c r="D5" s="19" t="n">
        <f aca="false">SUMIFS('Revision Log'!$M$2:$M$146,'Revision Log'!$N$2:$N$146,$A5,'Revision Log'!$C$2:$C$146,2)</f>
        <v>7.25</v>
      </c>
      <c r="E5" s="19" t="n">
        <f aca="false">SUMIFS('Revision Log'!$M$2:$M$146,'Revision Log'!$N$2:$N$146,$A5,'Revision Log'!$C$2:$C$146,3)</f>
        <v>7.35</v>
      </c>
    </row>
    <row r="6" customFormat="false" ht="15" hidden="false" customHeight="false" outlineLevel="0" collapsed="false">
      <c r="A6" s="18" t="n">
        <v>4</v>
      </c>
      <c r="B6" s="19" t="n">
        <f aca="false">SUMIFS('Revision Log'!$M$2:$M$146,'Revision Log'!$N$2:$N$146,$A6,'Revision Log'!$C$2:$C$146,0)</f>
        <v>7.4</v>
      </c>
      <c r="C6" s="19" t="n">
        <f aca="false">SUMIFS('Revision Log'!$M$2:$M$146,'Revision Log'!$N$2:$N$146,$A6,'Revision Log'!$C$2:$C$146,0)</f>
        <v>7.4</v>
      </c>
      <c r="D6" s="19" t="n">
        <f aca="false">SUMIFS('Revision Log'!$M$2:$M$146,'Revision Log'!$N$2:$N$146,$A6,'Revision Log'!$C$2:$C$146,0)</f>
        <v>7.4</v>
      </c>
      <c r="E6" s="19" t="n">
        <f aca="false">SUMIFS('Revision Log'!$M$2:$M$146,'Revision Log'!$N$2:$N$146,$A6,'Revision Log'!$C$2:$C$146,3)</f>
        <v>7.65</v>
      </c>
    </row>
    <row r="7" customFormat="false" ht="15" hidden="false" customHeight="false" outlineLevel="0" collapsed="false">
      <c r="A7" s="18" t="n">
        <v>10</v>
      </c>
      <c r="B7" s="19" t="n">
        <f aca="false">SUMIFS('Revision Log'!$M$2:$M$146,'Revision Log'!$N$2:$N$146,$A7,'Revision Log'!$C$2:$C$146,0)</f>
        <v>5.75</v>
      </c>
      <c r="C7" s="19" t="n">
        <f aca="false">SUMIFS('Revision Log'!$M$2:$M$146,'Revision Log'!$N$2:$N$146,$A7,'Revision Log'!$C$2:$C$146,1)</f>
        <v>7</v>
      </c>
      <c r="D7" s="19" t="n">
        <f aca="false">SUMIFS('Revision Log'!$M$2:$M$146,'Revision Log'!$N$2:$N$146,$A7,'Revision Log'!$C$2:$C$146,2)</f>
        <v>7.35</v>
      </c>
      <c r="E7" s="19" t="n">
        <f aca="false">SUMIFS('Revision Log'!$M$2:$M$146,'Revision Log'!$N$2:$N$146,$A7,'Revision Log'!$C$2:$C$146,2)</f>
        <v>7.35</v>
      </c>
    </row>
    <row r="8" customFormat="false" ht="15" hidden="false" customHeight="false" outlineLevel="0" collapsed="false">
      <c r="A8" s="18" t="n">
        <v>11</v>
      </c>
      <c r="B8" s="19" t="n">
        <f aca="false">SUMIFS('Revision Log'!$M$2:$M$146,'Revision Log'!$N$2:$N$146,$A8,'Revision Log'!$C$2:$C$146,0)</f>
        <v>8.2</v>
      </c>
      <c r="C8" s="19" t="n">
        <f aca="false">SUMIFS('Revision Log'!$M$2:$M$146,'Revision Log'!$N$2:$N$146,$A8,'Revision Log'!$C$2:$C$146,0)</f>
        <v>8.2</v>
      </c>
      <c r="D8" s="19" t="n">
        <f aca="false">SUMIFS('Revision Log'!$M$2:$M$146,'Revision Log'!$N$2:$N$146,$A8,'Revision Log'!$C$2:$C$146,0)</f>
        <v>8.2</v>
      </c>
      <c r="E8" s="19" t="n">
        <f aca="false">SUMIFS('Revision Log'!$M$2:$M$146,'Revision Log'!$N$2:$N$146,$A8,'Revision Log'!$C$2:$C$146,0)</f>
        <v>8.2</v>
      </c>
    </row>
    <row r="9" customFormat="false" ht="15" hidden="false" customHeight="false" outlineLevel="0" collapsed="false">
      <c r="A9" s="18" t="n">
        <v>12</v>
      </c>
      <c r="B9" s="19" t="n">
        <f aca="false">SUMIFS('Revision Log'!$M$2:$M$146,'Revision Log'!$N$2:$N$146,$A9,'Revision Log'!$C$2:$C$146,0)</f>
        <v>7.85</v>
      </c>
      <c r="C9" s="19" t="n">
        <f aca="false">SUMIFS('Revision Log'!$M$2:$M$146,'Revision Log'!$N$2:$N$146,$A9,'Revision Log'!$C$2:$C$146,0)</f>
        <v>7.85</v>
      </c>
      <c r="D9" s="19" t="n">
        <f aca="false">SUMIFS('Revision Log'!$M$2:$M$146,'Revision Log'!$N$2:$N$146,$A9,'Revision Log'!$C$2:$C$146,0)</f>
        <v>7.85</v>
      </c>
      <c r="E9" s="19" t="n">
        <f aca="false">SUMIFS('Revision Log'!$M$2:$M$146,'Revision Log'!$N$2:$N$146,$A9,'Revision Log'!$C$2:$C$146,0)</f>
        <v>7.85</v>
      </c>
    </row>
    <row r="10" customFormat="false" ht="15" hidden="false" customHeight="false" outlineLevel="0" collapsed="false">
      <c r="A10" s="18" t="n">
        <v>13</v>
      </c>
      <c r="B10" s="19" t="n">
        <f aca="false">SUMIFS('Revision Log'!$M$2:$M$146,'Revision Log'!$N$2:$N$146,$A10,'Revision Log'!$C$2:$C$146,0)</f>
        <v>7.5</v>
      </c>
      <c r="C10" s="19" t="n">
        <f aca="false">SUMIFS('Revision Log'!$M$2:$M$146,'Revision Log'!$N$2:$N$146,$A10,'Revision Log'!$C$2:$C$146,0)</f>
        <v>7.5</v>
      </c>
      <c r="D10" s="19" t="n">
        <f aca="false">SUMIFS('Revision Log'!$M$2:$M$146,'Revision Log'!$N$2:$N$146,$A10,'Revision Log'!$C$2:$C$146,0)</f>
        <v>7.5</v>
      </c>
      <c r="E10" s="19" t="n">
        <f aca="false">SUMIFS('Revision Log'!$M$2:$M$146,'Revision Log'!$N$2:$N$146,$A10,'Revision Log'!$C$2:$C$146,3)</f>
        <v>7.6</v>
      </c>
    </row>
    <row r="11" customFormat="false" ht="15" hidden="false" customHeight="false" outlineLevel="0" collapsed="false">
      <c r="A11" s="18" t="n">
        <v>14</v>
      </c>
      <c r="B11" s="19" t="n">
        <f aca="false">SUMIFS('Revision Log'!$M$2:$M$146,'Revision Log'!$N$2:$N$146,$A11,'Revision Log'!$C$2:$C$146,0)</f>
        <v>7.85</v>
      </c>
      <c r="C11" s="19" t="n">
        <f aca="false">SUMIFS('Revision Log'!$M$2:$M$146,'Revision Log'!$N$2:$N$146,$A11,'Revision Log'!$C$2:$C$146,0)</f>
        <v>7.85</v>
      </c>
      <c r="D11" s="19" t="n">
        <f aca="false">SUMIFS('Revision Log'!$M$2:$M$146,'Revision Log'!$N$2:$N$146,$A11,'Revision Log'!$C$2:$C$146,0)</f>
        <v>7.85</v>
      </c>
      <c r="E11" s="19" t="n">
        <f aca="false">SUMIFS('Revision Log'!$M$2:$M$146,'Revision Log'!$N$2:$N$146,$A11,'Revision Log'!$C$2:$C$146,0)</f>
        <v>7.85</v>
      </c>
    </row>
    <row r="12" customFormat="false" ht="15" hidden="false" customHeight="false" outlineLevel="0" collapsed="false">
      <c r="A12" s="18" t="n">
        <v>20</v>
      </c>
      <c r="B12" s="19" t="n">
        <f aca="false">SUMIFS('Revision Log'!$M$2:$M$146,'Revision Log'!$N$2:$N$146,$A12,'Revision Log'!$C$2:$C$146,0)</f>
        <v>7.05</v>
      </c>
      <c r="C12" s="19" t="n">
        <f aca="false">SUMIFS('Revision Log'!$M$2:$M$146,'Revision Log'!$N$2:$N$146,$A12,'Revision Log'!$C$2:$C$146,0)</f>
        <v>7.05</v>
      </c>
      <c r="D12" s="19" t="n">
        <f aca="false">SUMIFS('Revision Log'!$M$2:$M$146,'Revision Log'!$N$2:$N$146,$A12,'Revision Log'!$C$2:$C$146,2)</f>
        <v>7.35</v>
      </c>
      <c r="E12" s="19" t="n">
        <f aca="false">SUMIFS('Revision Log'!$M$2:$M$146,'Revision Log'!$N$2:$N$146,$A12,'Revision Log'!$C$2:$C$146,2)</f>
        <v>7.35</v>
      </c>
    </row>
    <row r="13" customFormat="false" ht="15" hidden="false" customHeight="false" outlineLevel="0" collapsed="false">
      <c r="A13" s="18" t="n">
        <v>21</v>
      </c>
      <c r="B13" s="19" t="n">
        <f aca="false">SUMIFS('Revision Log'!$M$2:$M$146,'Revision Log'!$N$2:$N$146,$A13,'Revision Log'!$C$2:$C$146,0)</f>
        <v>6.95</v>
      </c>
      <c r="C13" s="19" t="n">
        <f aca="false">SUMIFS('Revision Log'!$M$2:$M$146,'Revision Log'!$N$2:$N$146,$A13,'Revision Log'!$C$2:$C$146,0)</f>
        <v>6.95</v>
      </c>
      <c r="D13" s="19" t="n">
        <f aca="false">SUMIFS('Revision Log'!$M$2:$M$146,'Revision Log'!$N$2:$N$146,$A13,'Revision Log'!$C$2:$C$146,2)</f>
        <v>7.4</v>
      </c>
      <c r="E13" s="19" t="n">
        <f aca="false">SUMIFS('Revision Log'!$M$2:$M$146,'Revision Log'!$N$2:$N$146,$A13,'Revision Log'!$C$2:$C$146,2)</f>
        <v>7.4</v>
      </c>
    </row>
    <row r="14" customFormat="false" ht="15" hidden="false" customHeight="false" outlineLevel="0" collapsed="false">
      <c r="A14" s="18" t="n">
        <v>22</v>
      </c>
      <c r="B14" s="19" t="n">
        <f aca="false">SUMIFS('Revision Log'!$M$2:$M$146,'Revision Log'!$N$2:$N$146,$A14,'Revision Log'!$C$2:$C$146,0)</f>
        <v>6.85</v>
      </c>
      <c r="C14" s="19" t="n">
        <f aca="false">SUMIFS('Revision Log'!$M$2:$M$146,'Revision Log'!$N$2:$N$146,$A14,'Revision Log'!$C$2:$C$146,1)</f>
        <v>7.1</v>
      </c>
      <c r="D14" s="19" t="n">
        <f aca="false">SUMIFS('Revision Log'!$M$2:$M$146,'Revision Log'!$N$2:$N$146,$A14,'Revision Log'!$C$2:$C$146,2)</f>
        <v>7.4</v>
      </c>
      <c r="E14" s="19" t="n">
        <f aca="false">SUMIFS('Revision Log'!$M$2:$M$146,'Revision Log'!$N$2:$N$146,$A14,'Revision Log'!$C$2:$C$146,2)</f>
        <v>7.4</v>
      </c>
    </row>
    <row r="15" customFormat="false" ht="15" hidden="false" customHeight="false" outlineLevel="0" collapsed="false">
      <c r="A15" s="18" t="n">
        <v>23</v>
      </c>
      <c r="B15" s="19" t="n">
        <f aca="false">SUMIFS('Revision Log'!$M$2:$M$146,'Revision Log'!$N$2:$N$146,$A15,'Revision Log'!$C$2:$C$146,0)</f>
        <v>6.1</v>
      </c>
      <c r="C15" s="19" t="n">
        <f aca="false">SUMIFS('Revision Log'!$M$2:$M$146,'Revision Log'!$N$2:$N$146,$A15,'Revision Log'!$C$2:$C$146,1)</f>
        <v>6.6</v>
      </c>
      <c r="D15" s="19" t="n">
        <f aca="false">SUMIFS('Revision Log'!$M$2:$M$146,'Revision Log'!$N$2:$N$146,$A15,'Revision Log'!$C$2:$C$146,2)</f>
        <v>6.8</v>
      </c>
      <c r="E15" s="19" t="n">
        <f aca="false">SUMIFS('Revision Log'!$M$2:$M$146,'Revision Log'!$N$2:$N$146,$A15,'Revision Log'!$C$2:$C$146,3)</f>
        <v>7.35</v>
      </c>
    </row>
    <row r="16" customFormat="false" ht="15" hidden="false" customHeight="false" outlineLevel="0" collapsed="false">
      <c r="A16" s="18" t="n">
        <v>24</v>
      </c>
      <c r="B16" s="19" t="n">
        <f aca="false">SUMIFS('Revision Log'!$M$2:$M$146,'Revision Log'!$N$2:$N$146,$A16,'Revision Log'!$C$2:$C$146,0)</f>
        <v>5.7</v>
      </c>
      <c r="C16" s="19" t="n">
        <f aca="false">SUMIFS('Revision Log'!$M$2:$M$146,'Revision Log'!$N$2:$N$146,$A16,'Revision Log'!$C$2:$C$146,1)</f>
        <v>7.2</v>
      </c>
      <c r="D16" s="19" t="n">
        <f aca="false">SUMIFS('Revision Log'!$M$2:$M$146,'Revision Log'!$N$2:$N$146,$A16,'Revision Log'!$C$2:$C$146,2)</f>
        <v>7.35</v>
      </c>
      <c r="E16" s="19" t="n">
        <f aca="false">SUMIFS('Revision Log'!$M$2:$M$146,'Revision Log'!$N$2:$N$146,$A16,'Revision Log'!$C$2:$C$146,2)</f>
        <v>7.35</v>
      </c>
    </row>
    <row r="17" customFormat="false" ht="15" hidden="false" customHeight="false" outlineLevel="0" collapsed="false">
      <c r="A17" s="18" t="n">
        <v>30</v>
      </c>
      <c r="B17" s="19" t="n">
        <f aca="false">SUMIFS('Revision Log'!$M$2:$M$146,'Revision Log'!$N$2:$N$146,$A17,'Revision Log'!$C$2:$C$146,0)</f>
        <v>7.55</v>
      </c>
      <c r="C17" s="19" t="n">
        <f aca="false">SUMIFS('Revision Log'!$M$2:$M$146,'Revision Log'!$N$2:$N$146,$A17,'Revision Log'!$C$2:$C$146,0)</f>
        <v>7.55</v>
      </c>
      <c r="D17" s="19" t="n">
        <f aca="false">SUMIFS('Revision Log'!$M$2:$M$146,'Revision Log'!$N$2:$N$146,$A17,'Revision Log'!$C$2:$C$146,0)</f>
        <v>7.55</v>
      </c>
      <c r="E17" s="19" t="n">
        <f aca="false">SUMIFS('Revision Log'!$M$2:$M$146,'Revision Log'!$N$2:$N$146,$A17,'Revision Log'!$C$2:$C$146,0)</f>
        <v>7.55</v>
      </c>
    </row>
    <row r="18" customFormat="false" ht="15" hidden="false" customHeight="false" outlineLevel="0" collapsed="false">
      <c r="A18" s="18" t="n">
        <v>31</v>
      </c>
      <c r="B18" s="19" t="n">
        <f aca="false">SUMIFS('Revision Log'!$M$2:$M$146,'Revision Log'!$N$2:$N$146,$A18,'Revision Log'!$C$2:$C$146,0)</f>
        <v>7.65</v>
      </c>
      <c r="C18" s="19" t="n">
        <f aca="false">SUMIFS('Revision Log'!$M$2:$M$146,'Revision Log'!$N$2:$N$146,$A18,'Revision Log'!$C$2:$C$146,0)</f>
        <v>7.65</v>
      </c>
      <c r="D18" s="19" t="n">
        <f aca="false">SUMIFS('Revision Log'!$M$2:$M$146,'Revision Log'!$N$2:$N$146,$A18,'Revision Log'!$C$2:$C$146,0)</f>
        <v>7.65</v>
      </c>
      <c r="E18" s="19" t="n">
        <f aca="false">SUMIFS('Revision Log'!$M$2:$M$146,'Revision Log'!$N$2:$N$146,$A18,'Revision Log'!$C$2:$C$146,0)</f>
        <v>7.65</v>
      </c>
    </row>
    <row r="19" customFormat="false" ht="15" hidden="false" customHeight="false" outlineLevel="0" collapsed="false">
      <c r="A19" s="18" t="n">
        <v>32</v>
      </c>
      <c r="B19" s="19" t="n">
        <f aca="false">SUMIFS('Revision Log'!$M$2:$M$146,'Revision Log'!$N$2:$N$146,$A19,'Revision Log'!$C$2:$C$146,0)</f>
        <v>8.1</v>
      </c>
      <c r="C19" s="19" t="n">
        <f aca="false">SUMIFS('Revision Log'!$M$2:$M$146,'Revision Log'!$N$2:$N$146,$A19,'Revision Log'!$C$2:$C$146,0)</f>
        <v>8.1</v>
      </c>
      <c r="D19" s="19" t="n">
        <f aca="false">SUMIFS('Revision Log'!$M$2:$M$146,'Revision Log'!$N$2:$N$146,$A19,'Revision Log'!$C$2:$C$146,0)</f>
        <v>8.1</v>
      </c>
      <c r="E19" s="19" t="n">
        <f aca="false">SUMIFS('Revision Log'!$M$2:$M$146,'Revision Log'!$N$2:$N$146,$A19,'Revision Log'!$C$2:$C$146,0)</f>
        <v>8.1</v>
      </c>
    </row>
    <row r="20" customFormat="false" ht="15" hidden="false" customHeight="false" outlineLevel="0" collapsed="false">
      <c r="A20" s="18" t="n">
        <v>33</v>
      </c>
      <c r="B20" s="19" t="n">
        <f aca="false">SUMIFS('Revision Log'!$M$2:$M$146,'Revision Log'!$N$2:$N$146,$A20,'Revision Log'!$C$2:$C$146,0)</f>
        <v>7.2</v>
      </c>
      <c r="C20" s="19" t="n">
        <f aca="false">SUMIFS('Revision Log'!$M$2:$M$146,'Revision Log'!$N$2:$N$146,$A20,'Revision Log'!$C$2:$C$146,0)</f>
        <v>7.2</v>
      </c>
      <c r="D20" s="19" t="n">
        <f aca="false">SUMIFS('Revision Log'!$M$2:$M$146,'Revision Log'!$N$2:$N$146,$A20,'Revision Log'!$C$2:$C$146,2)</f>
        <v>7.4</v>
      </c>
      <c r="E20" s="19" t="n">
        <f aca="false">SUMIFS('Revision Log'!$M$2:$M$146,'Revision Log'!$N$2:$N$146,$A20,'Revision Log'!$C$2:$C$146,2)</f>
        <v>7.4</v>
      </c>
    </row>
    <row r="21" customFormat="false" ht="15" hidden="false" customHeight="false" outlineLevel="0" collapsed="false">
      <c r="A21" s="18" t="n">
        <v>34</v>
      </c>
      <c r="B21" s="19" t="n">
        <f aca="false">SUMIFS('Revision Log'!$M$2:$M$146,'Revision Log'!$N$2:$N$146,$A21,'Revision Log'!$C$2:$C$146,0)</f>
        <v>8</v>
      </c>
      <c r="C21" s="19" t="n">
        <f aca="false">SUMIFS('Revision Log'!$M$2:$M$146,'Revision Log'!$N$2:$N$146,$A21,'Revision Log'!$C$2:$C$146,0)</f>
        <v>8</v>
      </c>
      <c r="D21" s="19" t="n">
        <f aca="false">SUMIFS('Revision Log'!$M$2:$M$146,'Revision Log'!$N$2:$N$146,$A21,'Revision Log'!$C$2:$C$146,0)</f>
        <v>8</v>
      </c>
      <c r="E21" s="19" t="n">
        <f aca="false">SUMIFS('Revision Log'!$M$2:$M$146,'Revision Log'!$N$2:$N$146,$A21,'Revision Log'!$C$2:$C$146,0)</f>
        <v>8</v>
      </c>
    </row>
    <row r="22" customFormat="false" ht="15" hidden="false" customHeight="false" outlineLevel="0" collapsed="false">
      <c r="A22" s="18" t="n">
        <v>40</v>
      </c>
      <c r="B22" s="19" t="n">
        <f aca="false">SUMIFS('Revision Log'!$M$2:$M$146,'Revision Log'!$N$2:$N$146,$A22,'Revision Log'!$C$2:$C$146,0)</f>
        <v>6.95</v>
      </c>
      <c r="C22" s="19" t="n">
        <f aca="false">SUMIFS('Revision Log'!$M$2:$M$146,'Revision Log'!$N$2:$N$146,$A22,'Revision Log'!$C$2:$C$146,0)</f>
        <v>6.95</v>
      </c>
      <c r="D22" s="19" t="n">
        <f aca="false">SUMIFS('Revision Log'!$M$2:$M$146,'Revision Log'!$N$2:$N$146,$A22,'Revision Log'!$C$2:$C$146,2)</f>
        <v>7.4</v>
      </c>
      <c r="E22" s="19" t="n">
        <f aca="false">SUMIFS('Revision Log'!$M$2:$M$146,'Revision Log'!$N$2:$N$146,$A22,'Revision Log'!$C$2:$C$146,3)</f>
        <v>7.5</v>
      </c>
    </row>
    <row r="23" customFormat="false" ht="15" hidden="false" customHeight="false" outlineLevel="0" collapsed="false">
      <c r="A23" s="18" t="n">
        <v>41</v>
      </c>
      <c r="B23" s="19" t="n">
        <f aca="false">SUMIFS('Revision Log'!$M$2:$M$146,'Revision Log'!$N$2:$N$146,$A23,'Revision Log'!$C$2:$C$146,0)</f>
        <v>5.35</v>
      </c>
      <c r="C23" s="19" t="n">
        <f aca="false">SUMIFS('Revision Log'!$M$2:$M$146,'Revision Log'!$N$2:$N$146,$A23,'Revision Log'!$C$2:$C$146,1)</f>
        <v>6.9</v>
      </c>
      <c r="D23" s="19" t="n">
        <f aca="false">SUMIFS('Revision Log'!$M$2:$M$146,'Revision Log'!$N$2:$N$146,$A23,'Revision Log'!$C$2:$C$146,2)</f>
        <v>7.15</v>
      </c>
      <c r="E23" s="19" t="n">
        <f aca="false">SUMIFS('Revision Log'!$M$2:$M$146,'Revision Log'!$N$2:$N$146,$A23,'Revision Log'!$C$2:$C$146,3)</f>
        <v>7.35</v>
      </c>
    </row>
    <row r="24" customFormat="false" ht="15" hidden="false" customHeight="false" outlineLevel="0" collapsed="false">
      <c r="A24" s="18" t="n">
        <v>42</v>
      </c>
      <c r="B24" s="19" t="n">
        <f aca="false">SUMIFS('Revision Log'!$M$2:$M$146,'Revision Log'!$N$2:$N$146,$A24,'Revision Log'!$C$2:$C$146,0)</f>
        <v>7.05</v>
      </c>
      <c r="C24" s="19" t="n">
        <f aca="false">SUMIFS('Revision Log'!$M$2:$M$146,'Revision Log'!$N$2:$N$146,$A24,'Revision Log'!$C$2:$C$146,0)</f>
        <v>7.05</v>
      </c>
      <c r="D24" s="19" t="n">
        <f aca="false">SUMIFS('Revision Log'!$M$2:$M$146,'Revision Log'!$N$2:$N$146,$A24,'Revision Log'!$C$2:$C$146,2)</f>
        <v>7.15</v>
      </c>
      <c r="E24" s="19" t="n">
        <f aca="false">SUMIFS('Revision Log'!$M$2:$M$146,'Revision Log'!$N$2:$N$146,$A24,'Revision Log'!$C$2:$C$146,3)</f>
        <v>7.25</v>
      </c>
    </row>
    <row r="25" customFormat="false" ht="15" hidden="false" customHeight="false" outlineLevel="0" collapsed="false">
      <c r="A25" s="18" t="n">
        <v>43</v>
      </c>
      <c r="B25" s="19" t="n">
        <f aca="false">SUMIFS('Revision Log'!$M$2:$M$146,'Revision Log'!$N$2:$N$146,$A25,'Revision Log'!$C$2:$C$146,0)</f>
        <v>7.3</v>
      </c>
      <c r="C25" s="19" t="n">
        <f aca="false">SUMIFS('Revision Log'!$M$2:$M$146,'Revision Log'!$N$2:$N$146,$A25,'Revision Log'!$C$2:$C$146,0)</f>
        <v>7.3</v>
      </c>
      <c r="D25" s="19" t="n">
        <f aca="false">SUMIFS('Revision Log'!$M$2:$M$146,'Revision Log'!$N$2:$N$146,$A25,'Revision Log'!$C$2:$C$146,0)</f>
        <v>7.3</v>
      </c>
      <c r="E25" s="19" t="n">
        <f aca="false">SUMIFS('Revision Log'!$M$2:$M$146,'Revision Log'!$N$2:$N$146,$A25,'Revision Log'!$C$2:$C$146,3)</f>
        <v>7.4</v>
      </c>
    </row>
    <row r="26" customFormat="false" ht="15" hidden="false" customHeight="false" outlineLevel="0" collapsed="false">
      <c r="A26" s="18" t="n">
        <v>44</v>
      </c>
      <c r="B26" s="19" t="n">
        <f aca="false">SUMIFS('Revision Log'!$M$2:$M$146,'Revision Log'!$N$2:$N$146,$A26,'Revision Log'!$C$2:$C$146,0)</f>
        <v>7.35</v>
      </c>
      <c r="C26" s="19" t="n">
        <f aca="false">SUMIFS('Revision Log'!$M$2:$M$146,'Revision Log'!$N$2:$N$146,$A26,'Revision Log'!$C$2:$C$146,0)</f>
        <v>7.35</v>
      </c>
      <c r="D26" s="19" t="n">
        <f aca="false">SUMIFS('Revision Log'!$M$2:$M$146,'Revision Log'!$N$2:$N$146,$A26,'Revision Log'!$C$2:$C$146,0)</f>
        <v>7.35</v>
      </c>
      <c r="E26" s="19" t="n">
        <f aca="false">SUMIFS('Revision Log'!$M$2:$M$146,'Revision Log'!$N$2:$N$146,$A26,'Revision Log'!$C$2:$C$146,3)</f>
        <v>7.7</v>
      </c>
    </row>
    <row r="27" customFormat="false" ht="15" hidden="false" customHeight="false" outlineLevel="0" collapsed="false">
      <c r="A27" s="18" t="n">
        <v>50</v>
      </c>
      <c r="B27" s="19" t="n">
        <f aca="false">SUMIFS('Revision Log'!$M$2:$M$146,'Revision Log'!$N$2:$N$146,$A27,'Revision Log'!$C$2:$C$146,0)</f>
        <v>7.5</v>
      </c>
      <c r="C27" s="19" t="n">
        <f aca="false">SUMIFS('Revision Log'!$M$2:$M$146,'Revision Log'!$N$2:$N$146,$A27,'Revision Log'!$C$2:$C$146,0)</f>
        <v>7.5</v>
      </c>
      <c r="D27" s="19" t="n">
        <f aca="false">SUMIFS('Revision Log'!$M$2:$M$146,'Revision Log'!$N$2:$N$146,$A27,'Revision Log'!$C$2:$C$146,0)</f>
        <v>7.5</v>
      </c>
      <c r="E27" s="19" t="n">
        <f aca="false">SUMIFS('Revision Log'!$M$2:$M$146,'Revision Log'!$N$2:$N$146,$A27,'Revision Log'!$C$2:$C$146,3)</f>
        <v>7.6</v>
      </c>
    </row>
    <row r="28" customFormat="false" ht="15" hidden="false" customHeight="false" outlineLevel="0" collapsed="false">
      <c r="A28" s="18" t="n">
        <v>51</v>
      </c>
      <c r="B28" s="19" t="n">
        <f aca="false">SUMIFS('Revision Log'!$M$2:$M$146,'Revision Log'!$N$2:$N$146,$A28,'Revision Log'!$C$2:$C$146,0)</f>
        <v>7.75</v>
      </c>
      <c r="C28" s="19" t="n">
        <f aca="false">SUMIFS('Revision Log'!$M$2:$M$146,'Revision Log'!$N$2:$N$146,$A28,'Revision Log'!$C$2:$C$146,0)</f>
        <v>7.75</v>
      </c>
      <c r="D28" s="19" t="n">
        <f aca="false">SUMIFS('Revision Log'!$M$2:$M$146,'Revision Log'!$N$2:$N$146,$A28,'Revision Log'!$C$2:$C$146,0)</f>
        <v>7.75</v>
      </c>
      <c r="E28" s="19" t="n">
        <f aca="false">SUMIFS('Revision Log'!$M$2:$M$146,'Revision Log'!$N$2:$N$146,$A28,'Revision Log'!$C$2:$C$146,0)</f>
        <v>7.75</v>
      </c>
    </row>
    <row r="29" customFormat="false" ht="15" hidden="false" customHeight="false" outlineLevel="0" collapsed="false">
      <c r="A29" s="18" t="n">
        <v>52</v>
      </c>
      <c r="B29" s="19" t="n">
        <f aca="false">SUMIFS('Revision Log'!$M$2:$M$146,'Revision Log'!$N$2:$N$146,$A29,'Revision Log'!$C$2:$C$146,0)</f>
        <v>7.15</v>
      </c>
      <c r="C29" s="19" t="n">
        <f aca="false">SUMIFS('Revision Log'!$M$2:$M$146,'Revision Log'!$N$2:$N$146,$A29,'Revision Log'!$C$2:$C$146,0)</f>
        <v>7.15</v>
      </c>
      <c r="D29" s="19" t="n">
        <f aca="false">SUMIFS('Revision Log'!$M$2:$M$146,'Revision Log'!$N$2:$N$146,$A29,'Revision Log'!$C$2:$C$146,2)</f>
        <v>7.5</v>
      </c>
      <c r="E29" s="19" t="n">
        <f aca="false">SUMIFS('Revision Log'!$M$2:$M$146,'Revision Log'!$N$2:$N$146,$A29,'Revision Log'!$C$2:$C$146,2)</f>
        <v>7.5</v>
      </c>
    </row>
    <row r="30" customFormat="false" ht="15" hidden="false" customHeight="false" outlineLevel="0" collapsed="false">
      <c r="A30" s="18" t="n">
        <v>53</v>
      </c>
      <c r="B30" s="19" t="n">
        <f aca="false">SUMIFS('Revision Log'!$M$2:$M$146,'Revision Log'!$N$2:$N$146,$A30,'Revision Log'!$C$2:$C$146,0)</f>
        <v>6.75</v>
      </c>
      <c r="C30" s="19" t="n">
        <f aca="false">SUMIFS('Revision Log'!$M$2:$M$146,'Revision Log'!$N$2:$N$146,$A30,'Revision Log'!$C$2:$C$146,1)</f>
        <v>8.1</v>
      </c>
      <c r="D30" s="19" t="n">
        <f aca="false">SUMIFS('Revision Log'!$M$2:$M$146,'Revision Log'!$N$2:$N$146,$A30,'Revision Log'!$C$2:$C$146,1)</f>
        <v>8.1</v>
      </c>
      <c r="E30" s="19" t="n">
        <f aca="false">SUMIFS('Revision Log'!$M$2:$M$146,'Revision Log'!$N$2:$N$146,$A30,'Revision Log'!$C$2:$C$146,1)</f>
        <v>8.1</v>
      </c>
    </row>
    <row r="31" customFormat="false" ht="15" hidden="false" customHeight="false" outlineLevel="0" collapsed="false">
      <c r="A31" s="18" t="n">
        <v>54</v>
      </c>
      <c r="B31" s="19" t="n">
        <f aca="false">SUMIFS('Revision Log'!$M$2:$M$146,'Revision Log'!$N$2:$N$146,$A31,'Revision Log'!$C$2:$C$146,0)</f>
        <v>6.6</v>
      </c>
      <c r="C31" s="19" t="n">
        <f aca="false">SUMIFS('Revision Log'!$M$2:$M$146,'Revision Log'!$N$2:$N$146,$A31,'Revision Log'!$C$2:$C$146,1)</f>
        <v>6.9</v>
      </c>
      <c r="D31" s="19" t="n">
        <f aca="false">SUMIFS('Revision Log'!$M$2:$M$146,'Revision Log'!$N$2:$N$146,$A31,'Revision Log'!$C$2:$C$146,2)</f>
        <v>7.3</v>
      </c>
      <c r="E31" s="19" t="n">
        <f aca="false">SUMIFS('Revision Log'!$M$2:$M$146,'Revision Log'!$N$2:$N$146,$A31,'Revision Log'!$C$2:$C$146,3)</f>
        <v>7.5</v>
      </c>
    </row>
    <row r="32" customFormat="false" ht="15" hidden="false" customHeight="false" outlineLevel="0" collapsed="false">
      <c r="A32" s="18" t="n">
        <v>60</v>
      </c>
      <c r="B32" s="19" t="n">
        <f aca="false">SUMIFS('Revision Log'!$M$2:$M$146,'Revision Log'!$N$2:$N$146,$A32,'Revision Log'!$C$2:$C$146,0)</f>
        <v>5.3</v>
      </c>
      <c r="C32" s="19" t="n">
        <f aca="false">SUMIFS('Revision Log'!$M$2:$M$146,'Revision Log'!$N$2:$N$146,$A32,'Revision Log'!$C$2:$C$146,1)</f>
        <v>7.1</v>
      </c>
      <c r="D32" s="19" t="n">
        <f aca="false">SUMIFS('Revision Log'!$M$2:$M$146,'Revision Log'!$N$2:$N$146,$A32,'Revision Log'!$C$2:$C$146,2)</f>
        <v>7.2</v>
      </c>
      <c r="E32" s="19" t="n">
        <f aca="false">SUMIFS('Revision Log'!$M$2:$M$146,'Revision Log'!$N$2:$N$146,$A32,'Revision Log'!$C$2:$C$146,3)</f>
        <v>7.6</v>
      </c>
    </row>
    <row r="33" customFormat="false" ht="15" hidden="false" customHeight="false" outlineLevel="0" collapsed="false">
      <c r="A33" s="18" t="n">
        <v>61</v>
      </c>
      <c r="B33" s="19" t="n">
        <f aca="false">SUMIFS('Revision Log'!$M$2:$M$146,'Revision Log'!$N$2:$N$146,$A33,'Revision Log'!$C$2:$C$146,0)</f>
        <v>7.5</v>
      </c>
      <c r="C33" s="19" t="n">
        <f aca="false">SUMIFS('Revision Log'!$M$2:$M$146,'Revision Log'!$N$2:$N$146,$A33,'Revision Log'!$C$2:$C$146,0)</f>
        <v>7.5</v>
      </c>
      <c r="D33" s="19" t="n">
        <f aca="false">SUMIFS('Revision Log'!$M$2:$M$146,'Revision Log'!$N$2:$N$146,$A33,'Revision Log'!$C$2:$C$146,0)</f>
        <v>7.5</v>
      </c>
      <c r="E33" s="19" t="n">
        <f aca="false">SUMIFS('Revision Log'!$M$2:$M$146,'Revision Log'!$N$2:$N$146,$A33,'Revision Log'!$C$2:$C$146,3)</f>
        <v>7.6</v>
      </c>
    </row>
    <row r="34" customFormat="false" ht="15" hidden="false" customHeight="false" outlineLevel="0" collapsed="false">
      <c r="A34" s="18" t="n">
        <v>62</v>
      </c>
      <c r="B34" s="19" t="n">
        <f aca="false">SUMIFS('Revision Log'!$M$2:$M$146,'Revision Log'!$N$2:$N$146,$A34,'Revision Log'!$C$2:$C$146,0)</f>
        <v>7.6</v>
      </c>
      <c r="C34" s="19" t="n">
        <f aca="false">SUMIFS('Revision Log'!$M$2:$M$146,'Revision Log'!$N$2:$N$146,$A34,'Revision Log'!$C$2:$C$146,0)</f>
        <v>7.6</v>
      </c>
      <c r="D34" s="19" t="n">
        <f aca="false">SUMIFS('Revision Log'!$M$2:$M$146,'Revision Log'!$N$2:$N$146,$A34,'Revision Log'!$C$2:$C$146,0)</f>
        <v>7.6</v>
      </c>
      <c r="E34" s="19" t="n">
        <f aca="false">SUMIFS('Revision Log'!$M$2:$M$146,'Revision Log'!$N$2:$N$146,$A34,'Revision Log'!$C$2:$C$146,0)</f>
        <v>7.6</v>
      </c>
    </row>
    <row r="35" customFormat="false" ht="15" hidden="false" customHeight="false" outlineLevel="0" collapsed="false">
      <c r="A35" s="18" t="n">
        <v>63</v>
      </c>
      <c r="B35" s="19" t="n">
        <f aca="false">SUMIFS('Revision Log'!$M$2:$M$146,'Revision Log'!$N$2:$N$146,$A35,'Revision Log'!$C$2:$C$146,0)</f>
        <v>6.8</v>
      </c>
      <c r="C35" s="19" t="n">
        <f aca="false">SUMIFS('Revision Log'!$M$2:$M$146,'Revision Log'!$N$2:$N$146,$A35,'Revision Log'!$C$2:$C$146,1)</f>
        <v>6.8</v>
      </c>
      <c r="D35" s="19" t="n">
        <f aca="false">SUMIFS('Revision Log'!$M$2:$M$146,'Revision Log'!$N$2:$N$146,$A35,'Revision Log'!$C$2:$C$146,2)</f>
        <v>7.5</v>
      </c>
      <c r="E35" s="19" t="n">
        <f aca="false">SUMIFS('Revision Log'!$M$2:$M$146,'Revision Log'!$N$2:$N$146,$A35,'Revision Log'!$C$2:$C$146,2)</f>
        <v>7.5</v>
      </c>
    </row>
    <row r="36" customFormat="false" ht="15" hidden="false" customHeight="false" outlineLevel="0" collapsed="false">
      <c r="A36" s="18" t="n">
        <v>64</v>
      </c>
      <c r="B36" s="19" t="n">
        <f aca="false">SUMIFS('Revision Log'!$M$2:$M$146,'Revision Log'!$N$2:$N$146,$A36,'Revision Log'!$C$2:$C$146,0)</f>
        <v>7.05</v>
      </c>
      <c r="C36" s="19" t="n">
        <f aca="false">SUMIFS('Revision Log'!$M$2:$M$146,'Revision Log'!$N$2:$N$146,$A36,'Revision Log'!$C$2:$C$146,0)</f>
        <v>7.05</v>
      </c>
      <c r="D36" s="19" t="n">
        <f aca="false">SUMIFS('Revision Log'!$M$2:$M$146,'Revision Log'!$N$2:$N$146,$A36,'Revision Log'!$C$2:$C$146,2)</f>
        <v>7.65</v>
      </c>
      <c r="E36" s="19" t="n">
        <f aca="false">SUMIFS('Revision Log'!$M$2:$M$146,'Revision Log'!$N$2:$N$146,$A36,'Revision Log'!$C$2:$C$146,2)</f>
        <v>7.65</v>
      </c>
    </row>
    <row r="37" customFormat="false" ht="15" hidden="false" customHeight="false" outlineLevel="0" collapsed="false">
      <c r="A37" s="18" t="n">
        <v>70</v>
      </c>
      <c r="B37" s="19" t="n">
        <f aca="false">SUMIFS('Revision Log'!$M$2:$M$146,'Revision Log'!$N$2:$N$146,$A37,'Revision Log'!$C$2:$C$146,0)</f>
        <v>8.05</v>
      </c>
      <c r="C37" s="19" t="n">
        <f aca="false">SUMIFS('Revision Log'!$M$2:$M$146,'Revision Log'!$N$2:$N$146,$A37,'Revision Log'!$C$2:$C$146,0)</f>
        <v>8.05</v>
      </c>
      <c r="D37" s="19" t="n">
        <f aca="false">SUMIFS('Revision Log'!$M$2:$M$146,'Revision Log'!$N$2:$N$146,$A37,'Revision Log'!$C$2:$C$146,0)</f>
        <v>8.05</v>
      </c>
      <c r="E37" s="19" t="n">
        <f aca="false">SUMIFS('Revision Log'!$M$2:$M$146,'Revision Log'!$N$2:$N$146,$A37,'Revision Log'!$C$2:$C$146,0)</f>
        <v>8.05</v>
      </c>
    </row>
    <row r="38" customFormat="false" ht="15" hidden="false" customHeight="false" outlineLevel="0" collapsed="false">
      <c r="A38" s="18" t="n">
        <v>71</v>
      </c>
      <c r="B38" s="19" t="n">
        <f aca="false">SUMIFS('Revision Log'!$M$2:$M$146,'Revision Log'!$N$2:$N$146,$A38,'Revision Log'!$C$2:$C$146,0)</f>
        <v>7.85</v>
      </c>
      <c r="C38" s="19" t="n">
        <f aca="false">SUMIFS('Revision Log'!$M$2:$M$146,'Revision Log'!$N$2:$N$146,$A38,'Revision Log'!$C$2:$C$146,0)</f>
        <v>7.85</v>
      </c>
      <c r="D38" s="19" t="n">
        <f aca="false">SUMIFS('Revision Log'!$M$2:$M$146,'Revision Log'!$N$2:$N$146,$A38,'Revision Log'!$C$2:$C$146,0)</f>
        <v>7.85</v>
      </c>
      <c r="E38" s="19" t="n">
        <f aca="false">SUMIFS('Revision Log'!$M$2:$M$146,'Revision Log'!$N$2:$N$146,$A38,'Revision Log'!$C$2:$C$146,0)</f>
        <v>7.85</v>
      </c>
    </row>
    <row r="39" customFormat="false" ht="15" hidden="false" customHeight="false" outlineLevel="0" collapsed="false">
      <c r="A39" s="18" t="n">
        <v>72</v>
      </c>
      <c r="B39" s="19" t="n">
        <f aca="false">SUMIFS('Revision Log'!$M$2:$M$146,'Revision Log'!$N$2:$N$146,$A39,'Revision Log'!$C$2:$C$146,0)</f>
        <v>5.2</v>
      </c>
      <c r="C39" s="19" t="n">
        <f aca="false">SUMIFS('Revision Log'!$M$2:$M$146,'Revision Log'!$N$2:$N$146,$A39,'Revision Log'!$C$2:$C$146,1)</f>
        <v>7.5</v>
      </c>
      <c r="D39" s="19" t="n">
        <f aca="false">SUMIFS('Revision Log'!$M$2:$M$146,'Revision Log'!$N$2:$N$146,$A39,'Revision Log'!$C$2:$C$146,1)</f>
        <v>7.5</v>
      </c>
      <c r="E39" s="19" t="n">
        <f aca="false">SUMIFS('Revision Log'!$M$2:$M$146,'Revision Log'!$N$2:$N$146,$A39,'Revision Log'!$C$2:$C$146,1)</f>
        <v>7.5</v>
      </c>
    </row>
    <row r="40" customFormat="false" ht="15" hidden="false" customHeight="false" outlineLevel="0" collapsed="false">
      <c r="A40" s="18" t="n">
        <v>73</v>
      </c>
      <c r="B40" s="19" t="n">
        <f aca="false">SUMIFS('Revision Log'!$M$2:$M$146,'Revision Log'!$N$2:$N$146,$A40,'Revision Log'!$C$2:$C$146,0)</f>
        <v>6.9</v>
      </c>
      <c r="C40" s="19" t="n">
        <f aca="false">SUMIFS('Revision Log'!$M$2:$M$146,'Revision Log'!$N$2:$N$146,$A40,'Revision Log'!$C$2:$C$146,1)</f>
        <v>7.55</v>
      </c>
      <c r="D40" s="19" t="n">
        <f aca="false">SUMIFS('Revision Log'!$M$2:$M$146,'Revision Log'!$N$2:$N$146,$A40,'Revision Log'!$C$2:$C$146,1)</f>
        <v>7.55</v>
      </c>
      <c r="E40" s="19" t="n">
        <f aca="false">SUMIFS('Revision Log'!$M$2:$M$146,'Revision Log'!$N$2:$N$146,$A40,'Revision Log'!$C$2:$C$146,1)</f>
        <v>7.55</v>
      </c>
    </row>
    <row r="41" customFormat="false" ht="15" hidden="false" customHeight="false" outlineLevel="0" collapsed="false">
      <c r="A41" s="18" t="n">
        <v>74</v>
      </c>
      <c r="B41" s="19" t="n">
        <f aca="false">SUMIFS('Revision Log'!$M$2:$M$146,'Revision Log'!$N$2:$N$146,$A41,'Revision Log'!$C$2:$C$146,0)</f>
        <v>8.2</v>
      </c>
      <c r="C41" s="19" t="n">
        <f aca="false">SUMIFS('Revision Log'!$M$2:$M$146,'Revision Log'!$N$2:$N$146,$A41,'Revision Log'!$C$2:$C$146,0)</f>
        <v>8.2</v>
      </c>
      <c r="D41" s="19" t="n">
        <f aca="false">SUMIFS('Revision Log'!$M$2:$M$146,'Revision Log'!$N$2:$N$146,$A41,'Revision Log'!$C$2:$C$146,0)</f>
        <v>8.2</v>
      </c>
      <c r="E41" s="19" t="n">
        <f aca="false">SUMIFS('Revision Log'!$M$2:$M$146,'Revision Log'!$N$2:$N$146,$A41,'Revision Log'!$C$2:$C$146,0)</f>
        <v>8.2</v>
      </c>
    </row>
    <row r="42" customFormat="false" ht="15" hidden="false" customHeight="false" outlineLevel="0" collapsed="false">
      <c r="A42" s="18" t="n">
        <v>80</v>
      </c>
      <c r="B42" s="19" t="n">
        <f aca="false">SUMIFS('Revision Log'!$M$2:$M$146,'Revision Log'!$N$2:$N$146,$A42,'Revision Log'!$C$2:$C$146,0)</f>
        <v>6.85</v>
      </c>
      <c r="C42" s="19" t="n">
        <f aca="false">SUMIFS('Revision Log'!$M$2:$M$146,'Revision Log'!$N$2:$N$146,$A42,'Revision Log'!$C$2:$C$146,1)</f>
        <v>6.95</v>
      </c>
      <c r="D42" s="19" t="n">
        <f aca="false">SUMIFS('Revision Log'!$M$2:$M$146,'Revision Log'!$N$2:$N$146,$A42,'Revision Log'!$C$2:$C$146,2)</f>
        <v>7.15</v>
      </c>
      <c r="E42" s="19" t="n">
        <f aca="false">SUMIFS('Revision Log'!$M$2:$M$146,'Revision Log'!$N$2:$N$146,$A42,'Revision Log'!$C$2:$C$146,2)</f>
        <v>7.15</v>
      </c>
    </row>
    <row r="43" customFormat="false" ht="15" hidden="false" customHeight="false" outlineLevel="0" collapsed="false">
      <c r="A43" s="18" t="n">
        <v>81</v>
      </c>
      <c r="B43" s="19" t="n">
        <f aca="false">SUMIFS('Revision Log'!$M$2:$M$146,'Revision Log'!$N$2:$N$146,$A43,'Revision Log'!$C$2:$C$146,0)</f>
        <v>6.1</v>
      </c>
      <c r="C43" s="19" t="n">
        <f aca="false">SUMIFS('Revision Log'!$M$2:$M$146,'Revision Log'!$N$2:$N$146,$A43,'Revision Log'!$C$2:$C$146,1)</f>
        <v>8</v>
      </c>
      <c r="D43" s="19" t="n">
        <f aca="false">SUMIFS('Revision Log'!$M$2:$M$146,'Revision Log'!$N$2:$N$146,$A43,'Revision Log'!$C$2:$C$146,1)</f>
        <v>8</v>
      </c>
      <c r="E43" s="19" t="n">
        <f aca="false">SUMIFS('Revision Log'!$M$2:$M$146,'Revision Log'!$N$2:$N$146,$A43,'Revision Log'!$C$2:$C$146,1)</f>
        <v>8</v>
      </c>
    </row>
    <row r="44" customFormat="false" ht="15" hidden="false" customHeight="false" outlineLevel="0" collapsed="false">
      <c r="A44" s="18" t="n">
        <v>82</v>
      </c>
      <c r="B44" s="19" t="n">
        <f aca="false">SUMIFS('Revision Log'!$M$2:$M$146,'Revision Log'!$N$2:$N$146,$A44,'Revision Log'!$C$2:$C$146,0)</f>
        <v>8.8</v>
      </c>
      <c r="C44" s="19" t="n">
        <f aca="false">SUMIFS('Revision Log'!$M$2:$M$146,'Revision Log'!$N$2:$N$146,$A44,'Revision Log'!$C$2:$C$146,0)</f>
        <v>8.8</v>
      </c>
      <c r="D44" s="19" t="n">
        <f aca="false">SUMIFS('Revision Log'!$M$2:$M$146,'Revision Log'!$N$2:$N$146,$A44,'Revision Log'!$C$2:$C$146,0)</f>
        <v>8.8</v>
      </c>
      <c r="E44" s="19" t="n">
        <f aca="false">SUMIFS('Revision Log'!$M$2:$M$146,'Revision Log'!$N$2:$N$146,$A44,'Revision Log'!$C$2:$C$146,0)</f>
        <v>8.8</v>
      </c>
    </row>
    <row r="45" customFormat="false" ht="15" hidden="false" customHeight="false" outlineLevel="0" collapsed="false">
      <c r="A45" s="18" t="n">
        <v>83</v>
      </c>
      <c r="B45" s="19" t="n">
        <f aca="false">SUMIFS('Revision Log'!$M$2:$M$146,'Revision Log'!$N$2:$N$146,$A45,'Revision Log'!$C$2:$C$146,0)</f>
        <v>6.85</v>
      </c>
      <c r="C45" s="19" t="n">
        <f aca="false">SUMIFS('Revision Log'!$M$2:$M$146,'Revision Log'!$N$2:$N$146,$A45,'Revision Log'!$C$2:$C$146,1)</f>
        <v>8.35</v>
      </c>
      <c r="D45" s="19" t="n">
        <f aca="false">SUMIFS('Revision Log'!$M$2:$M$146,'Revision Log'!$N$2:$N$146,$A45,'Revision Log'!$C$2:$C$146,1)</f>
        <v>8.35</v>
      </c>
      <c r="E45" s="19" t="n">
        <f aca="false">SUMIFS('Revision Log'!$M$2:$M$146,'Revision Log'!$N$2:$N$146,$A45,'Revision Log'!$C$2:$C$146,1)</f>
        <v>8.35</v>
      </c>
    </row>
    <row r="46" customFormat="false" ht="15" hidden="false" customHeight="false" outlineLevel="0" collapsed="false">
      <c r="A46" s="18" t="n">
        <v>84</v>
      </c>
      <c r="B46" s="19" t="n">
        <f aca="false">SUMIFS('Revision Log'!$M$2:$M$146,'Revision Log'!$N$2:$N$146,$A46,'Revision Log'!$C$2:$C$146,0)</f>
        <v>7.3</v>
      </c>
      <c r="C46" s="19" t="n">
        <f aca="false">SUMIFS('Revision Log'!$M$2:$M$146,'Revision Log'!$N$2:$N$146,$A46,'Revision Log'!$C$2:$C$146,0)</f>
        <v>7.3</v>
      </c>
      <c r="D46" s="19" t="n">
        <f aca="false">SUMIFS('Revision Log'!$M$2:$M$146,'Revision Log'!$N$2:$N$146,$A46,'Revision Log'!$C$2:$C$146,0)</f>
        <v>7.3</v>
      </c>
      <c r="E46" s="19" t="n">
        <f aca="false">SUMIFS('Revision Log'!$M$2:$M$146,'Revision Log'!$N$2:$N$146,$A46,'Revision Log'!$C$2:$C$146,3)</f>
        <v>8.05</v>
      </c>
    </row>
    <row r="47" customFormat="false" ht="15" hidden="false" customHeight="false" outlineLevel="0" collapsed="false">
      <c r="A47" s="18" t="n">
        <v>90</v>
      </c>
      <c r="B47" s="19" t="n">
        <f aca="false">SUMIFS('Revision Log'!$M$2:$M$146,'Revision Log'!$N$2:$N$146,$A47,'Revision Log'!$C$2:$C$146,0)</f>
        <v>7.55</v>
      </c>
      <c r="C47" s="19" t="n">
        <f aca="false">SUMIFS('Revision Log'!$M$2:$M$146,'Revision Log'!$N$2:$N$146,$A47,'Revision Log'!$C$2:$C$146,0)</f>
        <v>7.55</v>
      </c>
      <c r="D47" s="19" t="n">
        <f aca="false">SUMIFS('Revision Log'!$M$2:$M$146,'Revision Log'!$N$2:$N$146,$A47,'Revision Log'!$C$2:$C$146,0)</f>
        <v>7.55</v>
      </c>
      <c r="E47" s="19" t="n">
        <f aca="false">SUMIFS('Revision Log'!$M$2:$M$146,'Revision Log'!$N$2:$N$146,$A47,'Revision Log'!$C$2:$C$146,0)</f>
        <v>7.55</v>
      </c>
    </row>
    <row r="48" customFormat="false" ht="15" hidden="false" customHeight="false" outlineLevel="0" collapsed="false">
      <c r="A48" s="18" t="n">
        <v>91</v>
      </c>
      <c r="B48" s="19" t="n">
        <f aca="false">SUMIFS('Revision Log'!$M$2:$M$146,'Revision Log'!$N$2:$N$146,$A48,'Revision Log'!$C$2:$C$146,0)</f>
        <v>6.7</v>
      </c>
      <c r="C48" s="19" t="n">
        <f aca="false">SUMIFS('Revision Log'!$M$2:$M$146,'Revision Log'!$N$2:$N$146,$A48,'Revision Log'!$C$2:$C$146,1)</f>
        <v>6.8</v>
      </c>
      <c r="D48" s="19" t="n">
        <f aca="false">SUMIFS('Revision Log'!$M$2:$M$146,'Revision Log'!$N$2:$N$146,$A48,'Revision Log'!$C$2:$C$146,2)</f>
        <v>7.8</v>
      </c>
      <c r="E48" s="19" t="n">
        <f aca="false">SUMIFS('Revision Log'!$M$2:$M$146,'Revision Log'!$N$2:$N$146,$A48,'Revision Log'!$C$2:$C$146,2)</f>
        <v>7.8</v>
      </c>
    </row>
    <row r="49" customFormat="false" ht="15" hidden="false" customHeight="false" outlineLevel="0" collapsed="false">
      <c r="A49" s="18" t="n">
        <v>92</v>
      </c>
      <c r="B49" s="19" t="n">
        <f aca="false">SUMIFS('Revision Log'!$M$2:$M$146,'Revision Log'!$N$2:$N$146,$A49,'Revision Log'!$C$2:$C$146,0)</f>
        <v>8.25</v>
      </c>
      <c r="C49" s="19" t="n">
        <f aca="false">SUMIFS('Revision Log'!$M$2:$M$146,'Revision Log'!$N$2:$N$146,$A49,'Revision Log'!$C$2:$C$146,0)</f>
        <v>8.25</v>
      </c>
      <c r="D49" s="19" t="n">
        <f aca="false">SUMIFS('Revision Log'!$M$2:$M$146,'Revision Log'!$N$2:$N$146,$A49,'Revision Log'!$C$2:$C$146,0)</f>
        <v>8.25</v>
      </c>
      <c r="E49" s="19" t="n">
        <f aca="false">SUMIFS('Revision Log'!$M$2:$M$146,'Revision Log'!$N$2:$N$146,$A49,'Revision Log'!$C$2:$C$146,0)</f>
        <v>8.25</v>
      </c>
    </row>
    <row r="50" customFormat="false" ht="15" hidden="false" customHeight="false" outlineLevel="0" collapsed="false">
      <c r="A50" s="18" t="n">
        <v>93</v>
      </c>
      <c r="B50" s="19" t="n">
        <f aca="false">SUMIFS('Revision Log'!$M$2:$M$146,'Revision Log'!$N$2:$N$146,$A50,'Revision Log'!$C$2:$C$146,0)</f>
        <v>6.3</v>
      </c>
      <c r="C50" s="19" t="n">
        <f aca="false">SUMIFS('Revision Log'!$M$2:$M$146,'Revision Log'!$N$2:$N$146,$A50,'Revision Log'!$C$2:$C$146,1)</f>
        <v>7.1</v>
      </c>
      <c r="D50" s="19" t="n">
        <f aca="false">SUMIFS('Revision Log'!$M$2:$M$146,'Revision Log'!$N$2:$N$146,$A50,'Revision Log'!$C$2:$C$146,2)</f>
        <v>7.55</v>
      </c>
      <c r="E50" s="19" t="n">
        <f aca="false">SUMIFS('Revision Log'!$M$2:$M$146,'Revision Log'!$N$2:$N$146,$A50,'Revision Log'!$C$2:$C$146,2)</f>
        <v>7.55</v>
      </c>
    </row>
    <row r="51" customFormat="false" ht="15" hidden="false" customHeight="false" outlineLevel="0" collapsed="false">
      <c r="A51" s="18" t="n">
        <v>94</v>
      </c>
      <c r="B51" s="19" t="n">
        <f aca="false">SUMIFS('Revision Log'!$M$2:$M$146,'Revision Log'!$N$2:$N$146,$A51,'Revision Log'!$C$2:$C$146,0)</f>
        <v>6.65</v>
      </c>
      <c r="C51" s="19" t="n">
        <f aca="false">SUMIFS('Revision Log'!$M$2:$M$146,'Revision Log'!$N$2:$N$146,$A51,'Revision Log'!$C$2:$C$146,1)</f>
        <v>7.55</v>
      </c>
      <c r="D51" s="19" t="n">
        <f aca="false">SUMIFS('Revision Log'!$M$2:$M$146,'Revision Log'!$N$2:$N$146,$A51,'Revision Log'!$C$2:$C$146,1)</f>
        <v>7.55</v>
      </c>
      <c r="E51" s="19" t="n">
        <f aca="false">SUMIFS('Revision Log'!$M$2:$M$146,'Revision Log'!$N$2:$N$146,$A51,'Revision Log'!$C$2:$C$146,1)</f>
        <v>7.55</v>
      </c>
    </row>
    <row r="52" customFormat="false" ht="15" hidden="false" customHeight="false" outlineLevel="0" collapsed="false">
      <c r="A52" s="18" t="n">
        <v>100</v>
      </c>
      <c r="B52" s="19" t="n">
        <f aca="false">SUMIFS('Revision Log'!$M$2:$M$146,'Revision Log'!$N$2:$N$146,$A52,'Revision Log'!$C$2:$C$146,0)</f>
        <v>7</v>
      </c>
      <c r="C52" s="19" t="n">
        <f aca="false">SUMIFS('Revision Log'!$M$2:$M$146,'Revision Log'!$N$2:$N$146,$A52,'Revision Log'!$C$2:$C$146,0)</f>
        <v>7</v>
      </c>
      <c r="D52" s="19" t="n">
        <f aca="false">SUMIFS('Revision Log'!$M$2:$M$146,'Revision Log'!$N$2:$N$146,$A52,'Revision Log'!$C$2:$C$146,2)</f>
        <v>8.25</v>
      </c>
      <c r="E52" s="19" t="n">
        <f aca="false">SUMIFS('Revision Log'!$M$2:$M$146,'Revision Log'!$N$2:$N$146,$A52,'Revision Log'!$C$2:$C$146,2)</f>
        <v>8.25</v>
      </c>
    </row>
    <row r="53" customFormat="false" ht="15" hidden="false" customHeight="false" outlineLevel="0" collapsed="false">
      <c r="A53" s="18" t="n">
        <v>101</v>
      </c>
      <c r="B53" s="19" t="n">
        <f aca="false">SUMIFS('Revision Log'!$M$2:$M$146,'Revision Log'!$N$2:$N$146,$A53,'Revision Log'!$C$2:$C$146,0)</f>
        <v>8.55</v>
      </c>
      <c r="C53" s="19" t="n">
        <f aca="false">SUMIFS('Revision Log'!$M$2:$M$146,'Revision Log'!$N$2:$N$146,$A53,'Revision Log'!$C$2:$C$146,0)</f>
        <v>8.55</v>
      </c>
      <c r="D53" s="19" t="n">
        <f aca="false">SUMIFS('Revision Log'!$M$2:$M$146,'Revision Log'!$N$2:$N$146,$A53,'Revision Log'!$C$2:$C$146,0)</f>
        <v>8.55</v>
      </c>
      <c r="E53" s="19" t="n">
        <f aca="false">SUMIFS('Revision Log'!$M$2:$M$146,'Revision Log'!$N$2:$N$146,$A53,'Revision Log'!$C$2:$C$146,0)</f>
        <v>8.55</v>
      </c>
    </row>
    <row r="54" customFormat="false" ht="15" hidden="false" customHeight="false" outlineLevel="0" collapsed="false">
      <c r="A54" s="18" t="n">
        <v>102</v>
      </c>
      <c r="B54" s="19" t="n">
        <f aca="false">SUMIFS('Revision Log'!$M$2:$M$146,'Revision Log'!$N$2:$N$146,$A54,'Revision Log'!$C$2:$C$146,0)</f>
        <v>7.95</v>
      </c>
      <c r="C54" s="19" t="n">
        <f aca="false">SUMIFS('Revision Log'!$M$2:$M$146,'Revision Log'!$N$2:$N$146,$A54,'Revision Log'!$C$2:$C$146,0)</f>
        <v>7.95</v>
      </c>
      <c r="D54" s="19" t="n">
        <f aca="false">SUMIFS('Revision Log'!$M$2:$M$146,'Revision Log'!$N$2:$N$146,$A54,'Revision Log'!$C$2:$C$146,0)</f>
        <v>7.95</v>
      </c>
      <c r="E54" s="19" t="n">
        <f aca="false">SUMIFS('Revision Log'!$M$2:$M$146,'Revision Log'!$N$2:$N$146,$A54,'Revision Log'!$C$2:$C$146,0)</f>
        <v>7.95</v>
      </c>
    </row>
    <row r="55" customFormat="false" ht="15" hidden="false" customHeight="false" outlineLevel="0" collapsed="false">
      <c r="A55" s="18" t="n">
        <v>103</v>
      </c>
      <c r="B55" s="19" t="n">
        <f aca="false">SUMIFS('Revision Log'!$M$2:$M$146,'Revision Log'!$N$2:$N$146,$A55,'Revision Log'!$C$2:$C$146,0)</f>
        <v>7.35</v>
      </c>
      <c r="C55" s="19" t="n">
        <f aca="false">SUMIFS('Revision Log'!$M$2:$M$146,'Revision Log'!$N$2:$N$146,$A55,'Revision Log'!$C$2:$C$146,0)</f>
        <v>7.35</v>
      </c>
      <c r="D55" s="19" t="n">
        <f aca="false">SUMIFS('Revision Log'!$M$2:$M$146,'Revision Log'!$N$2:$N$146,$A55,'Revision Log'!$C$2:$C$146,0)</f>
        <v>7.35</v>
      </c>
      <c r="E55" s="19" t="n">
        <f aca="false">SUMIFS('Revision Log'!$M$2:$M$146,'Revision Log'!$N$2:$N$146,$A55,'Revision Log'!$C$2:$C$146,3)</f>
        <v>7.65</v>
      </c>
    </row>
    <row r="56" customFormat="false" ht="15" hidden="false" customHeight="false" outlineLevel="0" collapsed="false">
      <c r="A56" s="18" t="n">
        <v>104</v>
      </c>
      <c r="B56" s="19" t="n">
        <f aca="false">SUMIFS('Revision Log'!$M$2:$M$146,'Revision Log'!$N$2:$N$146,$A56,'Revision Log'!$C$2:$C$146,0)</f>
        <v>5.1</v>
      </c>
      <c r="C56" s="19" t="n">
        <f aca="false">SUMIFS('Revision Log'!$M$2:$M$146,'Revision Log'!$N$2:$N$146,$A56,'Revision Log'!$C$2:$C$146,1)</f>
        <v>7.05</v>
      </c>
      <c r="D56" s="19" t="n">
        <f aca="false">SUMIFS('Revision Log'!$M$2:$M$146,'Revision Log'!$N$2:$N$146,$A56,'Revision Log'!$C$2:$C$146,2)</f>
        <v>7.7</v>
      </c>
      <c r="E56" s="19" t="n">
        <f aca="false">SUMIFS('Revision Log'!$M$2:$M$146,'Revision Log'!$N$2:$N$146,$A56,'Revision Log'!$C$2:$C$146,2)</f>
        <v>7.7</v>
      </c>
    </row>
    <row r="57" customFormat="false" ht="15" hidden="false" customHeight="false" outlineLevel="0" collapsed="false">
      <c r="A57" s="18" t="n">
        <v>110</v>
      </c>
      <c r="B57" s="19" t="n">
        <f aca="false">SUMIFS('Revision Log'!$M$2:$M$146,'Revision Log'!$N$2:$N$146,$A57,'Revision Log'!$C$2:$C$146,0)</f>
        <v>7.05</v>
      </c>
      <c r="C57" s="19" t="n">
        <f aca="false">SUMIFS('Revision Log'!$M$2:$M$146,'Revision Log'!$N$2:$N$146,$A57,'Revision Log'!$C$2:$C$146,0)</f>
        <v>7.05</v>
      </c>
      <c r="D57" s="19" t="n">
        <f aca="false">SUMIFS('Revision Log'!$M$2:$M$146,'Revision Log'!$N$2:$N$146,$A57,'Revision Log'!$C$2:$C$146,2)</f>
        <v>7.5</v>
      </c>
      <c r="E57" s="19" t="n">
        <f aca="false">SUMIFS('Revision Log'!$M$2:$M$146,'Revision Log'!$N$2:$N$146,$A57,'Revision Log'!$C$2:$C$146,2)</f>
        <v>7.5</v>
      </c>
    </row>
    <row r="58" customFormat="false" ht="15" hidden="false" customHeight="false" outlineLevel="0" collapsed="false">
      <c r="A58" s="18" t="n">
        <v>111</v>
      </c>
      <c r="B58" s="19" t="n">
        <f aca="false">SUMIFS('Revision Log'!$M$2:$M$146,'Revision Log'!$N$2:$N$146,$A58,'Revision Log'!$C$2:$C$146,0)</f>
        <v>7.95</v>
      </c>
      <c r="C58" s="19" t="n">
        <f aca="false">SUMIFS('Revision Log'!$M$2:$M$146,'Revision Log'!$N$2:$N$146,$A58,'Revision Log'!$C$2:$C$146,0)</f>
        <v>7.95</v>
      </c>
      <c r="D58" s="19" t="n">
        <f aca="false">SUMIFS('Revision Log'!$M$2:$M$146,'Revision Log'!$N$2:$N$146,$A58,'Revision Log'!$C$2:$C$146,0)</f>
        <v>7.95</v>
      </c>
      <c r="E58" s="19" t="n">
        <f aca="false">SUMIFS('Revision Log'!$M$2:$M$146,'Revision Log'!$N$2:$N$146,$A58,'Revision Log'!$C$2:$C$146,0)</f>
        <v>7.95</v>
      </c>
    </row>
    <row r="59" customFormat="false" ht="15" hidden="false" customHeight="false" outlineLevel="0" collapsed="false">
      <c r="A59" s="18" t="n">
        <v>112</v>
      </c>
      <c r="B59" s="19" t="n">
        <f aca="false">SUMIFS('Revision Log'!$M$2:$M$146,'Revision Log'!$N$2:$N$146,$A59,'Revision Log'!$C$2:$C$146,0)</f>
        <v>5.7</v>
      </c>
      <c r="C59" s="19" t="n">
        <f aca="false">SUMIFS('Revision Log'!$M$2:$M$146,'Revision Log'!$N$2:$N$146,$A59,'Revision Log'!$C$2:$C$146,1)</f>
        <v>7.3</v>
      </c>
      <c r="D59" s="19" t="n">
        <f aca="false">SUMIFS('Revision Log'!$M$2:$M$146,'Revision Log'!$N$2:$N$146,$A59,'Revision Log'!$C$2:$C$146,1)</f>
        <v>7.3</v>
      </c>
      <c r="E59" s="19" t="n">
        <f aca="false">SUMIFS('Revision Log'!$M$2:$M$146,'Revision Log'!$N$2:$N$146,$A59,'Revision Log'!$C$2:$C$146,3)</f>
        <v>7.6</v>
      </c>
    </row>
    <row r="60" customFormat="false" ht="15" hidden="false" customHeight="false" outlineLevel="0" collapsed="false">
      <c r="A60" s="18" t="n">
        <v>113</v>
      </c>
      <c r="B60" s="19" t="n">
        <f aca="false">SUMIFS('Revision Log'!$M$2:$M$146,'Revision Log'!$N$2:$N$146,$A60,'Revision Log'!$C$2:$C$146,0)</f>
        <v>6.95</v>
      </c>
      <c r="C60" s="19" t="n">
        <f aca="false">SUMIFS('Revision Log'!$M$2:$M$146,'Revision Log'!$N$2:$N$146,$A60,'Revision Log'!$C$2:$C$146,0)</f>
        <v>6.95</v>
      </c>
      <c r="D60" s="19" t="n">
        <f aca="false">SUMIFS('Revision Log'!$M$2:$M$146,'Revision Log'!$N$2:$N$146,$A60,'Revision Log'!$C$2:$C$146,2)</f>
        <v>7.4</v>
      </c>
      <c r="E60" s="19" t="n">
        <f aca="false">SUMIFS('Revision Log'!$M$2:$M$146,'Revision Log'!$N$2:$N$146,$A60,'Revision Log'!$C$2:$C$146,3)</f>
        <v>7.5</v>
      </c>
    </row>
    <row r="61" customFormat="false" ht="15" hidden="false" customHeight="false" outlineLevel="0" collapsed="false">
      <c r="A61" s="18" t="n">
        <v>114</v>
      </c>
      <c r="B61" s="19" t="n">
        <f aca="false">SUMIFS('Revision Log'!$M$2:$M$146,'Revision Log'!$N$2:$N$146,$A61,'Revision Log'!$C$2:$C$146,0)</f>
        <v>6.85</v>
      </c>
      <c r="C61" s="19" t="n">
        <f aca="false">SUMIFS('Revision Log'!$M$2:$M$146,'Revision Log'!$N$2:$N$146,$A61,'Revision Log'!$C$2:$C$146,1)</f>
        <v>7.2</v>
      </c>
      <c r="D61" s="19" t="n">
        <f aca="false">SUMIFS('Revision Log'!$M$2:$M$146,'Revision Log'!$N$2:$N$146,$A61,'Revision Log'!$C$2:$C$146,2)</f>
        <v>7.5</v>
      </c>
      <c r="E61" s="19" t="n">
        <f aca="false">SUMIFS('Revision Log'!$M$2:$M$146,'Revision Log'!$N$2:$N$146,$A61,'Revision Log'!$C$2:$C$146,2)</f>
        <v>7.5</v>
      </c>
    </row>
    <row r="62" customFormat="false" ht="15" hidden="false" customHeight="false" outlineLevel="0" collapsed="false">
      <c r="A62" s="18" t="n">
        <v>120</v>
      </c>
      <c r="B62" s="19" t="n">
        <f aca="false">SUMIFS('Revision Log'!$M$2:$M$146,'Revision Log'!$N$2:$N$146,$A62,'Revision Log'!$C$2:$C$146,0)</f>
        <v>7.05</v>
      </c>
      <c r="C62" s="19" t="n">
        <f aca="false">SUMIFS('Revision Log'!$M$2:$M$146,'Revision Log'!$N$2:$N$146,$A62,'Revision Log'!$C$2:$C$146,0)</f>
        <v>7.05</v>
      </c>
      <c r="D62" s="19" t="n">
        <f aca="false">SUMIFS('Revision Log'!$M$2:$M$146,'Revision Log'!$N$2:$N$146,$A62,'Revision Log'!$C$2:$C$146,2)</f>
        <v>7.6</v>
      </c>
      <c r="E62" s="19" t="n">
        <f aca="false">SUMIFS('Revision Log'!$M$2:$M$146,'Revision Log'!$N$2:$N$146,$A62,'Revision Log'!$C$2:$C$146,2)</f>
        <v>7.6</v>
      </c>
    </row>
    <row r="63" customFormat="false" ht="15" hidden="false" customHeight="false" outlineLevel="0" collapsed="false">
      <c r="A63" s="18" t="n">
        <v>121</v>
      </c>
      <c r="B63" s="19" t="n">
        <f aca="false">SUMIFS('Revision Log'!$M$2:$M$146,'Revision Log'!$N$2:$N$146,$A63,'Revision Log'!$C$2:$C$146,0)</f>
        <v>7.75</v>
      </c>
      <c r="C63" s="19" t="n">
        <f aca="false">SUMIFS('Revision Log'!$M$2:$M$146,'Revision Log'!$N$2:$N$146,$A63,'Revision Log'!$C$2:$C$146,0)</f>
        <v>7.75</v>
      </c>
      <c r="D63" s="19" t="n">
        <f aca="false">SUMIFS('Revision Log'!$M$2:$M$146,'Revision Log'!$N$2:$N$146,$A63,'Revision Log'!$C$2:$C$146,0)</f>
        <v>7.75</v>
      </c>
      <c r="E63" s="19" t="n">
        <f aca="false">SUMIFS('Revision Log'!$M$2:$M$146,'Revision Log'!$N$2:$N$146,$A63,'Revision Log'!$C$2:$C$146,0)</f>
        <v>7.75</v>
      </c>
    </row>
    <row r="64" customFormat="false" ht="15" hidden="false" customHeight="false" outlineLevel="0" collapsed="false">
      <c r="A64" s="18" t="n">
        <v>122</v>
      </c>
      <c r="B64" s="19" t="n">
        <f aca="false">SUMIFS('Revision Log'!$M$2:$M$146,'Revision Log'!$N$2:$N$146,$A64,'Revision Log'!$C$2:$C$146,0)</f>
        <v>6.7</v>
      </c>
      <c r="C64" s="19" t="n">
        <f aca="false">SUMIFS('Revision Log'!$M$2:$M$146,'Revision Log'!$N$2:$N$146,$A64,'Revision Log'!$C$2:$C$146,1)</f>
        <v>6.8</v>
      </c>
      <c r="D64" s="19" t="n">
        <f aca="false">SUMIFS('Revision Log'!$M$2:$M$146,'Revision Log'!$N$2:$N$146,$A64,'Revision Log'!$C$2:$C$146,2)</f>
        <v>7.25</v>
      </c>
      <c r="E64" s="19" t="n">
        <f aca="false">SUMIFS('Revision Log'!$M$2:$M$146,'Revision Log'!$N$2:$N$146,$A64,'Revision Log'!$C$2:$C$146,3)</f>
        <v>7.45</v>
      </c>
    </row>
    <row r="65" customFormat="false" ht="15" hidden="false" customHeight="false" outlineLevel="0" collapsed="false">
      <c r="A65" s="18" t="n">
        <v>123</v>
      </c>
      <c r="B65" s="19" t="n">
        <f aca="false">SUMIFS('Revision Log'!$M$2:$M$146,'Revision Log'!$N$2:$N$146,$A65,'Revision Log'!$C$2:$C$146,0)</f>
        <v>7.05</v>
      </c>
      <c r="C65" s="19" t="n">
        <f aca="false">SUMIFS('Revision Log'!$M$2:$M$146,'Revision Log'!$N$2:$N$146,$A65,'Revision Log'!$C$2:$C$146,0)</f>
        <v>7.05</v>
      </c>
      <c r="D65" s="19" t="n">
        <f aca="false">SUMIFS('Revision Log'!$M$2:$M$146,'Revision Log'!$N$2:$N$146,$A65,'Revision Log'!$C$2:$C$146,2)</f>
        <v>7.25</v>
      </c>
      <c r="E65" s="19" t="n">
        <f aca="false">SUMIFS('Revision Log'!$M$2:$M$146,'Revision Log'!$N$2:$N$146,$A65,'Revision Log'!$C$2:$C$146,3)</f>
        <v>7.5</v>
      </c>
    </row>
    <row r="66" customFormat="false" ht="15" hidden="false" customHeight="false" outlineLevel="0" collapsed="false">
      <c r="A66" s="18" t="n">
        <v>124</v>
      </c>
      <c r="B66" s="19" t="n">
        <f aca="false">SUMIFS('Revision Log'!$M$2:$M$146,'Revision Log'!$N$2:$N$146,$A66,'Revision Log'!$C$2:$C$146,0)</f>
        <v>7.2</v>
      </c>
      <c r="C66" s="19" t="n">
        <f aca="false">SUMIFS('Revision Log'!$M$2:$M$146,'Revision Log'!$N$2:$N$146,$A66,'Revision Log'!$C$2:$C$146,0)</f>
        <v>7.2</v>
      </c>
      <c r="D66" s="19" t="n">
        <f aca="false">SUMIFS('Revision Log'!$M$2:$M$146,'Revision Log'!$N$2:$N$146,$A66,'Revision Log'!$C$2:$C$146,2)</f>
        <v>7.95</v>
      </c>
      <c r="E66" s="19" t="n">
        <f aca="false">SUMIFS('Revision Log'!$M$2:$M$146,'Revision Log'!$N$2:$N$146,$A66,'Revision Log'!$C$2:$C$146,2)</f>
        <v>7.95</v>
      </c>
    </row>
    <row r="67" customFormat="false" ht="15" hidden="false" customHeight="false" outlineLevel="0" collapsed="false">
      <c r="A67" s="18" t="n">
        <v>130</v>
      </c>
      <c r="B67" s="19" t="n">
        <f aca="false">SUMIFS('Revision Log'!$M$2:$M$146,'Revision Log'!$N$2:$N$146,$A67,'Revision Log'!$C$2:$C$146,0)</f>
        <v>7.2</v>
      </c>
      <c r="C67" s="19" t="n">
        <f aca="false">SUMIFS('Revision Log'!$M$2:$M$146,'Revision Log'!$N$2:$N$146,$A67,'Revision Log'!$C$2:$C$146,0)</f>
        <v>7.2</v>
      </c>
      <c r="D67" s="19" t="n">
        <f aca="false">SUMIFS('Revision Log'!$M$2:$M$146,'Revision Log'!$N$2:$N$146,$A67,'Revision Log'!$C$2:$C$146,2)</f>
        <v>7.65</v>
      </c>
      <c r="E67" s="19" t="n">
        <f aca="false">SUMIFS('Revision Log'!$M$2:$M$146,'Revision Log'!$N$2:$N$146,$A67,'Revision Log'!$C$2:$C$146,2)</f>
        <v>7.65</v>
      </c>
    </row>
    <row r="68" customFormat="false" ht="15" hidden="false" customHeight="false" outlineLevel="0" collapsed="false">
      <c r="A68" s="18" t="n">
        <v>131</v>
      </c>
      <c r="B68" s="19" t="n">
        <f aca="false">SUMIFS('Revision Log'!$M$2:$M$146,'Revision Log'!$N$2:$N$146,$A68,'Revision Log'!$C$2:$C$146,0)</f>
        <v>7.1</v>
      </c>
      <c r="C68" s="19" t="n">
        <f aca="false">SUMIFS('Revision Log'!$M$2:$M$146,'Revision Log'!$N$2:$N$146,$A68,'Revision Log'!$C$2:$C$146,0)</f>
        <v>7.1</v>
      </c>
      <c r="D68" s="19" t="n">
        <f aca="false">SUMIFS('Revision Log'!$M$2:$M$146,'Revision Log'!$N$2:$N$146,$A68,'Revision Log'!$C$2:$C$146,2)</f>
        <v>7.4</v>
      </c>
      <c r="E68" s="19" t="n">
        <f aca="false">SUMIFS('Revision Log'!$M$2:$M$146,'Revision Log'!$N$2:$N$146,$A68,'Revision Log'!$C$2:$C$146,3)</f>
        <v>7.5</v>
      </c>
    </row>
    <row r="69" customFormat="false" ht="15" hidden="false" customHeight="false" outlineLevel="0" collapsed="false">
      <c r="A69" s="18" t="n">
        <v>132</v>
      </c>
      <c r="B69" s="19" t="n">
        <f aca="false">SUMIFS('Revision Log'!$M$2:$M$146,'Revision Log'!$N$2:$N$146,$A69,'Revision Log'!$C$2:$C$146,0)</f>
        <v>7.75</v>
      </c>
      <c r="C69" s="19" t="n">
        <f aca="false">SUMIFS('Revision Log'!$M$2:$M$146,'Revision Log'!$N$2:$N$146,$A69,'Revision Log'!$C$2:$C$146,0)</f>
        <v>7.75</v>
      </c>
      <c r="D69" s="19" t="n">
        <f aca="false">SUMIFS('Revision Log'!$M$2:$M$146,'Revision Log'!$N$2:$N$146,$A69,'Revision Log'!$C$2:$C$146,0)</f>
        <v>7.75</v>
      </c>
      <c r="E69" s="19" t="n">
        <f aca="false">SUMIFS('Revision Log'!$M$2:$M$146,'Revision Log'!$N$2:$N$146,$A69,'Revision Log'!$C$2:$C$146,0)</f>
        <v>7.75</v>
      </c>
    </row>
    <row r="70" customFormat="false" ht="15" hidden="false" customHeight="false" outlineLevel="0" collapsed="false">
      <c r="A70" s="18" t="n">
        <v>133</v>
      </c>
      <c r="B70" s="19" t="n">
        <f aca="false">SUMIFS('Revision Log'!$M$2:$M$146,'Revision Log'!$N$2:$N$146,$A70,'Revision Log'!$C$2:$C$146,0)</f>
        <v>7.3</v>
      </c>
      <c r="C70" s="19" t="n">
        <f aca="false">SUMIFS('Revision Log'!$M$2:$M$146,'Revision Log'!$N$2:$N$146,$A70,'Revision Log'!$C$2:$C$146,0)</f>
        <v>7.3</v>
      </c>
      <c r="D70" s="19" t="n">
        <f aca="false">SUMIFS('Revision Log'!$M$2:$M$146,'Revision Log'!$N$2:$N$146,$A70,'Revision Log'!$C$2:$C$146,0)</f>
        <v>7.3</v>
      </c>
      <c r="E70" s="19" t="n">
        <f aca="false">SUMIFS('Revision Log'!$M$2:$M$146,'Revision Log'!$N$2:$N$146,$A70,'Revision Log'!$C$2:$C$146,3)</f>
        <v>7.4</v>
      </c>
    </row>
    <row r="71" customFormat="false" ht="15" hidden="false" customHeight="false" outlineLevel="0" collapsed="false">
      <c r="A71" s="18" t="n">
        <v>134</v>
      </c>
      <c r="B71" s="19" t="n">
        <f aca="false">SUMIFS('Revision Log'!$M$2:$M$146,'Revision Log'!$N$2:$N$146,$A71,'Revision Log'!$C$2:$C$146,0)</f>
        <v>8</v>
      </c>
      <c r="C71" s="19" t="n">
        <f aca="false">SUMIFS('Revision Log'!$M$2:$M$146,'Revision Log'!$N$2:$N$146,$A71,'Revision Log'!$C$2:$C$146,0)</f>
        <v>8</v>
      </c>
      <c r="D71" s="19" t="n">
        <f aca="false">SUMIFS('Revision Log'!$M$2:$M$146,'Revision Log'!$N$2:$N$146,$A71,'Revision Log'!$C$2:$C$146,0)</f>
        <v>8</v>
      </c>
      <c r="E71" s="19" t="n">
        <f aca="false">SUMIFS('Revision Log'!$M$2:$M$146,'Revision Log'!$N$2:$N$146,$A71,'Revision Log'!$C$2:$C$146,0)</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34"/>
    <col collapsed="false" customWidth="true" hidden="false" outlineLevel="0" max="4" min="4" style="0" width="50"/>
  </cols>
  <sheetData>
    <row r="1" customFormat="false" ht="15" hidden="false" customHeight="false" outlineLevel="0" collapsed="false">
      <c r="A1" s="1" t="s">
        <v>534</v>
      </c>
      <c r="B1" s="1" t="s">
        <v>535</v>
      </c>
      <c r="C1" s="1" t="s">
        <v>536</v>
      </c>
      <c r="D1" s="1" t="s">
        <v>537</v>
      </c>
    </row>
    <row r="2" customFormat="false" ht="23.85" hidden="false" customHeight="false" outlineLevel="0" collapsed="false">
      <c r="A2" s="2" t="s">
        <v>538</v>
      </c>
      <c r="B2" s="2" t="s">
        <v>539</v>
      </c>
      <c r="C2" s="20"/>
      <c r="D2" s="2" t="s">
        <v>540</v>
      </c>
    </row>
    <row r="3" customFormat="false" ht="15" hidden="false" customHeight="false" outlineLevel="0" collapsed="false">
      <c r="A3" s="2" t="s">
        <v>541</v>
      </c>
      <c r="B3" s="2" t="s">
        <v>542</v>
      </c>
      <c r="C3" s="20"/>
      <c r="D3" s="2" t="s">
        <v>543</v>
      </c>
    </row>
    <row r="4" customFormat="false" ht="15" hidden="false" customHeight="false" outlineLevel="0" collapsed="false">
      <c r="A4" s="2" t="s">
        <v>544</v>
      </c>
      <c r="B4" s="2" t="s">
        <v>545</v>
      </c>
      <c r="C4" s="20"/>
      <c r="D4" s="2" t="s">
        <v>546</v>
      </c>
    </row>
    <row r="5" customFormat="false" ht="15" hidden="false" customHeight="false" outlineLevel="0" collapsed="false">
      <c r="A5" s="2" t="s">
        <v>547</v>
      </c>
      <c r="B5" s="2" t="s">
        <v>548</v>
      </c>
      <c r="C5" s="20"/>
      <c r="D5" s="2" t="s">
        <v>549</v>
      </c>
    </row>
    <row r="6" customFormat="false" ht="15" hidden="false" customHeight="false" outlineLevel="0" collapsed="false">
      <c r="A6" s="2" t="s">
        <v>550</v>
      </c>
      <c r="B6" s="2" t="s">
        <v>551</v>
      </c>
      <c r="C6" s="20"/>
      <c r="D6" s="2" t="s">
        <v>549</v>
      </c>
    </row>
    <row r="7" customFormat="false" ht="15" hidden="false" customHeight="false" outlineLevel="0" collapsed="false">
      <c r="A7" s="2" t="s">
        <v>552</v>
      </c>
      <c r="B7" s="2" t="s">
        <v>553</v>
      </c>
      <c r="C7" s="20"/>
      <c r="D7" s="2" t="s">
        <v>554</v>
      </c>
    </row>
    <row r="8" customFormat="false" ht="15" hidden="false" customHeight="false" outlineLevel="0" collapsed="false">
      <c r="A8" s="2" t="s">
        <v>555</v>
      </c>
      <c r="B8" s="2" t="s">
        <v>556</v>
      </c>
      <c r="C8" s="20"/>
      <c r="D8" s="2" t="s">
        <v>557</v>
      </c>
    </row>
    <row r="9" customFormat="false" ht="15" hidden="false" customHeight="false" outlineLevel="0" collapsed="false">
      <c r="A9" s="2" t="s">
        <v>558</v>
      </c>
      <c r="B9" s="2" t="s">
        <v>559</v>
      </c>
      <c r="C9" s="20"/>
      <c r="D9" s="2" t="s">
        <v>560</v>
      </c>
    </row>
    <row r="10" customFormat="false" ht="15" hidden="false" customHeight="false" outlineLevel="0" collapsed="false">
      <c r="A10" s="2" t="s">
        <v>561</v>
      </c>
      <c r="B10" s="2" t="s">
        <v>562</v>
      </c>
      <c r="C10" s="20"/>
      <c r="D10" s="2" t="s">
        <v>557</v>
      </c>
    </row>
    <row r="11" customFormat="false" ht="15" hidden="false" customHeight="false" outlineLevel="0" collapsed="false">
      <c r="A11" s="2" t="s">
        <v>563</v>
      </c>
      <c r="B11" s="2" t="s">
        <v>564</v>
      </c>
      <c r="C11" s="20"/>
      <c r="D11" s="2" t="s">
        <v>565</v>
      </c>
    </row>
    <row r="12" customFormat="false" ht="15" hidden="false" customHeight="false" outlineLevel="0" collapsed="false">
      <c r="A12" s="2" t="s">
        <v>566</v>
      </c>
      <c r="B12" s="2" t="s">
        <v>567</v>
      </c>
      <c r="C12" s="20"/>
      <c r="D12" s="2" t="s">
        <v>568</v>
      </c>
    </row>
    <row r="13" customFormat="false" ht="15" hidden="false" customHeight="false" outlineLevel="0" collapsed="false">
      <c r="A13" s="2" t="s">
        <v>569</v>
      </c>
      <c r="B13" s="2" t="s">
        <v>570</v>
      </c>
      <c r="C13" s="20"/>
      <c r="D13" s="2" t="s">
        <v>571</v>
      </c>
    </row>
    <row r="14" customFormat="false" ht="23.85" hidden="false" customHeight="false" outlineLevel="0" collapsed="false">
      <c r="A14" s="2" t="s">
        <v>572</v>
      </c>
      <c r="B14" s="2" t="s">
        <v>573</v>
      </c>
      <c r="C14" s="20"/>
      <c r="D14" s="2" t="s">
        <v>574</v>
      </c>
    </row>
    <row r="15" customFormat="false" ht="23.85" hidden="false" customHeight="false" outlineLevel="0" collapsed="false">
      <c r="A15" s="2" t="s">
        <v>575</v>
      </c>
      <c r="B15" s="2" t="s">
        <v>576</v>
      </c>
      <c r="C15" s="20"/>
      <c r="D15" s="2" t="s">
        <v>577</v>
      </c>
    </row>
    <row r="16" customFormat="false" ht="15" hidden="false" customHeight="false" outlineLevel="0" collapsed="false">
      <c r="A16" s="2" t="s">
        <v>578</v>
      </c>
      <c r="B16" s="2" t="s">
        <v>579</v>
      </c>
      <c r="C16" s="20"/>
      <c r="D16" s="2" t="s">
        <v>19</v>
      </c>
    </row>
    <row r="17" customFormat="false" ht="15" hidden="false" customHeight="false" outlineLevel="0" collapsed="false">
      <c r="A17" s="2" t="s">
        <v>580</v>
      </c>
      <c r="B17" s="2" t="s">
        <v>581</v>
      </c>
      <c r="C17" s="20"/>
      <c r="D17" s="2" t="s">
        <v>19</v>
      </c>
    </row>
    <row r="18" customFormat="false" ht="15" hidden="false" customHeight="false" outlineLevel="0" collapsed="false">
      <c r="A18" s="2" t="s">
        <v>582</v>
      </c>
      <c r="B18" s="2" t="s">
        <v>583</v>
      </c>
      <c r="C18" s="20"/>
      <c r="D18" s="2" t="s">
        <v>19</v>
      </c>
    </row>
    <row r="19" customFormat="false" ht="15" hidden="false" customHeight="false" outlineLevel="0" collapsed="false">
      <c r="A19" s="2" t="s">
        <v>584</v>
      </c>
      <c r="B19" s="2" t="s">
        <v>585</v>
      </c>
      <c r="C19" s="20"/>
      <c r="D19" s="2" t="s">
        <v>586</v>
      </c>
    </row>
    <row r="20" customFormat="false" ht="15" hidden="false" customHeight="false" outlineLevel="0" collapsed="false">
      <c r="A20" s="2" t="s">
        <v>587</v>
      </c>
      <c r="B20" s="2" t="s">
        <v>588</v>
      </c>
      <c r="C20" s="20"/>
      <c r="D20" s="2" t="s">
        <v>33</v>
      </c>
    </row>
    <row r="21" customFormat="false" ht="15" hidden="false" customHeight="false" outlineLevel="0" collapsed="false">
      <c r="A21" s="2" t="s">
        <v>589</v>
      </c>
      <c r="B21" s="2" t="s">
        <v>590</v>
      </c>
      <c r="C21" s="20"/>
      <c r="D21" s="2" t="s">
        <v>48</v>
      </c>
    </row>
    <row r="22" customFormat="false" ht="15" hidden="false" customHeight="false" outlineLevel="0" collapsed="false">
      <c r="A22" s="2" t="s">
        <v>591</v>
      </c>
      <c r="B22" s="2" t="s">
        <v>592</v>
      </c>
      <c r="C22" s="20"/>
      <c r="D22" s="2" t="s">
        <v>593</v>
      </c>
    </row>
    <row r="24" customFormat="false" ht="61.5" hidden="false" customHeight="true" outlineLevel="0" collapsed="false">
      <c r="A24" s="21" t="s">
        <v>594</v>
      </c>
      <c r="B24" s="21"/>
      <c r="C24" s="21"/>
      <c r="D24" s="21"/>
    </row>
  </sheetData>
  <mergeCells count="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2026-10-20T19:20:28Z</dcterms:created>
  <dc:creator>openpyxl</dc:creator>
  <dc:description/>
  <dc:language>en-US</dc:language>
  <cp:lastModifiedBy/>
  <dcterms:modified xsi:type="dcterms:W3CDTF">2026-10-20T19:20:28Z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