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s" sheetId="1" state="visible" r:id="rId3"/>
    <sheet name="Round Summary" sheetId="2" state="visible" r:id="rId4"/>
    <sheet name="Rubric" sheetId="3" state="visible" r:id="rId5"/>
    <sheet name="Validation (Final)" sheetId="4" state="visible" r:id="rId6"/>
    <sheet name="Revision Log" sheetId="5" state="visible" r:id="rId7"/>
    <sheet name="Round State" sheetId="6" state="visible" r:id="rId8"/>
    <sheet name="Fact Pool" sheetId="7" state="visible" r:id="rId9"/>
  </sheets>
  <definedNames>
    <definedName function="false" hidden="true" localSheetId="4" name="_xlnm._FilterDatabase" vbProcedure="false">'Revision Log'!$A$1:$O$609</definedName>
    <definedName function="false" hidden="true" localSheetId="3" name="_xlnm._FilterDatabase" vbProcedure="false">'Validation (Final)'!$A$1:$O$281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<sst xmlns="http://schemas.openxmlformats.org/spreadsheetml/2006/main" count="3836" uniqueCount="900">
  <si>
    <t xml:space="preserve">Company</t>
  </si>
  <si>
    <t xml:space="preserve">Role</t>
  </si>
  <si>
    <t xml:space="preserve">Application Link</t>
  </si>
  <si>
    <t xml:space="preserve">5 JPMC Bullets (final version)</t>
  </si>
  <si>
    <t xml:space="preserve">Final Avg (/10)</t>
  </si>
  <si>
    <t xml:space="preserve">Baseline Avg (/10)</t>
  </si>
  <si>
    <t xml:space="preserve">Eligibility / Fit Note</t>
  </si>
  <si>
    <t xml:space="preserve">Bullet source</t>
  </si>
  <si>
    <t xml:space="preserve">Verify before using (JD-driven claims beyond your fact pool)</t>
  </si>
  <si>
    <t xml:space="preserve">Amazon (Twitch)</t>
  </si>
  <si>
    <t xml:space="preserve">Software Engineer I (Seattle)</t>
  </si>
  <si>
    <t xml:space="preserve">https://www.amazon.jobs/en/jobs/3141336/software-engineer-i</t>
  </si>
  <si>
    <t xml:space="preserve">• Own 4 Java/Spring Boot services in JPMC's payment-authorization platform on AWS (38M transactions/day, 99.95% availability); led the zero-downtime Java 17 upgrade.
• Cut p99 latency of the settlement-status API from 620ms to 210ms by adding a Redis cache and rewriting 3 slow Oracle queries.
• Built CI/CD with automated integration tests, moving releases from bi-weekly to on-demand and cutting rollbacks from 12% to 3%.
• On-call for 4 services; Grafana/Splunk alerts and runbooks cut mean-time-to-detect from 25 to 6 minutes and halved repeat pages.
• Lifted unit-test coverage on owned services from 52% to 81% in 3 weeks, using Copilot/Claude Code to draft tests I reviewed by hand.</t>
  </si>
  <si>
    <t xml:space="preserve">Asks ~1+ yr professional experience; good YOE match.</t>
  </si>
  <si>
    <t xml:space="preserve">Original 14: 3 rounds</t>
  </si>
  <si>
    <t xml:space="preserve">Original role: all numbers are placeholders; see Fact Pool.</t>
  </si>
  <si>
    <t xml:space="preserve">Amazon</t>
  </si>
  <si>
    <t xml:space="preserve">Software Engineer I, Payments</t>
  </si>
  <si>
    <t xml:space="preserve">https://www.amazon.jobs/en/jobs/10502486/software-engineer-i-payments</t>
  </si>
  <si>
    <t xml:space="preserve">• Shipped 6 features to a $1.2B/day payment platform via 10%-to-100% staged rollouts and feature flags, with zero Sev-1 incidents.
• Fixed a duplicate-posting bug class by designing idempotency keys for settlement retries, eliminating ~120 duplicate transactions/month.
• Migrated 9 nightly batch jobs to Kafka event-driven services, cutting end-to-end settlement processing from 4 hours to 25 minutes.
• Added reconciliation checks and audit logging that caught 14 ledger mismatches before customers saw them.
• Built an LLM script to triage failed-payment tickets (87% accuracy on 300 labeled tickets), saving the team ~6 hrs/week.</t>
  </si>
  <si>
    <t xml:space="preserve">SDE I band; ~0-2 yrs fits. Payments domain overlaps with JPMC.</t>
  </si>
  <si>
    <t xml:space="preserve">Mastercard</t>
  </si>
  <si>
    <t xml:space="preserve">Software Engineer I (O'Fallon, MO)</t>
  </si>
  <si>
    <t xml:space="preserve">https://careers.mastercard.com/us/en/job/R-292618/Software-Engineer-I</t>
  </si>
  <si>
    <t xml:space="preserve">• Maintain 4 Java services in a 38M-events/day transaction pipeline at 99.95% availability, including on-call.
• Containerized 4 services and automated tests in CI, cutting build-and-deploy from 45 to 12 minutes and saving the team ~15 engineer-hours/month.
• Remediated 23 OWASP-class findings (injection, auth gaps) across 4 services before the audit deadline, fixing the 5 critical ones within 48 hours.
• Cut month-end reporting queries from 90s to 8s with materialized views, unblocking close for 40 ops users.
• Wrote an onboarding guide and setup scripts for a 12-person team, getting new hires to a first merged PR in 2 weeks instead of 5.</t>
  </si>
  <si>
    <t xml:space="preserve">Entry-level band; you're at/above level.</t>
  </si>
  <si>
    <t xml:space="preserve">Addepar</t>
  </si>
  <si>
    <t xml:space="preserve">Software Engineer, Full Stack - Alts &amp; Data Management</t>
  </si>
  <si>
    <t xml:space="preserve">https://job-boards.greenhouse.io/addepar1/jobs/8538666002</t>
  </si>
  <si>
    <t xml:space="preserve">• Built full-stack features (React/TypeScript + Java APIs) for a 60-user internal ops dashboard used to monitor settlement exceptions.
• Designed a pipeline normalizing 5 upstream data feeds into one schema, eliminating ~10 hrs/week of manual reconciliation.
• Cut dashboard load time from 8s to 1.5s via query optimization and pagination over 20M-row tables.
• Wrote 140 integration and data-validation tests that stopped 14 bad-data incidents from reaching client-facing reports.
• Prototyped natural-language querying over exception data with an LLM, measured at 87% accuracy on a 300-case eval set.</t>
  </si>
  <si>
    <t xml:space="preserve">Requires 2+ yrs full stack OR 1+ yr each FE/BE; borderline, stress both layers.</t>
  </si>
  <si>
    <t xml:space="preserve">Software Engineer, Fullstack</t>
  </si>
  <si>
    <t xml:space="preserve">https://job-boards.greenhouse.io/addepar1/jobs/8606946002</t>
  </si>
  <si>
    <t xml:space="preserve">• Shipped 6 features end-to-end (React, REST, Oracle) for the exceptions dashboard, lifting weekly active use from 55% to 85%.
• Refactored the settlement-status module behind a clean interface, deleting ~2K duplicated lines and halving feature lead time (2 weeks to 1) with zero regressions across 300 tests.
• Introduced OpenAPI contracts across 3 frontend/backend teams and generated typed clients, cutting integration bugs 40%.
• Owned the settlement-exceptions dashboard from design doc to production, using feature flags and monitoring for a zero-downtime rollout to 60 users.
• Wrote an AI-assisted dev playbook for 8 teammates; PR cycle time fell from 3 days to 1.8 with review standards unchanged.</t>
  </si>
  <si>
    <t xml:space="preserve">Check posting for exact YOE bar before applying.</t>
  </si>
  <si>
    <t xml:space="preserve">Rescale</t>
  </si>
  <si>
    <t xml:space="preserve">Software Engineer, Full Stack - AI &amp; Data</t>
  </si>
  <si>
    <t xml:space="preserve">https://jobs.ashbyhq.com/rescale/fdba3410-d255-4879-9a6e-bed488b4a1fc</t>
  </si>
  <si>
    <t xml:space="preserve">• Built distributed Java services on AWS (ECS, SQS) handling 38M events/day; autoscaling cut compute cost 22%.
• Designed async retry + dead-letter handling that raised job success rate from 96.8% to 99.7%.
• Built Grafana/Splunk alerting that cut mean-time-to-detect from 25 to 6 minutes across 4 distributed services.
• Built an LLM triage assistant that classifies failed jobs and proposes fixes; engineers accepted its suggestion in ~35% of cases during a 4-week pilot.
• Packaged our AWS setup as Terraform modules adopted by 3 teams: environment setup fell from 2 days to 2 hours and config drift disappeared.</t>
  </si>
  <si>
    <t xml:space="preserve">Posting cites 1-3 yrs backend/distributed systems on a major cloud + LLM/agent exposure.</t>
  </si>
  <si>
    <t xml:space="preserve">Affirm</t>
  </si>
  <si>
    <t xml:space="preserve">Software Engineer, Early Career (NYC)</t>
  </si>
  <si>
    <t xml:space="preserve">https://job-boards.greenhouse.io/affirm/jobs/8008649003</t>
  </si>
  <si>
    <t xml:space="preserve">• Kept 4 Java/Kafka services at 99.95% availability through 2 peak-volume spikes by pre-scaling consumers and load-testing at 2x.
• Added validation rules that cut erroneous postings 60% with false rejects under 0.5%.
• Raised service availability from 99.5% to 99.95% via circuit breakers, retries, and load testing at 2x peak.
• Automated routine exception handling (retries, re-queues), freeing ~10 engineer-hours/week and cutting exception-resolution time from 20 to 7 minutes.
• Used LLMs to generate test fixtures and summarize incidents, halving postmortem prep (4 hours to 2) with every output hand-reviewed.</t>
  </si>
  <si>
    <t xml:space="preserve">Older Greenhouse ID; confirm it's still open.</t>
  </si>
  <si>
    <t xml:space="preserve">Palantir</t>
  </si>
  <si>
    <t xml:space="preserve">Forward Deployed Software Engineer, New Grad - Commercial</t>
  </si>
  <si>
    <t xml:space="preserve">https://jobs.lever.co/palantir/e500bcf3-19d8-4d3c-b340-4d76e4a55b40</t>
  </si>
  <si>
    <t xml:space="preserve">• Embedded with ops stakeholders to scope and ship a settlement-exceptions tool adopted by 60 users in 4 weeks.
• Consolidated 5 data sources into one dashboard, replacing a ~10 hr/week manual reporting process.
• Turned a vague ops request into a scoped tool in 1 week by interviewing 6 analysts; shipped an MVP next sprint, now used daily by 60.
• Traced recurring data-mismatch tickets across 3 systems to a timezone bug in one feed; the fix cut related tickets 40%.
• Prototyped an LLM workflow for ticket triage with human-in-loop review, reaching 87% accuracy.</t>
  </si>
  <si>
    <t xml:space="preserve">New-grad track; may require recent-grad status.</t>
  </si>
  <si>
    <t xml:space="preserve">Harvey</t>
  </si>
  <si>
    <t xml:space="preserve">Software Engineer, New Grad (2027)</t>
  </si>
  <si>
    <t xml:space="preserve">https://jobs.ashbyhq.com/harvey/4d8dc9ba-eb86-4d88-af7d-65d2fdaf3fdc</t>
  </si>
  <si>
    <t xml:space="preserve">• Built audit logging and role-based access into 6 features in a regulated bank environment; passed internal audit with zero findings on my services.
• Built a Python service that extracts fields from settlement PDFs with an LLM plus rule-based validation, hitting 90% field accuracy on 300 labeled documents.
• Created an LLM evaluation harness (300 labeled cases, regression checks) that blocked 4 quality regressions pre-release.
• Use Claude Code and Copilot daily; tracked my PR cycle time over a quarter (3 days to 1.8) and wrote review guidelines for AI-generated code.
• Turned 12 compliance policy rules into automated pre-merge checks, replacing a manual review that took 3 hours/week.</t>
  </si>
  <si>
    <t xml:space="preserve">2027 new-grad cohort; likely requires upcoming graduation. Long shot.</t>
  </si>
  <si>
    <t xml:space="preserve">Replit</t>
  </si>
  <si>
    <t xml:space="preserve">Software Engineer - New Grad (2027)</t>
  </si>
  <si>
    <t xml:space="preserve">https://jobs.ashbyhq.com/replit/b5e81eae-06f9-4798-8988-2d06ca936dbc</t>
  </si>
  <si>
    <t xml:space="preserve">• Built an internal ops tool used by 60 engineers/analysts, cutting exception-resolution time from 20 to 7 minutes.
• Shipped the exceptions dashboard's 6 core features on weekly releases, reaching 85% weekly adoption in a month; prototyped UI variants with Claude Code in hours.
• Built AI-assisted workflows (codegen, test generation, PR summaries) adopted by 8 teammates, saving ~5 hrs/week each.
• Built a CLI that replays payment events in test environments; 6 engineers on 2 teams use it, cutting bug-repro from 2 hours to 15 minutes.
• Traced a recurring dashboard timeout to an N+1 query; the fix cut error rate from 2% to 0.3% and ended weekly escalations.</t>
  </si>
  <si>
    <t xml:space="preserve">Cursor (Anysphere)</t>
  </si>
  <si>
    <t xml:space="preserve">Software Engineer, New Grad 2027</t>
  </si>
  <si>
    <t xml:space="preserve">https://jobs.ashbyhq.com/cursor/d0e5b41d-84ab-4887-bd3a-55589b11dd7b</t>
  </si>
  <si>
    <t xml:space="preserve">• Ship daily with AI coding agents (Claude Code, Copilot); my PR throughput rose ~40% over a quarter while defect escapes stayed flat.
• Built a prompt/eval pipeline testing LLM outputs on 300 labeled cases, catching 4 regressions before release.
• Cut settlement-API p99 from 620ms to 210ms through profiling and query/caching changes.
• Built a CLI that replays payment events in test environments, cutting bug-repro from 2 hours to 15 minutes for 6 engineers.
• Added 140 integration tests and latency/error telemetry to every service I shipped, catching 9 staging regressions; AI drafted the tests, I hand-verified each.</t>
  </si>
  <si>
    <t xml:space="preserve">Wants Spring 2027 grads + open/reviewable shipped project. Long shot.</t>
  </si>
  <si>
    <t xml:space="preserve">Notion</t>
  </si>
  <si>
    <t xml:space="preserve">Software Engineer, New Grad (Dec 2026)</t>
  </si>
  <si>
    <t xml:space="preserve">https://jobs.ashbyhq.com/notion/e32799d2-8ef8-4803-8189-c72514afa816</t>
  </si>
  <si>
    <t xml:space="preserve">• Built React/TypeScript features for the 60-user exceptions dashboard, reaching 85% weekly adoption within a month.
• Improved UI load time from 8s to 1.5s via query batching, pagination, and lazy loading.
• Found 3 unused views via dashboard analytics, removed them, and lifted weekly active use from 55% to 85%.
• Cut React component and test scaffolding time ~50% with Copilot/Claude Code templates; shared the prompts with 8 teammates.
• Shipped the exceptions workflow in 5 weeks after 3 usability rounds with 8 ops users; task time dropped from 20 to 7 minutes.</t>
  </si>
  <si>
    <t xml:space="preserve">Requires graduating by Dec 2026 + prior internship. Likely ineligible.</t>
  </si>
  <si>
    <t xml:space="preserve">Whatnot</t>
  </si>
  <si>
    <t xml:space="preserve">Software Engineer, 2027 New Grad</t>
  </si>
  <si>
    <t xml:space="preserve">https://jobs.ashbyhq.com/whatnot/29bad846-de60-4be7-a222-69b97e044930</t>
  </si>
  <si>
    <t xml:space="preserve">• Built Kafka event services at ~440 events/sec (38M/day) with sub-100ms delivery, removing hot partitions via a partition-key redesign.
• Cut posting failure rate from 1.8% to 0.3% via retry logic and better error handling.
• Owned 6 features from design to rollout; 5 hit adoption targets (avg +30% weekly use) and I rolled back the sixth within a day when error metrics spiked.
• Built anomaly checks tuned on 6 months of history that block ~120 duplicate/suspicious postings a month at under 0.5% false positives.
• Built an LLM triage script (87% on 300 labeled tickets) saving ~6 hrs/week; AI coding tools cut my feature cycle time ~30%.</t>
  </si>
  <si>
    <t xml:space="preserve">Summer 2027 degree expected; likely ineligible by date.</t>
  </si>
  <si>
    <t xml:space="preserve">Zip</t>
  </si>
  <si>
    <t xml:space="preserve">Software Engineer, New Grad (2027 Start)</t>
  </si>
  <si>
    <t xml:space="preserve">https://jobs.ashbyhq.com/zip/df6eb1ee-b360-46fe-b23f-658626ec59ea/application</t>
  </si>
  <si>
    <t xml:space="preserve">• Built exception-approval workflow features for 60 ops users, automating 70% of manual steps and cutting resolution time from 20 to 7 minutes.
• Integrated 5 upstream systems via REST/Kafka with schema validation, cutting malformed-message failures from 3% to 0.2%.
• Cut exception-resolution time from 20 to 7 minutes by redesigning the workflow and adding alerts.
• Added role-based access and audit trails to 4 services, passing internal compliance review with no rework.
• Prototyped an LLM agent to extract and classify requests, hitting 87% accuracy vs. manual baseline.</t>
  </si>
  <si>
    <t xml:space="preserve">Asks for Dec 2026-Jun 2027 graduation. Likely ineligible.</t>
  </si>
  <si>
    <t xml:space="preserve">Plaid</t>
  </si>
  <si>
    <t xml:space="preserve">Software Engineer, Backend</t>
  </si>
  <si>
    <t xml:space="preserve">https://jobs.ashbyhq.com/plaid/5c5d4414-347c-4caa-be88-384dec2d074b</t>
  </si>
  <si>
    <t xml:space="preserve">• Own 4 Java/Kafka backend services in a payment platform handling 38M transactions/day at 99.95% availability: reliable systems at scale.
• Designed idempotency keys for payment retries, eliminating ~120 duplicate transactions/month.
• Cut a core API's p99 latency from 620ms to 210ms with a Redis cache and 3 rewritten SQL queries.
• Migrated 9 nightly batch jobs to Kafka event-driven services, cutting settlement time from 4 hours to 25 minutes.
• Added reconciliation checks and audit logging that caught 14 ledger mismatches before customers saw them.</t>
  </si>
  <si>
    <t xml:space="preserve">Posting asks 1-4 yrs post-internship: strong fit; fintech infrastructure.</t>
  </si>
  <si>
    <t xml:space="preserve">JD-first rewrite: 3 rounds</t>
  </si>
  <si>
    <t xml:space="preserve">None beyond fact pool.</t>
  </si>
  <si>
    <t xml:space="preserve">Traba</t>
  </si>
  <si>
    <t xml:space="preserve">Software Engineer (AI Agents)</t>
  </si>
  <si>
    <t xml:space="preserve">https://jobs.ashbyhq.com/traba/e1761ab2-21f1-46d6-8c69-9b4a73d9430f</t>
  </si>
  <si>
    <t xml:space="preserve">• Built an LLM triage agent over frontier-model APIs for failed-payment tickets (87% on 300 labeled), with human review on low-confidence cases.
• Built a prompt/eval pipeline that blocks releases on regression across labeled cases, catching 4 before ship.
• Orchestrated multi-step LLM workflows (classify, retrieve, propose fix, escalate) with retries and dead-letter handling, lifting job success from 96.8% to 99.7%.
• Built AI-assisted workflows (codegen, tests, PR summaries) used by 8 teammates with human-review gates, saving ~5 hrs/week each.
• Ship daily with Claude Code and Copilot; my PR throughput rose ~40% over a quarter while defect escapes stayed flat.</t>
  </si>
  <si>
    <t xml:space="preserve">Asks ~1+ yr shipping LLM features; founding-team style role.</t>
  </si>
  <si>
    <t xml:space="preserve">LLM work 'over frontier-model APIs' and multi-step orchestration: confirm what you actually used.</t>
  </si>
  <si>
    <t xml:space="preserve">Serval</t>
  </si>
  <si>
    <t xml:space="preserve">Software Engineer, Applied AI</t>
  </si>
  <si>
    <t xml:space="preserve">https://jobs.ashbyhq.com/serval/2bfaede4-22b2-43b2-a14c-f45e5f398624</t>
  </si>
  <si>
    <t xml:space="preserve">• Built an LLM triage assistant that classifies failed jobs and proposes fixes; engineers accepted its suggestions in ~35% of cases during a 4-week pilot.
• A/B-tested prompt versions against a labeled set, lifting ticket-triage accuracy from 74% to 87%.
• Automated routine IT-style ops workflows (retries, re-queues, alerts), cutting exception-resolution time from 20 to 7 minutes.
• Compared two model sizes on 300 labeled cases and shipped the smaller one at equal accuracy, cutting inference cost ~40%.
• Built a prompt/eval harness (300 labeled cases) that blocks releases on regression, catching 4 before ship.</t>
  </si>
  <si>
    <t xml:space="preserve">YOE not confirmed; IT-workflow agents. Check level before applying.</t>
  </si>
  <si>
    <t xml:space="preserve">Prompt A/B (74% to 87%) and model-size comparison (-40% cost) are new illustrative facts; fine-tuning not claimed.</t>
  </si>
  <si>
    <t xml:space="preserve">LiveFlow</t>
  </si>
  <si>
    <t xml:space="preserve">Software Engineer - AI Agents</t>
  </si>
  <si>
    <t xml:space="preserve">https://jobs.ashbyhq.com/liveflow/e1ba2bad-030a-4bc2-9bbd-f1375f712a57</t>
  </si>
  <si>
    <t xml:space="preserve">• Built a Python service that extracts fields from settlement PDFs with an LLM plus rule-based validation: 90% field accuracy on labeled documents.
• Added reconciliation checks and audit logging that caught 14 ledger mismatches before customers saw them.
• Built an LLM triage assistant for failed jobs with human review, accepted in ~35% of cases during a 4-week pilot.
• Built full-stack finance-ops features (React/TypeScript + Java APIs on AWS) for 60 users, reaching 85% weekly adoption in a month.
• Built a prompt/eval harness (300 labeled cases) that blocks releases on regression, catching 4 before ship.</t>
  </si>
  <si>
    <t xml:space="preserve">Full-stack on AI agents for finance/accounting software (SF hybrid): domain overlaps JPMC.</t>
  </si>
  <si>
    <t xml:space="preserve">Python PDF-extraction service and 35%-acceptance triage pilot are new illustrative facts; Next.js/Elixir not claimed.</t>
  </si>
  <si>
    <t xml:space="preserve">Hilbert's AI</t>
  </si>
  <si>
    <t xml:space="preserve">Software Engineer (Full-Stack / Product)</t>
  </si>
  <si>
    <t xml:space="preserve">https://jobs.ashbyhq.com/hilberts/989d547f-1f23-43b9-b8e8-c8771d7d4286</t>
  </si>
  <si>
    <t xml:space="preserve">• Built React/TypeScript features for a 60-user internal dashboard, reaching 85% weekly adoption within a month.
• Prototyped natural-language querying over exception data with an LLM, scoring 87% on a held-out eval set, behind a feature flag.
• Introduced OpenAPI contracts with generated typed TypeScript clients across 3 teams, cutting integration bugs 40%.
• Built a prompt/eval pipeline that blocks releases on LLM regressions, catching 4 before ship.
• Ship daily with Claude Code and Copilot; PR throughput up ~40% in a quarter with defect escapes flat.</t>
  </si>
  <si>
    <t xml:space="preserve">TypeScript/Node/React on an agentic interface; SF or Istanbul.</t>
  </si>
  <si>
    <t xml:space="preserve">Typed TypeScript clients; Node.js not claimed.</t>
  </si>
  <si>
    <t xml:space="preserve">The Flex</t>
  </si>
  <si>
    <t xml:space="preserve">Full-Stack Product Engineer</t>
  </si>
  <si>
    <t xml:space="preserve">https://jobs.ashbyhq.com/The-Flex/82eafc9b-c4c0-4310-8b9d-9f5410ff0d53</t>
  </si>
  <si>
    <t xml:space="preserve">• Built an internal ops tool for 60 users that cut exception-resolution time from 20 to 7 minutes.
• Integrated 5 upstream systems via REST/Kafka with schema validation and retries, cutting malformed-message failures from 3% to 0.2%.
• Built React/TypeScript workflow features for the ops tool, automating 70% of manual steps.
• Wrote Python tooling and an LLM triage script (87% on 300 labeled tickets), saving ~6 hrs/week.
• Added idempotency keys for webhook-style retries, eliminating ~120 duplicate transactions/month.</t>
  </si>
  <si>
    <t xml:space="preserve">Python/FastAPI/React/TS; internal tools + Stripe/Twilio integrations.</t>
  </si>
  <si>
    <t xml:space="preserve">Python tooling and webhook-style retries; FastAPI/Stripe/Twilio not claimed.</t>
  </si>
  <si>
    <t xml:space="preserve">Pivotal Health</t>
  </si>
  <si>
    <t xml:space="preserve">Full Stack Product Engineer</t>
  </si>
  <si>
    <t xml:space="preserve">https://jobs.ashbyhq.com/pivotal-health/74f89bd9-30ca-4cf9-ab50-e0f1d2af2431</t>
  </si>
  <si>
    <t xml:space="preserve">• Built a Python service that extracts fields from settlement PDFs with an LLM plus rule-based validation: 90% field accuracy on labeled documents.
• Own 4 backend Java services (Kafka, AWS) at 38M events/day and 99.95% availability.
• Built audit logging and role-based access into 6 features in a regulated environment; zero audit findings on my services.
• Designed a pipeline normalizing 5 upstream data feeds into one schema, eliminating ~10 hrs/week of manual reconciliation.
• Built full-stack features (React/TypeScript + Java APIs) with role-based access and audit trails for a 60-user dashboard, reaching 85% weekly adoption.</t>
  </si>
  <si>
    <t xml:space="preserve">Backend-leaning, AI/ML team. Pay band suggests mid-senior: check YOE.</t>
  </si>
  <si>
    <t xml:space="preserve">Python PDF service; audit result; healthcare domain not claimed.</t>
  </si>
  <si>
    <t xml:space="preserve">Applied Intuition</t>
  </si>
  <si>
    <t xml:space="preserve">Software Engineer - AI Engineering</t>
  </si>
  <si>
    <t xml:space="preserve">https://jobs.ashbyhq.com/applied/981054d6-d6d9-4553-9db8-38e56939d3b8</t>
  </si>
  <si>
    <t xml:space="preserve">• Built a prompt/agent eval harness running 300 labeled cases that blocked 4 regressions before release.
• Built AI-assisted workflows (codegen, tests, PR summaries) used by 8 teammates with human-review gates, saving ~5 hrs/week each.
• Built a CLI that replays events in test environments, cutting bug-repro from 2 hours to 15 minutes: developer tooling for agent debugging.
• Wrote an AI-assisted dev playbook for 8 teammates; PR cycle time fell from 3 days to 1.8 with review standards unchanged.
• Built an LLM triage assistant that proposes fixes for failed jobs, accepted in ~35% of cases during a 4-week pilot.</t>
  </si>
  <si>
    <t xml:space="preserve">Asks 2+ yrs AI/ML feature experience: stretch.</t>
  </si>
  <si>
    <t xml:space="preserve">Agent eval harness and AI workflows; 'background coding agents' not claimed.</t>
  </si>
  <si>
    <t xml:space="preserve">Perplexity</t>
  </si>
  <si>
    <t xml:space="preserve">Member of Technical Staff (Software Engineer, Applied AI)</t>
  </si>
  <si>
    <t xml:space="preserve">https://jobs.ashbyhq.com/perplexity/3c656963-876a-458d-bca6-916a42a24c1a</t>
  </si>
  <si>
    <t xml:space="preserve">• Built an LLM triage agent that retrieves similar past tickets for context, reaching 87% accuracy on 300 labeled tickets.
• Built a prompt/eval pipeline that blocks releases on regression, catching 4 before ship.
• Prototyped natural-language querying over exception data with an LLM, scoring 87% on a held-out set.
• Cut retrieval-style lookup latency, p99 620ms to 210ms, with a Redis cache and 3 rewritten queries.
• Ship daily with Claude Code and Copilot; my PR throughput rose ~40% over a quarter while defect escapes stayed flat.</t>
  </si>
  <si>
    <t xml:space="preserve">YOE not stated in results; agent work. Stretch.</t>
  </si>
  <si>
    <t xml:space="preserve">'Retrieves similar past tickets' is a new claim; ranking/memory depth not claimed.</t>
  </si>
  <si>
    <t xml:space="preserve">Smartsheet</t>
  </si>
  <si>
    <t xml:space="preserve">Software Engineer II - Full Stack (Remote Eligible)</t>
  </si>
  <si>
    <t xml:space="preserve">https://job-boards.greenhouse.io/smartsheet/jobs/8097667</t>
  </si>
  <si>
    <t xml:space="preserve">• Build scalable Java/Spring Boot services on AWS (ECS, SQS) handling 38M events/day; autoscaling cut compute cost 22%.
• Cut a core API's p99 latency from 620ms to 210ms with a Redis cache and 3 rewritten SQL queries.
• Containerized 4 Java services and automated CI tests, cutting build-and-deploy from 45 to 12 minutes (orchestrated on ECS).
• Built Grafana/Splunk alerting and runbooks across 4 AWS services; mean-time-to-detect fell from 25 to 6 minutes.
• Built React/TypeScript features for a 60-user dashboard on Java REST APIs, reaching 85% weekly adoption.</t>
  </si>
  <si>
    <t xml:space="preserve">Asks 2+ yrs Java/Kotlin/TS + AWS/K8s: your Java stack matches.</t>
  </si>
  <si>
    <t xml:space="preserve">Containers run on ECS, not Kubernetes; Kotlin not claimed.</t>
  </si>
  <si>
    <t xml:space="preserve">Conga</t>
  </si>
  <si>
    <t xml:space="preserve">Software Engineer II - Full Stack</t>
  </si>
  <si>
    <t xml:space="preserve">https://job-boards.greenhouse.io/conga/jobs/5116390007</t>
  </si>
  <si>
    <t xml:space="preserve">• Own 4 object-oriented Java/Spring Boot services in a payment platform (38M transactions/day, 99.95% availability).
• Designed a Java pipeline that normalizes 5 upstream data feeds into one schema, eliminating ~10 hrs/week of reconciliation.
• Shipped 6 features across a Java REST backend, Oracle and a React UI, lifting weekly active use from 55% to 85%.
• Built CI/CD with automated integration tests for Java services; releases went from bi-weekly to on-demand, rollbacks from 12% to 3%.
• Built exception-approval workflow features for 60 enterprise ops users, automating 70% of manual steps.</t>
  </si>
  <si>
    <t xml:space="preserve">Asks 2+ yrs OO development (Java); Houston hybrid.</t>
  </si>
  <si>
    <t xml:space="preserve">Azure not claimed (AWS only).</t>
  </si>
  <si>
    <t xml:space="preserve">Zip Co Limited</t>
  </si>
  <si>
    <t xml:space="preserve">Software Engineer II (Full Stack)</t>
  </si>
  <si>
    <t xml:space="preserve">https://job-boards.greenhouse.io/zipcolimited/jobs/4564108006</t>
  </si>
  <si>
    <t xml:space="preserve">• Built React/TypeScript features against co-designed REST APIs for a 60-user dashboard; 85% weekly adoption in a month.
• Improved UI load time from 8s to 1.5s via query batching, pagination and lazy loading.
• Shipped a 0-to-1 internal ops tool for 60 users in 5 weeks, cutting exception-resolution time from 20 to 7 minutes.
• Co-designed REST APIs with OpenAPI contracts across 3 teams so the React client and backend stayed in sync, cutting integration bugs 40%.
• Prototyped an LLM natural-language query feature (87% on a held-out set) behind a flag to test product fit.</t>
  </si>
  <si>
    <t xml:space="preserve">Innovation Labs; .NET Core + React, so stack differs from Java.</t>
  </si>
  <si>
    <t xml:space="preserve">.NET Core and React Native not claimed.</t>
  </si>
  <si>
    <t xml:space="preserve">Roo</t>
  </si>
  <si>
    <t xml:space="preserve">Full Stack Engineer</t>
  </si>
  <si>
    <t xml:space="preserve">https://job-boards.greenhouse.io/roo/jobs/5373552008</t>
  </si>
  <si>
    <t xml:space="preserve">• Built React/TypeScript workflow features for 60 ops users, automating 70% of manual steps.
• Cut exception-resolution time from 20 to 7 minutes by redesigning the workflow UI and alerts, deployed on AWS.
• Owned the exceptions dashboard from design doc to production on AWS with feature flags and monitoring: zero-downtime rollout to 60 users.
• Built REST service integrations with schema validation and retries, cutting malformed-message failures from 3% to 0.2%.
• Designed REST APIs with OpenAPI contracts across 3 teams, cutting integration bugs 40%.</t>
  </si>
  <si>
    <t xml:space="preserve">Asks ~2-4 yrs TypeScript/Node/React/AWS.</t>
  </si>
  <si>
    <t xml:space="preserve">Node/Express not claimed.</t>
  </si>
  <si>
    <t xml:space="preserve">CLEAR</t>
  </si>
  <si>
    <t xml:space="preserve">Software Development Engineer I</t>
  </si>
  <si>
    <t xml:space="preserve">https://job-boards.greenhouse.io/clear/jobs/8241829</t>
  </si>
  <si>
    <t xml:space="preserve">• Remediated 23 OWASP-class findings (injection, auth gaps) across 4 services; fixed the 5 critical ones within 48 hours.
• Built full-stack features (React/TypeScript + Java APIs) for a 60-user dashboard, reaching 85% weekly adoption in a month.
• Own 4 Java/Kafka services in a distributed payment platform at 38M transactions/day and 99.95% availability.
• Built role-based access and audit trails across 4 services to meet internal compliance requirements.
• Raised unit-test coverage on Java services from 52% to 81% in 3 weeks with AI-drafted, hand-reviewed tests.</t>
  </si>
  <si>
    <t xml:space="preserve">Explicit 0-2 yrs; Java/React/TypeScript on identity platform.</t>
  </si>
  <si>
    <t xml:space="preserve">Semgrep</t>
  </si>
  <si>
    <t xml:space="preserve">Software Engineer, Infrastructure</t>
  </si>
  <si>
    <t xml:space="preserve">https://job-boards.greenhouse.io/semgrep/jobs/4969529007</t>
  </si>
  <si>
    <t xml:space="preserve">• Packaged our AWS setup as Terraform modules adopted by 3 teams: environment setup fell from 2 days to 2 hours.
• Built Grafana/Splunk alerts and runbooks for on-call across 4 services; mean-time-to-detect fell from 25 to 6 minutes.
• Containerized 4 services on ECS with automated CI, cutting build-and-deploy from 45 to 12 minutes: container-orchestration fundamentals.
• Auto-scaled AWS services (ECS, SQS) at 38M events/day, cutting compute cost 22%.
• Remediated 23 OWASP-class security findings across 4 services; fixed the 5 critical ones within 48 hours.</t>
  </si>
  <si>
    <t xml:space="preserve">~2 yrs; Kubernetes/AWS; on-call.</t>
  </si>
  <si>
    <t xml:space="preserve">Kubernetes not claimed (ECS containers only); Terraform/AWS claims must be real.</t>
  </si>
  <si>
    <t xml:space="preserve">Aquatic Capital Management</t>
  </si>
  <si>
    <t xml:space="preserve">Software Engineer, Early Career</t>
  </si>
  <si>
    <t xml:space="preserve">https://job-boards.greenhouse.io/aquaticcapitalmanagement/jobs/8489226002</t>
  </si>
  <si>
    <t xml:space="preserve">• Cut p99 latency of a settlement-status API from 620ms to 210ms by profiling hot paths, caching and query rewrites.
• Designed idempotency keys for retries, eliminating ~120 duplicate transactions/month: correctness under failure.
• Built a CLI that replays recorded payment events deterministically, cutting bug-repro from 2 hours to 15 minutes.
• Wrote Python tooling for event replay and regression checks, raising test coverage from 52% to 81% in 3 weeks (AI-drafted, hand-reviewed).
• Held p99 under 210ms through 2 peak-volume spikes by pre-scaling consumers and load-testing at 2x: performance under bursty load.</t>
  </si>
  <si>
    <t xml:space="preserve">Trading firm; C++/Python emphasis: stack gap. Confirm still open.</t>
  </si>
  <si>
    <t xml:space="preserve">C++ not claimed; Python tooling must be real.</t>
  </si>
  <si>
    <t xml:space="preserve">ID.me</t>
  </si>
  <si>
    <t xml:space="preserve">Software Engineer II, Developer Portal (New Grad / Early Career)</t>
  </si>
  <si>
    <t xml:space="preserve">https://job-boards.greenhouse.io/idme/jobs/8011089003</t>
  </si>
  <si>
    <t xml:space="preserve">• Introduced OpenAPI contracts with auto-generated typed clients across 3 teams, cutting integration bugs 40%: the contract-first backbone of a developer portal.
• Wrote an AI-assisted dev playbook for 8 teammates; PR cycle time fell from 3 days to 1.8 with review standards unchanged.
• Ship daily with Claude Code and Copilot; my PR throughput rose ~40% over a quarter while defect escapes stayed flat.
• Built a CLI that replays events in test environments, cutting bug-repro from 2 hours to 15 minutes for 6 engineers: developer-experience tooling.
• Wrote an onboarding guide and setup scripts for a 12-person team: first merged PR in 2 weeks instead of 5, a docs-first mindset.</t>
  </si>
  <si>
    <t xml:space="preserve">0-2 yrs; AI-native dev workflow expected. Older ID: confirm open.</t>
  </si>
  <si>
    <t xml:space="preserve">Anduril</t>
  </si>
  <si>
    <t xml:space="preserve">2026 Early Career Software Engineer</t>
  </si>
  <si>
    <t xml:space="preserve">https://job-boards.greenhouse.io/andurilindustries/jobs/4802146007</t>
  </si>
  <si>
    <t xml:space="preserve">• Own 4 Java services in a mission-critical payment platform (99.95% availability); led the zero-downtime Java 17 upgrade.
• Cut p99 latency of a production API from 620ms to 210ms through profiling and caching.
• Built CI/CD with automated integration tests, moving releases from bi-weekly to on-demand and cutting rollbacks from 12% to 3%.
• Remediated 23 OWASP-class security findings across 4 services; fixed the 5 critical ones within 48 hours.
• Wrote replay-based regression tests that caught 9 staging regressions before release: confidence for software where failures are costly.</t>
  </si>
  <si>
    <t xml:space="preserve">2026 cohort: may be closed or new-grad only. Confirm.</t>
  </si>
  <si>
    <t xml:space="preserve">'Mission-critical' framing; defense domain not claimed.</t>
  </si>
  <si>
    <t xml:space="preserve">Kodiak</t>
  </si>
  <si>
    <t xml:space="preserve">Autonomy/AI Software Engineer - Early Career</t>
  </si>
  <si>
    <t xml:space="preserve">https://job-boards.greenhouse.io/kodiak/jobs/4028715009</t>
  </si>
  <si>
    <t xml:space="preserve">• Built a CLI that replays recorded events deterministically in test environments, cutting bug-repro from 2 hours to 15 minutes.
• Cut a latency-critical API's p99 from 620ms to 210ms by profiling hot paths.
• Designed idempotency keys so retries never double-process: ~120 duplicate transactions/month eliminated.
• Built an LLM triage assistant in Python (35% suggestion acceptance in a 4-week pilot) with a human fallback.
• Wrote automated integration tests and replay-based regression checks that caught 9 staging regressions before release.</t>
  </si>
  <si>
    <t xml:space="preserve">Older ID; autonomy domain, stack gap. Confirm open.</t>
  </si>
  <si>
    <t xml:space="preserve">C++ and autonomy not claimed; Python LLM assistant must be real.</t>
  </si>
  <si>
    <t xml:space="preserve">Wonderschool</t>
  </si>
  <si>
    <t xml:space="preserve">Early Career Software Engineer</t>
  </si>
  <si>
    <t xml:space="preserve">https://job-boards.greenhouse.io/wonderschool/jobs/6359139003</t>
  </si>
  <si>
    <t xml:space="preserve">• Built full-stack features (React/TypeScript + Java APIs) for a 60-user dashboard, reaching 85% weekly adoption in a month.
• Ran 3 usability rounds with 8 ops users before launch, driving 4 workflow changes that cut support questions ~50%.
• Cut exception-resolution time from 20 to 7 minutes with a redesigned workflow UI and alerts.
• Improved UI load time from 8s to 1.5s via batching, pagination and lazy loading.
• Shipped 6 features on weekly releases behind feature flags, tracking adoption for each: ship fast, measure, iterate.</t>
  </si>
  <si>
    <t xml:space="preserve">On-site SF per search. Confirm open.</t>
  </si>
  <si>
    <t xml:space="preserve">ASM</t>
  </si>
  <si>
    <t xml:space="preserve">Software Engineer - Early Career (Fall 2026)</t>
  </si>
  <si>
    <t xml:space="preserve">https://job-boards.greenhouse.io/asm/jobs/4876722101</t>
  </si>
  <si>
    <t xml:space="preserve">• Cut build-and-deploy time from 45 to 12 minutes by containerizing 4 services and automating CI tests: automation for fast, repeatable pipelines.
• Built a CLI that replays events in test environments, cutting bug-repro from 2 hours to 15 minutes for 6 engineers.
• Built high-volume event pipelines (Kafka, 38M events/day), cutting batch settlement from 4 hours to 25 minutes: data-heavy tooling at scale.
• Automated routine exception handling (retries, re-queues), freeing ~10 engineer-hours/week: automation that shortens feedback loops.
• Built anomaly checks on 6 months of history that flag ~120 bad records/month at under 0.5% false positives: data-quality automation.</t>
  </si>
  <si>
    <t xml:space="preserve">Semiconductor; Fall 2026 cohort, may be closed.</t>
  </si>
  <si>
    <t xml:space="preserve">Semiconductor domain not claimed.</t>
  </si>
  <si>
    <t xml:space="preserve">Siren</t>
  </si>
  <si>
    <t xml:space="preserve">Software Engineer (Early Career)</t>
  </si>
  <si>
    <t xml:space="preserve">https://job-boards.greenhouse.io/sirenopt/jobs/4452002009</t>
  </si>
  <si>
    <t xml:space="preserve">Older ID. Confirm still open.</t>
  </si>
  <si>
    <t xml:space="preserve">Semiconductor/other domain not claimed.</t>
  </si>
  <si>
    <t xml:space="preserve">Lendbuzz</t>
  </si>
  <si>
    <t xml:space="preserve">Full-Stack Software Engineer (Backend Oriented)</t>
  </si>
  <si>
    <t xml:space="preserve">https://jobs.lever.co/lendbuzz/93c0a50a-f9a6-40a1-a97f-b39d8f1b6656</t>
  </si>
  <si>
    <t xml:space="preserve">• Migrated 9 nightly batch jobs to Kafka event-driven microservices, cutting settlement time from 4 hours to 25 minutes.
• Built anomaly checks tuned on 6 months of history that block ~120 duplicate/suspicious postings a month at under 0.5% false positives.
• Added SQL-backed validation rules that cut erroneous postings 60% with false rejects under 0.5%.
• Built Kafka event services at ~440 events/sec (38M/day) with sub-100ms delivery, removing hot partitions via a partition-key redesign.
• Wrote Python tooling and an LLM triage script (87% on 300 labeled tickets), saving ~6 hrs/week.</t>
  </si>
  <si>
    <t xml:space="preserve">Asks 2-3+ yrs, ~70% backend; fintech/Python/Postgres.</t>
  </si>
  <si>
    <t xml:space="preserve">Python and Postgres not claimed beyond tooling and SQL rules.</t>
  </si>
  <si>
    <t xml:space="preserve">Peak</t>
  </si>
  <si>
    <t xml:space="preserve">Software Engineer, Backend (New Grad)</t>
  </si>
  <si>
    <t xml:space="preserve">https://jobs.lever.co/peakgames/cfaf2251-1472-4e73-b0a3-e3e88df7aa91</t>
  </si>
  <si>
    <t xml:space="preserve">• Cut a Java/Spring Boot API's p99 latency from 620ms to 210ms with a Redis cache and 3 rewritten SQL queries.
• Own 4 Spring Boot microservices at 38M events/day with 99.95% availability.
• Built distributed Java services on AWS (ECS, SQS) with autoscaling that cut compute cost 22%.
• Designed idempotent, retry-safe APIs across Oracle and Redis stores, eliminating ~120 duplicate transactions/month.
• Handled 2 peak-volume spikes by pre-scaling consumers and load-testing at 2x, holding 99.95% availability: low-latency backend under bursty load.</t>
  </si>
  <si>
    <t xml:space="preserve">New-grad track; Java Spring Boot. May require recent-grad status.</t>
  </si>
  <si>
    <t xml:space="preserve">Game domain not claimed; Redis/Oracle must be real.</t>
  </si>
  <si>
    <t xml:space="preserve">Hive</t>
  </si>
  <si>
    <t xml:space="preserve">Software Engineer - Backend</t>
  </si>
  <si>
    <t xml:space="preserve">https://jobs.lever.co/hive/9461e715-9e58-4414-bc9b-13e449f92b08</t>
  </si>
  <si>
    <t xml:space="preserve">• Cut a core API's p99 from 620ms to 210ms with caching and 3 rewritten SQL queries (indexes, query plans).
• Designed async retries with dead-letter queues, raising job success from 96.8% to 99.7%.
• Designed idempotency keys for retries, eliminating ~120 duplicate transactions/month.
• Added SQL-backed validation rules that cut erroneous postings 60% with false rejects under 0.5%.
• Built REST APIs with OpenAPI contracts across 3 teams, cutting integration bugs 40%.</t>
  </si>
  <si>
    <t xml:space="preserve">Node.js + Postgres; SF.</t>
  </si>
  <si>
    <t xml:space="preserve">Node.js/Postgres not claimed (SQL generally).</t>
  </si>
  <si>
    <t xml:space="preserve">AHEAD</t>
  </si>
  <si>
    <t xml:space="preserve">https://jobs.lever.co/thinkahead/a060eb0f-efc2-4b36-8363-049c657df49c</t>
  </si>
  <si>
    <t xml:space="preserve">• Built full-stack features (React/TypeScript + Java APIs) for a 60-user internal ops dashboard, delivered in 2-week cycles.
• Cut dashboard load time from 8s to 1.5s via SQL optimization and pagination over 20M-row tables.
• Designed a pipeline integrating 5 upstream data feeds into one schema, eliminating ~10 hrs/week of manual reconciliation.
• Turned a vague ops request into a scoped tool in 1 week by interviewing 6 analysts; MVP shipped next sprint, used daily by 60.
• Prototyped natural-language querying over exception data with an LLM (87% on a held-out set), shipped behind a flag.</t>
  </si>
  <si>
    <t xml:space="preserve">YOE not confirmed in results.</t>
  </si>
  <si>
    <t xml:space="preserve">Pattern</t>
  </si>
  <si>
    <t xml:space="preserve">Fullstack AI Software Engineer</t>
  </si>
  <si>
    <t xml:space="preserve">https://jobs.lever.co/pattern/62a5df2a-4387-416b-a6e2-639579c9b7ad</t>
  </si>
  <si>
    <t xml:space="preserve">• Ship daily with Claude Code and Copilot; my PR throughput rose ~40% over a quarter while defect escapes stayed flat.
• Built a Python service that extracts fields from settlement PDFs with an LLM plus rule-based validation: 90% field accuracy on labeled documents.
• Prototyped natural-language querying over exception data with an LLM (87% on a held-out set) behind a flag.
• Built a prompt/eval pipeline that blocks releases on regression, catching 4 before ship.
• Built React/TypeScript features for a 60-user dashboard, reaching 85% weekly adoption in a month.</t>
  </si>
  <si>
    <t xml:space="preserve">LLM integration role; location per search: Lehi, UT hybrid.</t>
  </si>
  <si>
    <t xml:space="preserve">Python PDF service must be real.</t>
  </si>
  <si>
    <t xml:space="preserve">Institute of Foundation Models</t>
  </si>
  <si>
    <t xml:space="preserve">Full Stack Software Engineer</t>
  </si>
  <si>
    <t xml:space="preserve">https://jobs.lever.co/ifm-us/1454349c-eb2b-480b-9a57-edfbb2aeeffe</t>
  </si>
  <si>
    <t xml:space="preserve">• Built full-stack features (React/TypeScript + Java APIs) for a 60-user dashboard used for exception monitoring.
• Prototyped natural-language querying over exception data with an LLM, 87% on a held-out eval set.
• Built a prompt/eval pipeline that blocks releases on regression, catching 4 before ship.
• Built AI-assisted workflows (codegen, tests, PR summaries) used by 8 teammates with human-review gates, saving ~5 hrs/week each.
• Cut dashboard load time from 8s to 1.5s via query optimization over 20M-row tables.</t>
  </si>
  <si>
    <t xml:space="preserve">On-site Sunnyvale per search. Confirm YOE.</t>
  </si>
  <si>
    <t xml:space="preserve">Software Engineer I</t>
  </si>
  <si>
    <t xml:space="preserve">https://www.amazon.jobs/en/jobs/10573768/software-engineer-i</t>
  </si>
  <si>
    <t xml:space="preserve">• Own 4 Java/Spring Boot services in a payment platform (38M transactions/day, 99.95% availability), including on-call: end-to-end ownership.
• Cut p99 latency of a settlement-status API from 620ms to 210ms by diving into slow queries and adding a Redis cache.
• Built CI/CD with automated integration tests, moving releases from bi-weekly to on-demand and cutting rollbacks from 12% to 3%.
• On-call for 4 services: Grafana/Splunk alerts and runbooks cut mean-time-to-detect from 25 to 6 minutes
• Raised unit-test coverage from 52% to 81% in 3 weeks with AI-drafted, hand-reviewed tests.</t>
  </si>
  <si>
    <t xml:space="preserve">Verify location and 1+ yr requirement on posting.</t>
  </si>
  <si>
    <t xml:space="preserve">Verify team and location on the posting; Amazon-style wording is a framing choice.</t>
  </si>
  <si>
    <t xml:space="preserve">Software Engineer I, Discovery</t>
  </si>
  <si>
    <t xml:space="preserve">https://www.amazon.jobs/en/jobs/10468973/software-engineer-i-discovery</t>
  </si>
  <si>
    <t xml:space="preserve">• Built React/TypeScript features for a 60-user dashboard, reaching 85% weekly adoption in a month.
• Improved UI load time from 8s to 1.5s via batching, pagination and lazy loading.
• Added usage analytics that found 3 unused views; removing them lifted weekly active use from 55% to 85%.
• Ran 3 usability rounds with 8 users before launch, driving 4 changes that cut support questions ~50%: discovery UX validated with real users.
• Cut a backend API's p99 from 620ms to 210ms supporting the UI, with a Redis cache and 3 rewritten queries.</t>
  </si>
  <si>
    <t xml:space="preserve">Verify location on posting.</t>
  </si>
  <si>
    <t xml:space="preserve">Verify team and location on the posting.</t>
  </si>
  <si>
    <t xml:space="preserve">Software Engineer I, Builder</t>
  </si>
  <si>
    <t xml:space="preserve">https://www.amazon.jobs/en/jobs/3154041/software-engineer-i-builder</t>
  </si>
  <si>
    <t xml:space="preserve">• Built a CLI that replays events in test environments, cutting bug-repro from 2 hours to 15 minutes for 6 engineers.
• Containerized 4 services and automated CI tests, cutting build-and-deploy from 45 to 12 minutes, saving ~15 engineer-hours/month.
• Wrote an AI-assisted dev playbook for 8 teammates; PR cycle time fell from 3 days to 1.8.
• Packaged our AWS setup as Terraform modules adopted by 3 teams: environment setup fell from 2 days to 2 hours.
• Wrote an onboarding guide and scripts for a 12-person team: first merged PR in 2 weeks instead of 5.</t>
  </si>
  <si>
    <t xml:space="preserve">Software Development Engineer I, FinOps FP&amp;A</t>
  </si>
  <si>
    <t xml:space="preserve">https://www.amazon.jobs/en/jobs/10432823/software-development-engineer-i-finops-fp-a</t>
  </si>
  <si>
    <t xml:space="preserve">• Added reconciliation checks and audit logging that caught 14 ledger mismatches before customers saw them.
• Designed a pipeline normalizing 5 upstream finance data feeds into one schema, eliminating ~10 hrs/week of manual reconciliation.
• Automated routine exception handling, freeing ~10 engineer-hours/week and cutting resolution time from 20 to 7 minutes.
• Cut month-end reporting queries from 90s to 8s with materialized views, unblocking close for 40 ops users.
• Built audit logging and access controls into 6 features in a regulated environment; zero audit findings on my services.</t>
  </si>
  <si>
    <t xml:space="preserve">Finance tech; search noted 1+ yr non-internship experience.</t>
  </si>
  <si>
    <t xml:space="preserve">Verify team and location; finance-domain claims must be real.</t>
  </si>
  <si>
    <t xml:space="preserve">https://www.amazon.jobs/en/jobs/10580014/software-development-engineer-i</t>
  </si>
  <si>
    <t xml:space="preserve">• Own 4 Java/Spring Boot services in a payment platform (38M transactions/day, 99.95% availability), including on-call.
• Cut a core API's p99 latency from 620ms to 210ms with a Redis cache and 3 rewritten SQL queries.
• Designed idempotency keys for retries, eliminating ~120 duplicate transactions/month.
• Migrated 9 nightly batch jobs to Kafka event-driven services, cutting settlement time from 4 hours to 25 minutes.
• Raised unit-test coverage from 52% to 81% in 3 weeks with AI-drafted, hand-reviewed tests.</t>
  </si>
  <si>
    <t xml:space="preserve">Verify team and location on posting.</t>
  </si>
  <si>
    <t xml:space="preserve">Software Dev Engineer I</t>
  </si>
  <si>
    <t xml:space="preserve">https://www.amazon.jobs/en/jobs/10406482/software-dev-engineer-i</t>
  </si>
  <si>
    <t xml:space="preserve">• Took end-to-end ownership of 4 Java/Spring Boot payment services (38M transactions/day, 99.95% availability), including on-call.
• Built Grafana/Splunk alerts and runbooks for on-call across 4 services; mean-time-to-detect fell from 25 to 6 minutes.
• Took ownership of a recurring duplicate-posting bug, diving into retry logic to design idempotency keys that eliminated ~120 duplicate transactions/month.
• Delivered results under deadline: migrated 9 nightly batch jobs to Kafka event-driven services, cutting settlement time from 4 hours to 25 minutes.
• Wrote an AI-assisted dev playbook for 8 teammates; PR cycle time fell from 3 days to 1.8.</t>
  </si>
  <si>
    <t xml:space="preserve">Software Development Engineer, Early Career</t>
  </si>
  <si>
    <t xml:space="preserve">https://www.amazon.jobs/en/jobs/10529830/software-development-engineer-early-career</t>
  </si>
  <si>
    <t xml:space="preserve">• Showed bias for action: containerized 4 services and automated CI tests, cutting build-and-deploy from 45 to 12 minutes.
• Simplified debugging by building a CLI that replays events in test environments, cutting bug-repro from 2 hours to 15 minutes for 6 engineers.
• Improved UI load time from 8s to 1.5s via batching, pagination and lazy loading.
• Cut environment setup from 2 days to 2 hours for 3 teams by packaging our AWS setup as Terraform modules.
• Raised unit-test coverage from 52% to 81% in 3 weeks with AI-drafted, hand-reviewed tests.</t>
  </si>
  <si>
    <t xml:space="preserve">Early-career program: check eligibility.</t>
  </si>
  <si>
    <t xml:space="preserve">Verify team and location; early-career eligibility.</t>
  </si>
  <si>
    <t xml:space="preserve">Google</t>
  </si>
  <si>
    <t xml:space="preserve">Software Engineer II, Full Stack, Core</t>
  </si>
  <si>
    <t xml:space="preserve">https://www.google.com/about/careers/applications/jobs/results/133251589958705862-software-engineer-ii</t>
  </si>
  <si>
    <t xml:space="preserve">• Built full-stack features (React/TypeScript + Java APIs) for a 60-user dashboard, reaching 85% weekly adoption in a month.
• Cut dashboard load time from 8s to 1.5s via query optimization and pagination over 20M-row tables.
• Introduced OpenAPI contracts across 3 teams with generated typed clients, cutting integration bugs 40%.
• Designed a pipeline normalizing 5 upstream data feeds into one schema, eliminating ~10 hrs/week of manual reconciliation and surfacing 14 ledger mismatches.
• Raised unit-test coverage from 52% to 81% in 3 weeks with AI-drafted, hand-reviewed tests.</t>
  </si>
  <si>
    <t xml:space="preserve">Google SWE II typically asks ~1 yr programming experience: good fit.</t>
  </si>
  <si>
    <t xml:space="preserve">Software Engineer II, Site Reliability</t>
  </si>
  <si>
    <t xml:space="preserve">https://www.google.com/about/careers/applications/jobs/results/78230576405848774-software-engineer-ii/</t>
  </si>
  <si>
    <t xml:space="preserve">• Packaged our AWS setup as Terraform modules adopted by 3 teams: environment setup fell from 2 days to 2 hours.
• Built Grafana/Splunk alerts and runbooks for on-call across 4 services; mean-time-to-detect fell from 25 to 6 minutes.
• Raised service availability from 99.5% to 99.95% with circuit breakers, retries and load testing at 2x peak.
• Auto-scaled AWS services (ECS, SQS) at 38M events/day, cutting compute cost 22%.
• Built CI/CD with automated integration tests, moving releases from bi-weekly to on-demand and cutting rollbacks from 12% to 3%.</t>
  </si>
  <si>
    <t xml:space="preserve">SRE track; ~1 yr programming typical.</t>
  </si>
  <si>
    <t xml:space="preserve">Availability/SLO claims must be real.</t>
  </si>
  <si>
    <t xml:space="preserve">Software Engineer II, Corp Eng</t>
  </si>
  <si>
    <t xml:space="preserve">https://www.google.com/about/careers/applications/jobs/results/138674961899233990-software-engineer-ii-corp-eng</t>
  </si>
  <si>
    <t xml:space="preserve">• Built an internal ops tool for 60 users that cut exception-resolution time from 20 to 7 minutes.
• Built exception-approval workflow features for the ops tool, automating 70% of manual steps.
• Wrote an onboarding guide and setup scripts for a 12-person team: first merged PR in 2 weeks instead of 5.
• Integrated 5 upstream systems via REST/Kafka with schema validation, cutting malformed-message failures from 3% to 0.2%.
• Wrote an AI-assisted dev playbook for 8 teammates' internal tools; PR cycle time fell from 3 days to 1.8.</t>
  </si>
  <si>
    <t xml:space="preserve">Corp Eng; ~1 yr programming typical.</t>
  </si>
  <si>
    <t xml:space="preserve">Software Engineer II, Google Safe Search</t>
  </si>
  <si>
    <t xml:space="preserve">https://www.google.com/about/careers/applications/jobs/results/106165773843473094-software-engineer-ii/</t>
  </si>
  <si>
    <t xml:space="preserve">• Built anomaly checks tuned on 6 months of history that block ~120 duplicate/suspicious postings a month at under 0.5% false positives.
• Added SQL-backed validation rules that cut erroneous postings 60% with false rejects under 0.5%.
• Built an LLM triage agent for failed-payment tickets (87% on 300 labeled), with human review on low-confidence cases, saving ~6 hrs/week.
• Built a prompt/eval harness (300 labeled cases) that blocks releases on regression, catching 4 before ship.
• Built AI-assisted workflows (codegen, tests, PR summaries) used by 8 teammates with human-review gates, saving ~5 hrs/week each.</t>
  </si>
  <si>
    <t xml:space="preserve">~1 yr programming typical.</t>
  </si>
  <si>
    <t xml:space="preserve">ML work not claimed beyond LLM eval/triage.</t>
  </si>
  <si>
    <t xml:space="preserve">Software Engineer II, Geo</t>
  </si>
  <si>
    <t xml:space="preserve">https://www.google.com/about/careers/applications/jobs/results/92367747647709894-software-engineer-ii/</t>
  </si>
  <si>
    <t xml:space="preserve">• Designed a pipeline normalizing 5 upstream data feeds into one schema, eliminating ~10 hrs/week of manual reconciliation.
• Designed async retry + dead-letter handling that raised pipeline success from 96.8% to 99.7% on high-volume data.
• Built Kafka event services at ~440 events/sec (38M/day) with sub-100ms delivery, removing hot partitions via a partition-key redesign.
• Cut a core API's p99 latency from 620ms to 210ms with a Redis cache and 3 rewritten SQL queries.
• Auto-scaled AWS services (ECS, SQS) at 38M events/day, cutting compute cost 22%.</t>
  </si>
  <si>
    <t xml:space="preserve">Geo domain not claimed.</t>
  </si>
  <si>
    <t xml:space="preserve">Software Engineer II, Chrome</t>
  </si>
  <si>
    <t xml:space="preserve">https://careers.google.com/jobs/results/106279833142469318-software-engineer-ii/</t>
  </si>
  <si>
    <t xml:space="preserve">• Cut a production API's p99 from 620ms to 210ms with caching and profiling.
• Refactored the settlement-status module behind a clean interface, deleting ~2K duplicated lines and halving feature lead time with zero regressions across 300 tests.
• Raised unit-test coverage from 52% to 81% in 3 weeks (AI-drafted, hand-reviewed): a quality bar for a large codebase.
• Built a CLI that replays user-flow events in test environments, cutting bug-repro from 2 hours to 15 minutes: debugging tools for large codebases.
• Improved UI load time from 8s to 1.5s via batching, pagination and lazy loading.</t>
  </si>
  <si>
    <t xml:space="preserve">Legacy careers URL; confirm still open.</t>
  </si>
  <si>
    <t xml:space="preserve">C++/browser work not claimed.</t>
  </si>
  <si>
    <t xml:space="preserve">Software Engineer II, Android</t>
  </si>
  <si>
    <t xml:space="preserve">https://www.google.com/about/careers/applications/jobs/results/77784007952999110-software-engineer-ii/</t>
  </si>
  <si>
    <t xml:space="preserve">• Improved UI load time from 8s to 1.5s via query batching, pagination and lazy loading: responsiveness users feel.
• Designed idempotency keys so flaky-network retries never double-process, eliminating ~120 duplicate transactions/month: the retry-safety mobile clients need.
• Ran 3 usability rounds with 8 users, driving 4 UX changes that cut support questions ~50%: user-centered quality for app experiences.
• Raised unit-test coverage from 52% to 81% in 3 weeks with AI-drafted, hand-reviewed tests: a quality bar for shipping app updates.
• Cut p99 latency of a core API from 620ms to 210ms with caching and rewritten queries: faster responses mean faster screens.</t>
  </si>
  <si>
    <t xml:space="preserve">Android/Kotlin not claimed.</t>
  </si>
  <si>
    <t xml:space="preserve">Round</t>
  </si>
  <si>
    <t xml:space="preserve">Bullets rewritten (orig 14 roles)</t>
  </si>
  <si>
    <t xml:space="preserve">Bullets rewritten (42 added roles)</t>
  </si>
  <si>
    <t xml:space="preserve">Mean: original 14 roles</t>
  </si>
  <si>
    <t xml:space="preserve">Mean: 42 added roles</t>
  </si>
  <si>
    <t xml:space="preserve">Mean: all 56 roles</t>
  </si>
  <si>
    <t xml:space="preserve">Added roles: bullets &gt;= 8.0</t>
  </si>
  <si>
    <t xml:space="preserve">Added roles: lowest score</t>
  </si>
  <si>
    <t xml:space="preserve">Original 14 roles: Round 0 = first draft, rounds 1-3 = self-critique and rewrite of the weakest bullets. 42 added roles: Round 0 = the earlier reused bullets rescored against each posting; Round 1 = full JD-first rewrite of all 210 bullets; Rounds 2-3 = further rewrites of the weakest fits. All scores use the JD-first weights on the Rubric tab (JD alignment 40%), so original-14 means differ from the earlier workbook. Scores are my own judgment, not an objective measure; round 3 gains were small, so I stopped there.</t>
  </si>
  <si>
    <t xml:space="preserve">Rubric v3, JD-first (7 dimensions, weighted). Blue cells are editable; every score recalculates. Weights changed from v2 (JD alignment 15% -&gt; 40%), so all averages here differ from the v2 workbook.</t>
  </si>
  <si>
    <t xml:space="preserve">Dimension</t>
  </si>
  <si>
    <t xml:space="preserve">Weight</t>
  </si>
  <si>
    <t xml:space="preserve">What a 10 looks like</t>
  </si>
  <si>
    <t xml:space="preserve">Why it matters for getting interviews</t>
  </si>
  <si>
    <t xml:space="preserve">Concise &amp; Punchy</t>
  </si>
  <si>
    <t xml:space="preserve">One line, strong verb first, result visible in the first 8 words.</t>
  </si>
  <si>
    <t xml:space="preserve">Recruiters skim a resume in ~7 seconds; long bullets get skipped.</t>
  </si>
  <si>
    <t xml:space="preserve">Overall Impact</t>
  </si>
  <si>
    <t xml:space="preserve">Measurable outcome tied to users, money, reliability or speed.</t>
  </si>
  <si>
    <t xml:space="preserve">Outcomes, not duties, separate shortlisted resumes.</t>
  </si>
  <si>
    <t xml:space="preserve">Realistic for ~1 YOE</t>
  </si>
  <si>
    <t xml:space="preserve">Scope is believable for ~15 months: owned a feature/service, not an org.</t>
  </si>
  <si>
    <t xml:space="preserve">Over-claiming gets exposed in the phone screen and sinks you.</t>
  </si>
  <si>
    <t xml:space="preserve">AI-Native Fluency</t>
  </si>
  <si>
    <t xml:space="preserve">Shows concrete AI-assisted workflow or LLM work with measurement and human review.</t>
  </si>
  <si>
    <t xml:space="preserve">AI-first employers screen for it; matters less at traditional shops.</t>
  </si>
  <si>
    <t xml:space="preserve">JD Alignment</t>
  </si>
  <si>
    <t xml:space="preserve">Mirrors this role's stated requirements, stack and keywords. Weighted 40% (JD-first).</t>
  </si>
  <si>
    <t xml:space="preserve">ATS and recruiters match on keywords; same bullet scores differently per job.</t>
  </si>
  <si>
    <t xml:space="preserve">Credibility / Defensible</t>
  </si>
  <si>
    <t xml:space="preserve">Every number can be explained in 60 seconds in an interview (NEW).</t>
  </si>
  <si>
    <t xml:space="preserve">Interviewers probe each metric; undefendable numbers are the top rejection cause.</t>
  </si>
  <si>
    <t xml:space="preserve">Interview Hook</t>
  </si>
  <si>
    <t xml:space="preserve">Contains a decision, trade-off or story that invites a follow-up question (NEW).</t>
  </si>
  <si>
    <t xml:space="preserve">Bullets are conversation starters; the interview IS the goal.</t>
  </si>
  <si>
    <t xml:space="preserve">Gate threshold</t>
  </si>
  <si>
    <t xml:space="preserve">If Realistic OR Credibility scores below this, a penalty applies.</t>
  </si>
  <si>
    <t xml:space="preserve">Gate penalty (points)</t>
  </si>
  <si>
    <t xml:space="preserve">Subtracted from the weighted score. Prevents a flashy but undefendable bullet from ranking high.</t>
  </si>
  <si>
    <t xml:space="preserve">Weights total (must be 1.00)</t>
  </si>
  <si>
    <t xml:space="preserve">Suggested rubric improvements (my recommendations)</t>
  </si>
  <si>
    <t xml:space="preserve">1. Score against the specific job description, not in a vacuum. 'JD Alignment' is now a dimension; before applying, rerun it per posting.</t>
  </si>
  <si>
    <t xml:space="preserve">2. Make AI-fluency weight role-dependent: ~20% for Cursor/Replit/Harvey-type AI-first companies, ~5% for Mastercard/Amazon. Right now it caps non-AI bullets near 7.7-8; set weights per company in the Rubric tab to see the effect.</t>
  </si>
  <si>
    <t xml:space="preserve">3. Score Credibility from an interviewer's viewpoint: could you explain the number, the baseline and the measurement method in 60 seconds? If not, cut it.</t>
  </si>
  <si>
    <t xml:space="preserve">4. Add an ATS-keyword check (exact stack terms from the JD: e.g., Kafka, Terraform, React). Not scored here because it needs the full JD text.</t>
  </si>
  <si>
    <t xml:space="preserve">5. Score the full resume, not bullets in isolation: variety (not 5 latency bullets), and no repeated claim across roles.</t>
  </si>
  <si>
    <t xml:space="preserve">6. Replace self-scoring with outside signal: have 2-3 engineers or a recruiter rate the top bullets blind, and track which versions actually get recruiter replies.</t>
  </si>
  <si>
    <t xml:space="preserve">7. Interview conversion is the true metric: after ~15 applications compare callback rates by bullet style and re-weight the rubric to match.</t>
  </si>
  <si>
    <t xml:space="preserve">Bullet #</t>
  </si>
  <si>
    <t xml:space="preserve">Final Bullet (illustrative numbers)</t>
  </si>
  <si>
    <t xml:space="preserve">Credibility</t>
  </si>
  <si>
    <t xml:space="preserve">Final Score (/10)</t>
  </si>
  <si>
    <t xml:space="preserve">Baseline Score (/10)</t>
  </si>
  <si>
    <t xml:space="preserve">Change</t>
  </si>
  <si>
    <t xml:space="preserve">Key</t>
  </si>
  <si>
    <t xml:space="preserve">Own 4 Java/Spring Boot services in JPMC's payment-authorization platform on AWS (38M transactions/day, 99.95% availability); led the zero-downtime Java 17 upgrade.</t>
  </si>
  <si>
    <t xml:space="preserve">Cut p99 latency of the settlement-status API from 620ms to 210ms by adding a Redis cache and rewriting 3 slow Oracle queries.</t>
  </si>
  <si>
    <t xml:space="preserve">Built CI/CD with automated integration tests, moving releases from bi-weekly to on-demand and cutting rollbacks from 12% to 3%.</t>
  </si>
  <si>
    <t xml:space="preserve">On-call for 4 services; Grafana/Splunk alerts and runbooks cut mean-time-to-detect from 25 to 6 minutes and halved repeat pages.</t>
  </si>
  <si>
    <t xml:space="preserve">Lifted unit-test coverage on owned services from 52% to 81% in 3 weeks, using Copilot/Claude Code to draft tests I reviewed by hand.</t>
  </si>
  <si>
    <t xml:space="preserve">Shipped 6 features to a $1.2B/day payment platform via 10%-to-100% staged rollouts and feature flags, with zero Sev-1 incidents.</t>
  </si>
  <si>
    <t xml:space="preserve">Fixed a duplicate-posting bug class by designing idempotency keys for settlement retries, eliminating ~120 duplicate transactions/month.</t>
  </si>
  <si>
    <t xml:space="preserve">Migrated 9 nightly batch jobs to Kafka event-driven services, cutting end-to-end settlement processing from 4 hours to 25 minutes.</t>
  </si>
  <si>
    <t xml:space="preserve">Added reconciliation checks and audit logging that caught 14 ledger mismatches before customers saw them.</t>
  </si>
  <si>
    <t xml:space="preserve">Built an LLM script to triage failed-payment tickets (87% accuracy on 300 labeled tickets), saving the team ~6 hrs/week.</t>
  </si>
  <si>
    <t xml:space="preserve">Maintain 4 Java services in a 38M-events/day transaction pipeline at 99.95% availability, including on-call.</t>
  </si>
  <si>
    <t xml:space="preserve">Containerized 4 services and automated tests in CI, cutting build-and-deploy from 45 to 12 minutes and saving the team ~15 engineer-hours/month.</t>
  </si>
  <si>
    <t xml:space="preserve">Remediated 23 OWASP-class findings (injection, auth gaps) across 4 services before the audit deadline, fixing the 5 critical ones within 48 hours.</t>
  </si>
  <si>
    <t xml:space="preserve">Cut month-end reporting queries from 90s to 8s with materialized views, unblocking close for 40 ops users.</t>
  </si>
  <si>
    <t xml:space="preserve">Wrote an onboarding guide and setup scripts for a 12-person team, getting new hires to a first merged PR in 2 weeks instead of 5.</t>
  </si>
  <si>
    <t xml:space="preserve">Built full-stack features (React/TypeScript + Java APIs) for a 60-user internal ops dashboard used to monitor settlement exceptions.</t>
  </si>
  <si>
    <t xml:space="preserve">Designed a pipeline normalizing 5 upstream data feeds into one schema, eliminating ~10 hrs/week of manual reconciliation.</t>
  </si>
  <si>
    <t xml:space="preserve">Cut dashboard load time from 8s to 1.5s via query optimization and pagination over 20M-row tables.</t>
  </si>
  <si>
    <t xml:space="preserve">Wrote 140 integration and data-validation tests that stopped 14 bad-data incidents from reaching client-facing reports.</t>
  </si>
  <si>
    <t xml:space="preserve">Prototyped natural-language querying over exception data with an LLM, measured at 87% accuracy on a 300-case eval set.</t>
  </si>
  <si>
    <t xml:space="preserve">Shipped 6 features end-to-end (React, REST, Oracle) for the exceptions dashboard, lifting weekly active use from 55% to 85%.</t>
  </si>
  <si>
    <t xml:space="preserve">Refactored the settlement-status module behind a clean interface, deleting ~2K duplicated lines and halving feature lead time (2 weeks to 1) with zero regressions across 300 tests.</t>
  </si>
  <si>
    <t xml:space="preserve">Introduced OpenAPI contracts across 3 frontend/backend teams and generated typed clients, cutting integration bugs 40%.</t>
  </si>
  <si>
    <t xml:space="preserve">Owned the settlement-exceptions dashboard from design doc to production, using feature flags and monitoring for a zero-downtime rollout to 60 users.</t>
  </si>
  <si>
    <t xml:space="preserve">Wrote an AI-assisted dev playbook for 8 teammates; PR cycle time fell from 3 days to 1.8 with review standards unchanged.</t>
  </si>
  <si>
    <t xml:space="preserve">Built distributed Java services on AWS (ECS, SQS) handling 38M events/day; autoscaling cut compute cost 22%.</t>
  </si>
  <si>
    <t xml:space="preserve">Designed async retry + dead-letter handling that raised job success rate from 96.8% to 99.7%.</t>
  </si>
  <si>
    <t xml:space="preserve">Built Grafana/Splunk alerting that cut mean-time-to-detect from 25 to 6 minutes across 4 distributed services.</t>
  </si>
  <si>
    <t xml:space="preserve">Built an LLM triage assistant that classifies failed jobs and proposes fixes; engineers accepted its suggestion in ~35% of cases during a 4-week pilot.</t>
  </si>
  <si>
    <t xml:space="preserve">Packaged our AWS setup as Terraform modules adopted by 3 teams: environment setup fell from 2 days to 2 hours and config drift disappeared.</t>
  </si>
  <si>
    <t xml:space="preserve">Kept 4 Java/Kafka services at 99.95% availability through 2 peak-volume spikes by pre-scaling consumers and load-testing at 2x.</t>
  </si>
  <si>
    <t xml:space="preserve">Added validation rules that cut erroneous postings 60% with false rejects under 0.5%.</t>
  </si>
  <si>
    <t xml:space="preserve">Raised service availability from 99.5% to 99.95% via circuit breakers, retries, and load testing at 2x peak.</t>
  </si>
  <si>
    <t xml:space="preserve">Automated routine exception handling (retries, re-queues), freeing ~10 engineer-hours/week and cutting exception-resolution time from 20 to 7 minutes.</t>
  </si>
  <si>
    <t xml:space="preserve">Used LLMs to generate test fixtures and summarize incidents, halving postmortem prep (4 hours to 2) with every output hand-reviewed.</t>
  </si>
  <si>
    <t xml:space="preserve">Embedded with ops stakeholders to scope and ship a settlement-exceptions tool adopted by 60 users in 4 weeks.</t>
  </si>
  <si>
    <t xml:space="preserve">Consolidated 5 data sources into one dashboard, replacing a ~10 hr/week manual reporting process.</t>
  </si>
  <si>
    <t xml:space="preserve">Turned a vague ops request into a scoped tool in 1 week by interviewing 6 analysts; shipped an MVP next sprint, now used daily by 60.</t>
  </si>
  <si>
    <t xml:space="preserve">Traced recurring data-mismatch tickets across 3 systems to a timezone bug in one feed; the fix cut related tickets 40%.</t>
  </si>
  <si>
    <t xml:space="preserve">Prototyped an LLM workflow for ticket triage with human-in-loop review, reaching 87% accuracy.</t>
  </si>
  <si>
    <t xml:space="preserve">Built audit logging and role-based access into 6 features in a regulated bank environment; passed internal audit with zero findings on my services.</t>
  </si>
  <si>
    <t xml:space="preserve">Built a Python service that extracts fields from settlement PDFs with an LLM plus rule-based validation, hitting 90% field accuracy on 300 labeled documents.</t>
  </si>
  <si>
    <t xml:space="preserve">Created an LLM evaluation harness (300 labeled cases, regression checks) that blocked 4 quality regressions pre-release.</t>
  </si>
  <si>
    <t xml:space="preserve">Use Claude Code and Copilot daily; tracked my PR cycle time over a quarter (3 days to 1.8) and wrote review guidelines for AI-generated code.</t>
  </si>
  <si>
    <t xml:space="preserve">Turned 12 compliance policy rules into automated pre-merge checks, replacing a manual review that took 3 hours/week.</t>
  </si>
  <si>
    <t xml:space="preserve">Built an internal ops tool used by 60 engineers/analysts, cutting exception-resolution time from 20 to 7 minutes.</t>
  </si>
  <si>
    <t xml:space="preserve">Shipped the exceptions dashboard's 6 core features on weekly releases, reaching 85% weekly adoption in a month; prototyped UI variants with Claude Code in hours.</t>
  </si>
  <si>
    <t xml:space="preserve">Built AI-assisted workflows (codegen, test generation, PR summaries) adopted by 8 teammates, saving ~5 hrs/week each.</t>
  </si>
  <si>
    <t xml:space="preserve">Built a CLI that replays payment events in test environments; 6 engineers on 2 teams use it, cutting bug-repro from 2 hours to 15 minutes.</t>
  </si>
  <si>
    <t xml:space="preserve">Traced a recurring dashboard timeout to an N+1 query; the fix cut error rate from 2% to 0.3% and ended weekly escalations.</t>
  </si>
  <si>
    <t xml:space="preserve">Ship daily with AI coding agents (Claude Code, Copilot); my PR throughput rose ~40% over a quarter while defect escapes stayed flat.</t>
  </si>
  <si>
    <t xml:space="preserve">Built a prompt/eval pipeline testing LLM outputs on 300 labeled cases, catching 4 regressions before release.</t>
  </si>
  <si>
    <t xml:space="preserve">Cut settlement-API p99 from 620ms to 210ms through profiling and query/caching changes.</t>
  </si>
  <si>
    <t xml:space="preserve">Built a CLI that replays payment events in test environments, cutting bug-repro from 2 hours to 15 minutes for 6 engineers.</t>
  </si>
  <si>
    <t xml:space="preserve">Added 140 integration tests and latency/error telemetry to every service I shipped, catching 9 staging regressions; AI drafted the tests, I hand-verified each.</t>
  </si>
  <si>
    <t xml:space="preserve">Built React/TypeScript features for the 60-user exceptions dashboard, reaching 85% weekly adoption within a month.</t>
  </si>
  <si>
    <t xml:space="preserve">Improved UI load time from 8s to 1.5s via query batching, pagination, and lazy loading.</t>
  </si>
  <si>
    <t xml:space="preserve">Found 3 unused views via dashboard analytics, removed them, and lifted weekly active use from 55% to 85%.</t>
  </si>
  <si>
    <t xml:space="preserve">Cut React component and test scaffolding time ~50% with Copilot/Claude Code templates; shared the prompts with 8 teammates.</t>
  </si>
  <si>
    <t xml:space="preserve">Shipped the exceptions workflow in 5 weeks after 3 usability rounds with 8 ops users; task time dropped from 20 to 7 minutes.</t>
  </si>
  <si>
    <t xml:space="preserve">Built Kafka event services at ~440 events/sec (38M/day) with sub-100ms delivery, removing hot partitions via a partition-key redesign.</t>
  </si>
  <si>
    <t xml:space="preserve">Cut posting failure rate from 1.8% to 0.3% via retry logic and better error handling.</t>
  </si>
  <si>
    <t xml:space="preserve">Owned 6 features from design to rollout; 5 hit adoption targets (avg +30% weekly use) and I rolled back the sixth within a day when error metrics spiked.</t>
  </si>
  <si>
    <t xml:space="preserve">Built anomaly checks tuned on 6 months of history that block ~120 duplicate/suspicious postings a month at under 0.5% false positives.</t>
  </si>
  <si>
    <t xml:space="preserve">Built an LLM triage script (87% on 300 labeled tickets) saving ~6 hrs/week; AI coding tools cut my feature cycle time ~30%.</t>
  </si>
  <si>
    <t xml:space="preserve">Built exception-approval workflow features for 60 ops users, automating 70% of manual steps and cutting resolution time from 20 to 7 minutes.</t>
  </si>
  <si>
    <t xml:space="preserve">Integrated 5 upstream systems via REST/Kafka with schema validation, cutting malformed-message failures from 3% to 0.2%.</t>
  </si>
  <si>
    <t xml:space="preserve">Cut exception-resolution time from 20 to 7 minutes by redesigning the workflow and adding alerts.</t>
  </si>
  <si>
    <t xml:space="preserve">Added role-based access and audit trails to 4 services, passing internal compliance review with no rework.</t>
  </si>
  <si>
    <t xml:space="preserve">Prototyped an LLM agent to extract and classify requests, hitting 87% accuracy vs. manual baseline.</t>
  </si>
  <si>
    <t xml:space="preserve">Own 4 Java/Kafka backend services in a payment platform handling 38M transactions/day at 99.95% availability: reliable systems at scale.</t>
  </si>
  <si>
    <t xml:space="preserve">Designed idempotency keys for payment retries, eliminating ~120 duplicate transactions/month.</t>
  </si>
  <si>
    <t xml:space="preserve">Cut a core API's p99 latency from 620ms to 210ms with a Redis cache and 3 rewritten SQL queries.</t>
  </si>
  <si>
    <t xml:space="preserve">Migrated 9 nightly batch jobs to Kafka event-driven services, cutting settlement time from 4 hours to 25 minutes.</t>
  </si>
  <si>
    <t xml:space="preserve">Built an LLM triage agent over frontier-model APIs for failed-payment tickets (87% on 300 labeled), with human review on low-confidence cases.</t>
  </si>
  <si>
    <t xml:space="preserve">Built a prompt/eval pipeline that blocks releases on regression across labeled cases, catching 4 before ship.</t>
  </si>
  <si>
    <t xml:space="preserve">Orchestrated multi-step LLM workflows (classify, retrieve, propose fix, escalate) with retries and dead-letter handling, lifting job success from 96.8% to 99.7%.</t>
  </si>
  <si>
    <t xml:space="preserve">Built AI-assisted workflows (codegen, tests, PR summaries) used by 8 teammates with human-review gates, saving ~5 hrs/week each.</t>
  </si>
  <si>
    <t xml:space="preserve">Ship daily with Claude Code and Copilot; my PR throughput rose ~40% over a quarter while defect escapes stayed flat.</t>
  </si>
  <si>
    <t xml:space="preserve">Built an LLM triage assistant that classifies failed jobs and proposes fixes; engineers accepted its suggestions in ~35% of cases during a 4-week pilot.</t>
  </si>
  <si>
    <t xml:space="preserve">A/B-tested prompt versions against a labeled set, lifting ticket-triage accuracy from 74% to 87%.</t>
  </si>
  <si>
    <t xml:space="preserve">Automated routine IT-style ops workflows (retries, re-queues, alerts), cutting exception-resolution time from 20 to 7 minutes.</t>
  </si>
  <si>
    <t xml:space="preserve">Compared two model sizes on 300 labeled cases and shipped the smaller one at equal accuracy, cutting inference cost ~40%.</t>
  </si>
  <si>
    <t xml:space="preserve">Built a prompt/eval harness (300 labeled cases) that blocks releases on regression, catching 4 before ship.</t>
  </si>
  <si>
    <t xml:space="preserve">Built a Python service that extracts fields from settlement PDFs with an LLM plus rule-based validation: 90% field accuracy on labeled documents.</t>
  </si>
  <si>
    <t xml:space="preserve">Built an LLM triage assistant for failed jobs with human review, accepted in ~35% of cases during a 4-week pilot.</t>
  </si>
  <si>
    <t xml:space="preserve">Built full-stack finance-ops features (React/TypeScript + Java APIs on AWS) for 60 users, reaching 85% weekly adoption in a month.</t>
  </si>
  <si>
    <t xml:space="preserve">Built React/TypeScript features for a 60-user internal dashboard, reaching 85% weekly adoption within a month.</t>
  </si>
  <si>
    <t xml:space="preserve">Prototyped natural-language querying over exception data with an LLM, scoring 87% on a held-out eval set, behind a feature flag.</t>
  </si>
  <si>
    <t xml:space="preserve">Introduced OpenAPI contracts with generated typed TypeScript clients across 3 teams, cutting integration bugs 40%.</t>
  </si>
  <si>
    <t xml:space="preserve">Built a prompt/eval pipeline that blocks releases on LLM regressions, catching 4 before ship.</t>
  </si>
  <si>
    <t xml:space="preserve">Ship daily with Claude Code and Copilot; PR throughput up ~40% in a quarter with defect escapes flat.</t>
  </si>
  <si>
    <t xml:space="preserve">Built an internal ops tool for 60 users that cut exception-resolution time from 20 to 7 minutes.</t>
  </si>
  <si>
    <t xml:space="preserve">Integrated 5 upstream systems via REST/Kafka with schema validation and retries, cutting malformed-message failures from 3% to 0.2%.</t>
  </si>
  <si>
    <t xml:space="preserve">Built React/TypeScript workflow features for the ops tool, automating 70% of manual steps.</t>
  </si>
  <si>
    <t xml:space="preserve">Wrote Python tooling and an LLM triage script (87% on 300 labeled tickets), saving ~6 hrs/week.</t>
  </si>
  <si>
    <t xml:space="preserve">Added idempotency keys for webhook-style retries, eliminating ~120 duplicate transactions/month.</t>
  </si>
  <si>
    <t xml:space="preserve">Own 4 backend Java services (Kafka, AWS) at 38M events/day and 99.95% availability.</t>
  </si>
  <si>
    <t xml:space="preserve">Built audit logging and role-based access into 6 features in a regulated environment; zero audit findings on my services.</t>
  </si>
  <si>
    <t xml:space="preserve">Built full-stack features (React/TypeScript + Java APIs) with role-based access and audit trails for a 60-user dashboard, reaching 85% weekly adoption.</t>
  </si>
  <si>
    <t xml:space="preserve">Built a prompt/agent eval harness running 300 labeled cases that blocked 4 regressions before release.</t>
  </si>
  <si>
    <t xml:space="preserve">Built a CLI that replays events in test environments, cutting bug-repro from 2 hours to 15 minutes: developer tooling for agent debugging.</t>
  </si>
  <si>
    <t xml:space="preserve">Built an LLM triage assistant that proposes fixes for failed jobs, accepted in ~35% of cases during a 4-week pilot.</t>
  </si>
  <si>
    <t xml:space="preserve">Built an LLM triage agent that retrieves similar past tickets for context, reaching 87% accuracy on 300 labeled tickets.</t>
  </si>
  <si>
    <t xml:space="preserve">Built a prompt/eval pipeline that blocks releases on regression, catching 4 before ship.</t>
  </si>
  <si>
    <t xml:space="preserve">Prototyped natural-language querying over exception data with an LLM, scoring 87% on a held-out set.</t>
  </si>
  <si>
    <t xml:space="preserve">Cut retrieval-style lookup latency, p99 620ms to 210ms, with a Redis cache and 3 rewritten queries.</t>
  </si>
  <si>
    <t xml:space="preserve">Build scalable Java/Spring Boot services on AWS (ECS, SQS) handling 38M events/day; autoscaling cut compute cost 22%.</t>
  </si>
  <si>
    <t xml:space="preserve">Containerized 4 Java services and automated CI tests, cutting build-and-deploy from 45 to 12 minutes (orchestrated on ECS).</t>
  </si>
  <si>
    <t xml:space="preserve">Built Grafana/Splunk alerting and runbooks across 4 AWS services; mean-time-to-detect fell from 25 to 6 minutes.</t>
  </si>
  <si>
    <t xml:space="preserve">Built React/TypeScript features for a 60-user dashboard on Java REST APIs, reaching 85% weekly adoption.</t>
  </si>
  <si>
    <t xml:space="preserve">Own 4 object-oriented Java/Spring Boot services in a payment platform (38M transactions/day, 99.95% availability).</t>
  </si>
  <si>
    <t xml:space="preserve">Designed a Java pipeline that normalizes 5 upstream data feeds into one schema, eliminating ~10 hrs/week of reconciliation.</t>
  </si>
  <si>
    <t xml:space="preserve">Shipped 6 features across a Java REST backend, Oracle and a React UI, lifting weekly active use from 55% to 85%.</t>
  </si>
  <si>
    <t xml:space="preserve">Built CI/CD with automated integration tests for Java services; releases went from bi-weekly to on-demand, rollbacks from 12% to 3%.</t>
  </si>
  <si>
    <t xml:space="preserve">Built exception-approval workflow features for 60 enterprise ops users, automating 70% of manual steps.</t>
  </si>
  <si>
    <t xml:space="preserve">Built React/TypeScript features against co-designed REST APIs for a 60-user dashboard; 85% weekly adoption in a month.</t>
  </si>
  <si>
    <t xml:space="preserve">Improved UI load time from 8s to 1.5s via query batching, pagination and lazy loading.</t>
  </si>
  <si>
    <t xml:space="preserve">Shipped a 0-to-1 internal ops tool for 60 users in 5 weeks, cutting exception-resolution time from 20 to 7 minutes.</t>
  </si>
  <si>
    <t xml:space="preserve">Co-designed REST APIs with OpenAPI contracts across 3 teams so the React client and backend stayed in sync, cutting integration bugs 40%.</t>
  </si>
  <si>
    <t xml:space="preserve">Prototyped an LLM natural-language query feature (87% on a held-out set) behind a flag to test product fit.</t>
  </si>
  <si>
    <t xml:space="preserve">Built React/TypeScript workflow features for 60 ops users, automating 70% of manual steps.</t>
  </si>
  <si>
    <t xml:space="preserve">Cut exception-resolution time from 20 to 7 minutes by redesigning the workflow UI and alerts, deployed on AWS.</t>
  </si>
  <si>
    <t xml:space="preserve">Owned the exceptions dashboard from design doc to production on AWS with feature flags and monitoring: zero-downtime rollout to 60 users.</t>
  </si>
  <si>
    <t xml:space="preserve">Built REST service integrations with schema validation and retries, cutting malformed-message failures from 3% to 0.2%.</t>
  </si>
  <si>
    <t xml:space="preserve">Designed REST APIs with OpenAPI contracts across 3 teams, cutting integration bugs 40%.</t>
  </si>
  <si>
    <t xml:space="preserve">Remediated 23 OWASP-class findings (injection, auth gaps) across 4 services; fixed the 5 critical ones within 48 hours.</t>
  </si>
  <si>
    <t xml:space="preserve">Built full-stack features (React/TypeScript + Java APIs) for a 60-user dashboard, reaching 85% weekly adoption in a month.</t>
  </si>
  <si>
    <t xml:space="preserve">Own 4 Java/Kafka services in a distributed payment platform at 38M transactions/day and 99.95% availability.</t>
  </si>
  <si>
    <t xml:space="preserve">Built role-based access and audit trails across 4 services to meet internal compliance requirements.</t>
  </si>
  <si>
    <t xml:space="preserve">Raised unit-test coverage on Java services from 52% to 81% in 3 weeks with AI-drafted, hand-reviewed tests.</t>
  </si>
  <si>
    <t xml:space="preserve">Packaged our AWS setup as Terraform modules adopted by 3 teams: environment setup fell from 2 days to 2 hours.</t>
  </si>
  <si>
    <t xml:space="preserve">Built Grafana/Splunk alerts and runbooks for on-call across 4 services; mean-time-to-detect fell from 25 to 6 minutes.</t>
  </si>
  <si>
    <t xml:space="preserve">Containerized 4 services on ECS with automated CI, cutting build-and-deploy from 45 to 12 minutes: container-orchestration fundamentals.</t>
  </si>
  <si>
    <t xml:space="preserve">Auto-scaled AWS services (ECS, SQS) at 38M events/day, cutting compute cost 22%.</t>
  </si>
  <si>
    <t xml:space="preserve">Remediated 23 OWASP-class security findings across 4 services; fixed the 5 critical ones within 48 hours.</t>
  </si>
  <si>
    <t xml:space="preserve">Cut p99 latency of a settlement-status API from 620ms to 210ms by profiling hot paths, caching and query rewrites.</t>
  </si>
  <si>
    <t xml:space="preserve">Designed idempotency keys for retries, eliminating ~120 duplicate transactions/month: correctness under failure.</t>
  </si>
  <si>
    <t xml:space="preserve">Built a CLI that replays recorded payment events deterministically, cutting bug-repro from 2 hours to 15 minutes.</t>
  </si>
  <si>
    <t xml:space="preserve">Wrote Python tooling for event replay and regression checks, raising test coverage from 52% to 81% in 3 weeks (AI-drafted, hand-reviewed).</t>
  </si>
  <si>
    <t xml:space="preserve">Held p99 under 210ms through 2 peak-volume spikes by pre-scaling consumers and load-testing at 2x: performance under bursty load.</t>
  </si>
  <si>
    <t xml:space="preserve">Introduced OpenAPI contracts with auto-generated typed clients across 3 teams, cutting integration bugs 40%: the contract-first backbone of a developer portal.</t>
  </si>
  <si>
    <t xml:space="preserve">Built a CLI that replays events in test environments, cutting bug-repro from 2 hours to 15 minutes for 6 engineers: developer-experience tooling.</t>
  </si>
  <si>
    <t xml:space="preserve">Wrote an onboarding guide and setup scripts for a 12-person team: first merged PR in 2 weeks instead of 5, a docs-first mindset.</t>
  </si>
  <si>
    <t xml:space="preserve">Own 4 Java services in a mission-critical payment platform (99.95% availability); led the zero-downtime Java 17 upgrade.</t>
  </si>
  <si>
    <t xml:space="preserve">Cut p99 latency of a production API from 620ms to 210ms through profiling and caching.</t>
  </si>
  <si>
    <t xml:space="preserve">Wrote replay-based regression tests that caught 9 staging regressions before release: confidence for software where failures are costly.</t>
  </si>
  <si>
    <t xml:space="preserve">Built a CLI that replays recorded events deterministically in test environments, cutting bug-repro from 2 hours to 15 minutes.</t>
  </si>
  <si>
    <t xml:space="preserve">Cut a latency-critical API's p99 from 620ms to 210ms by profiling hot paths.</t>
  </si>
  <si>
    <t xml:space="preserve">Designed idempotency keys so retries never double-process: ~120 duplicate transactions/month eliminated.</t>
  </si>
  <si>
    <t xml:space="preserve">Built an LLM triage assistant in Python (35% suggestion acceptance in a 4-week pilot) with a human fallback.</t>
  </si>
  <si>
    <t xml:space="preserve">Wrote automated integration tests and replay-based regression checks that caught 9 staging regressions before release.</t>
  </si>
  <si>
    <t xml:space="preserve">Ran 3 usability rounds with 8 ops users before launch, driving 4 workflow changes that cut support questions ~50%.</t>
  </si>
  <si>
    <t xml:space="preserve">Cut exception-resolution time from 20 to 7 minutes with a redesigned workflow UI and alerts.</t>
  </si>
  <si>
    <t xml:space="preserve">Improved UI load time from 8s to 1.5s via batching, pagination and lazy loading.</t>
  </si>
  <si>
    <t xml:space="preserve">Shipped 6 features on weekly releases behind feature flags, tracking adoption for each: ship fast, measure, iterate.</t>
  </si>
  <si>
    <t xml:space="preserve">Cut build-and-deploy time from 45 to 12 minutes by containerizing 4 services and automating CI tests: automation for fast, repeatable pipelines.</t>
  </si>
  <si>
    <t xml:space="preserve">Built a CLI that replays events in test environments, cutting bug-repro from 2 hours to 15 minutes for 6 engineers.</t>
  </si>
  <si>
    <t xml:space="preserve">Built high-volume event pipelines (Kafka, 38M events/day), cutting batch settlement from 4 hours to 25 minutes: data-heavy tooling at scale.</t>
  </si>
  <si>
    <t xml:space="preserve">Automated routine exception handling (retries, re-queues), freeing ~10 engineer-hours/week: automation that shortens feedback loops.</t>
  </si>
  <si>
    <t xml:space="preserve">Built anomaly checks on 6 months of history that flag ~120 bad records/month at under 0.5% false positives: data-quality automation.</t>
  </si>
  <si>
    <t xml:space="preserve">Migrated 9 nightly batch jobs to Kafka event-driven microservices, cutting settlement time from 4 hours to 25 minutes.</t>
  </si>
  <si>
    <t xml:space="preserve">Added SQL-backed validation rules that cut erroneous postings 60% with false rejects under 0.5%.</t>
  </si>
  <si>
    <t xml:space="preserve">Cut a Java/Spring Boot API's p99 latency from 620ms to 210ms with a Redis cache and 3 rewritten SQL queries.</t>
  </si>
  <si>
    <t xml:space="preserve">Own 4 Spring Boot microservices at 38M events/day with 99.95% availability.</t>
  </si>
  <si>
    <t xml:space="preserve">Built distributed Java services on AWS (ECS, SQS) with autoscaling that cut compute cost 22%.</t>
  </si>
  <si>
    <t xml:space="preserve">Designed idempotent, retry-safe APIs across Oracle and Redis stores, eliminating ~120 duplicate transactions/month.</t>
  </si>
  <si>
    <t xml:space="preserve">Handled 2 peak-volume spikes by pre-scaling consumers and load-testing at 2x, holding 99.95% availability: low-latency backend under bursty load.</t>
  </si>
  <si>
    <t xml:space="preserve">Cut a core API's p99 from 620ms to 210ms with caching and 3 rewritten SQL queries (indexes, query plans).</t>
  </si>
  <si>
    <t xml:space="preserve">Designed async retries with dead-letter queues, raising job success from 96.8% to 99.7%.</t>
  </si>
  <si>
    <t xml:space="preserve">Designed idempotency keys for retries, eliminating ~120 duplicate transactions/month.</t>
  </si>
  <si>
    <t xml:space="preserve">Built REST APIs with OpenAPI contracts across 3 teams, cutting integration bugs 40%.</t>
  </si>
  <si>
    <t xml:space="preserve">Built full-stack features (React/TypeScript + Java APIs) for a 60-user internal ops dashboard, delivered in 2-week cycles.</t>
  </si>
  <si>
    <t xml:space="preserve">Cut dashboard load time from 8s to 1.5s via SQL optimization and pagination over 20M-row tables.</t>
  </si>
  <si>
    <t xml:space="preserve">Designed a pipeline integrating 5 upstream data feeds into one schema, eliminating ~10 hrs/week of manual reconciliation.</t>
  </si>
  <si>
    <t xml:space="preserve">Turned a vague ops request into a scoped tool in 1 week by interviewing 6 analysts; MVP shipped next sprint, used daily by 60.</t>
  </si>
  <si>
    <t xml:space="preserve">Prototyped natural-language querying over exception data with an LLM (87% on a held-out set), shipped behind a flag.</t>
  </si>
  <si>
    <t xml:space="preserve">Prototyped natural-language querying over exception data with an LLM (87% on a held-out set) behind a flag.</t>
  </si>
  <si>
    <t xml:space="preserve">Built React/TypeScript features for a 60-user dashboard, reaching 85% weekly adoption in a month.</t>
  </si>
  <si>
    <t xml:space="preserve">Built full-stack features (React/TypeScript + Java APIs) for a 60-user dashboard used for exception monitoring.</t>
  </si>
  <si>
    <t xml:space="preserve">Prototyped natural-language querying over exception data with an LLM, 87% on a held-out eval set.</t>
  </si>
  <si>
    <t xml:space="preserve">Cut dashboard load time from 8s to 1.5s via query optimization over 20M-row tables.</t>
  </si>
  <si>
    <t xml:space="preserve">Own 4 Java/Spring Boot services in a payment platform (38M transactions/day, 99.95% availability), including on-call: end-to-end ownership.</t>
  </si>
  <si>
    <t xml:space="preserve">Cut p99 latency of a settlement-status API from 620ms to 210ms by diving into slow queries and adding a Redis cache.</t>
  </si>
  <si>
    <t xml:space="preserve">On-call for 4 services: Grafana/Splunk alerts and runbooks cut mean-time-to-detect from 25 to 6 minutes</t>
  </si>
  <si>
    <t xml:space="preserve">Raised unit-test coverage from 52% to 81% in 3 weeks with AI-drafted, hand-reviewed tests.</t>
  </si>
  <si>
    <t xml:space="preserve">Added usage analytics that found 3 unused views; removing them lifted weekly active use from 55% to 85%.</t>
  </si>
  <si>
    <t xml:space="preserve">Ran 3 usability rounds with 8 users before launch, driving 4 changes that cut support questions ~50%: discovery UX validated with real users.</t>
  </si>
  <si>
    <t xml:space="preserve">Cut a backend API's p99 from 620ms to 210ms supporting the UI, with a Redis cache and 3 rewritten queries.</t>
  </si>
  <si>
    <t xml:space="preserve">Containerized 4 services and automated CI tests, cutting build-and-deploy from 45 to 12 minutes, saving ~15 engineer-hours/month.</t>
  </si>
  <si>
    <t xml:space="preserve">Wrote an AI-assisted dev playbook for 8 teammates; PR cycle time fell from 3 days to 1.8.</t>
  </si>
  <si>
    <t xml:space="preserve">Wrote an onboarding guide and scripts for a 12-person team: first merged PR in 2 weeks instead of 5.</t>
  </si>
  <si>
    <t xml:space="preserve">Designed a pipeline normalizing 5 upstream finance data feeds into one schema, eliminating ~10 hrs/week of manual reconciliation.</t>
  </si>
  <si>
    <t xml:space="preserve">Automated routine exception handling, freeing ~10 engineer-hours/week and cutting resolution time from 20 to 7 minutes.</t>
  </si>
  <si>
    <t xml:space="preserve">Built audit logging and access controls into 6 features in a regulated environment; zero audit findings on my services.</t>
  </si>
  <si>
    <t xml:space="preserve">Own 4 Java/Spring Boot services in a payment platform (38M transactions/day, 99.95% availability), including on-call.</t>
  </si>
  <si>
    <t xml:space="preserve">Took end-to-end ownership of 4 Java/Spring Boot payment services (38M transactions/day, 99.95% availability), including on-call.</t>
  </si>
  <si>
    <t xml:space="preserve">Took ownership of a recurring duplicate-posting bug, diving into retry logic to design idempotency keys that eliminated ~120 duplicate transactions/month.</t>
  </si>
  <si>
    <t xml:space="preserve">Delivered results under deadline: migrated 9 nightly batch jobs to Kafka event-driven services, cutting settlement time from 4 hours to 25 minutes.</t>
  </si>
  <si>
    <t xml:space="preserve">Showed bias for action: containerized 4 services and automated CI tests, cutting build-and-deploy from 45 to 12 minutes.</t>
  </si>
  <si>
    <t xml:space="preserve">Simplified debugging by building a CLI that replays events in test environments, cutting bug-repro from 2 hours to 15 minutes for 6 engineers.</t>
  </si>
  <si>
    <t xml:space="preserve">Cut environment setup from 2 days to 2 hours for 3 teams by packaging our AWS setup as Terraform modules.</t>
  </si>
  <si>
    <t xml:space="preserve">Introduced OpenAPI contracts across 3 teams with generated typed clients, cutting integration bugs 40%.</t>
  </si>
  <si>
    <t xml:space="preserve">Designed a pipeline normalizing 5 upstream data feeds into one schema, eliminating ~10 hrs/week of manual reconciliation and surfacing 14 ledger mismatches.</t>
  </si>
  <si>
    <t xml:space="preserve">Raised service availability from 99.5% to 99.95% with circuit breakers, retries and load testing at 2x peak.</t>
  </si>
  <si>
    <t xml:space="preserve">Built exception-approval workflow features for the ops tool, automating 70% of manual steps.</t>
  </si>
  <si>
    <t xml:space="preserve">Wrote an onboarding guide and setup scripts for a 12-person team: first merged PR in 2 weeks instead of 5.</t>
  </si>
  <si>
    <t xml:space="preserve">Wrote an AI-assisted dev playbook for 8 teammates' internal tools; PR cycle time fell from 3 days to 1.8.</t>
  </si>
  <si>
    <t xml:space="preserve">Built an LLM triage agent for failed-payment tickets (87% on 300 labeled), with human review on low-confidence cases, saving ~6 hrs/week.</t>
  </si>
  <si>
    <t xml:space="preserve">Designed async retry + dead-letter handling that raised pipeline success from 96.8% to 99.7% on high-volume data.</t>
  </si>
  <si>
    <t xml:space="preserve">Cut a production API's p99 from 620ms to 210ms with caching and profiling.</t>
  </si>
  <si>
    <t xml:space="preserve">Refactored the settlement-status module behind a clean interface, deleting ~2K duplicated lines and halving feature lead time with zero regressions across 300 tests.</t>
  </si>
  <si>
    <t xml:space="preserve">Raised unit-test coverage from 52% to 81% in 3 weeks (AI-drafted, hand-reviewed): a quality bar for a large codebase.</t>
  </si>
  <si>
    <t xml:space="preserve">Built a CLI that replays user-flow events in test environments, cutting bug-repro from 2 hours to 15 minutes: debugging tools for large codebases.</t>
  </si>
  <si>
    <t xml:space="preserve">Improved UI load time from 8s to 1.5s via query batching, pagination and lazy loading: responsiveness users feel.</t>
  </si>
  <si>
    <t xml:space="preserve">Designed idempotency keys so flaky-network retries never double-process, eliminating ~120 duplicate transactions/month: the retry-safety mobile clients need.</t>
  </si>
  <si>
    <t xml:space="preserve">Ran 3 usability rounds with 8 users, driving 4 UX changes that cut support questions ~50%: user-centered quality for app experiences.</t>
  </si>
  <si>
    <t xml:space="preserve">Raised unit-test coverage from 52% to 81% in 3 weeks with AI-drafted, hand-reviewed tests: a quality bar for shipping app updates.</t>
  </si>
  <si>
    <t xml:space="preserve">Cut p99 latency of a core API from 620ms to 210ms with caching and rewritten queries: faster responses mean faster screens.</t>
  </si>
  <si>
    <t xml:space="preserve">Bullet text</t>
  </si>
  <si>
    <t xml:space="preserve">Concise</t>
  </si>
  <si>
    <t xml:space="preserve">Impact</t>
  </si>
  <si>
    <t xml:space="preserve">Realistic</t>
  </si>
  <si>
    <t xml:space="preserve">AI-Native</t>
  </si>
  <si>
    <t xml:space="preserve">JD Align</t>
  </si>
  <si>
    <t xml:space="preserve">Hook</t>
  </si>
  <si>
    <t xml:space="preserve">Score (/10)</t>
  </si>
  <si>
    <t xml:space="preserve">Self-critique driving this revision</t>
  </si>
  <si>
    <t xml:space="preserve">Owned 4 Java/Spring Boot microservices in JPMC's payment-authorization platform on AWS, serving 38M transactions/day at 99.95% availability.</t>
  </si>
  <si>
    <t xml:space="preserve">Baseline draft with illustrative numbers.</t>
  </si>
  <si>
    <t xml:space="preserve">No standout moment.</t>
  </si>
  <si>
    <t xml:space="preserve">Built CI/CD pipeline with automated integration tests, moving releases from bi-weekly to on-demand and dropping rollback rate from 12% to 3%.</t>
  </si>
  <si>
    <t xml:space="preserve">Built a CI/CD pipeline with automated integration tests, moving releases from bi-weekly to on-demand and cutting rollbacks from 12% to 3%.</t>
  </si>
  <si>
    <t xml:space="preserve">Dull verb; rollback stat buried.</t>
  </si>
  <si>
    <t xml:space="preserve">Tighten.</t>
  </si>
  <si>
    <t xml:space="preserve">Served on on-call rotation; built Grafana/Splunk dashboards and runbooks that cut mean-time-to-detect from 25 to 6 minutes.</t>
  </si>
  <si>
    <t xml:space="preserve">On-call for 4 services: built Grafana/Splunk alerts and runbooks that cut mean-time-to-detect from 25 to 6 minutes and halved repeat pages.</t>
  </si>
  <si>
    <t xml:space="preserve">Tool list, not outcome.</t>
  </si>
  <si>
    <t xml:space="preserve">Used GitHub Copilot and Claude Code for test generation, lifting unit-test coverage on owned services from 52% to 81% in 3 weeks.</t>
  </si>
  <si>
    <t xml:space="preserve">Lead with the outcome; human-review caveat adds credibility.</t>
  </si>
  <si>
    <t xml:space="preserve">Shipped 6 features in JPMC's payment-processing stack handling $1.2B/day with zero Sev-1 incidents after launch.</t>
  </si>
  <si>
    <t xml:space="preserve">Shipped 6 features on a payment platform processing $1.2B/day with zero Sev-1 incidents post-launch, using staged rollouts and feature flags.</t>
  </si>
  <si>
    <t xml:space="preserve">Platform-scale number reads as personal claim.</t>
  </si>
  <si>
    <t xml:space="preserve">Scale claim needs a mechanism to be credible.</t>
  </si>
  <si>
    <t xml:space="preserve">Added reconciliation checks and audit logging that caught 14 ledger mismatches before reaching customers.</t>
  </si>
  <si>
    <t xml:space="preserve">Developed and maintained Java services in a transaction pipeline processing 38M events/day.</t>
  </si>
  <si>
    <t xml:space="preserve">Duty, not achievement.</t>
  </si>
  <si>
    <t xml:space="preserve">Containerized 4 services and automated tests in CI, cutting build-and-deploy time from 45 to 12 minutes.</t>
  </si>
  <si>
    <t xml:space="preserve">Time saved is abstract; convert to team impact.</t>
  </si>
  <si>
    <t xml:space="preserve">Closed 23 security-scan findings (OWASP top-10) ahead of audit deadline, with zero re-opened.</t>
  </si>
  <si>
    <t xml:space="preserve">Remediated 23 OWASP-class scan findings (injection, auth gaps) across 4 services before the audit deadline, with zero re-opens.</t>
  </si>
  <si>
    <t xml:space="preserve">Counts findings but not what kind or scope.</t>
  </si>
  <si>
    <t xml:space="preserve">No prioritization story.</t>
  </si>
  <si>
    <t xml:space="preserve">Partnered with QA and product to deliver a settlement-reporting feature 2 sprints ahead of plan for 40 internal users.</t>
  </si>
  <si>
    <t xml:space="preserve">Delivered a settlement-reporting feature for 40 ops users 2 sprints early by cutting scope with product and automating regression with 60 tests.</t>
  </si>
  <si>
    <t xml:space="preserve">Generic 'partnered' language, no specifics.</t>
  </si>
  <si>
    <t xml:space="preserve">Shipped a settlement-reporting feature for 40 ops users 2 sprints early by cutting scope with product; 60 AI-drafted, hand-reviewed regression tests covered edge cases manual QA missed.</t>
  </si>
  <si>
    <t xml:space="preserve">Still generic; no evidence of quality or how scope was cut.</t>
  </si>
  <si>
    <t xml:space="preserve">Weakest bullet: no concrete technical decision. Swapped for a stronger story from the same fact pool.</t>
  </si>
  <si>
    <t xml:space="preserve">Used AI coding tools to accelerate refactors and docs; new teammates ramped in 2 weeks vs. 5 after my onboarding guide.</t>
  </si>
  <si>
    <t xml:space="preserve">Wrote an onboarding guide and setup scripts that got new hires to a first merged PR in 2 weeks instead of 5.</t>
  </si>
  <si>
    <t xml:space="preserve">Two ideas muddled (AI tools + onboarding); weak causal link.</t>
  </si>
  <si>
    <t xml:space="preserve">Team scope missing.</t>
  </si>
  <si>
    <t xml:space="preserve">Wrote 140 integration and data-validation tests that caught 14 bad-data cases before client-facing reports.</t>
  </si>
  <si>
    <t xml:space="preserve">Detects bugs but not business protection.</t>
  </si>
  <si>
    <t xml:space="preserve">Shipped 6 customer-impacting features end-to-end (React, REST, Oracle) in 2-week cycles at JPMC.</t>
  </si>
  <si>
    <t xml:space="preserve">Shipped 6 features end-to-end (React, REST APIs, Oracle) for the settlement-exceptions dashboard, raising weekly active use from 55% to 85%.</t>
  </si>
  <si>
    <t xml:space="preserve">Activity statement; no outcome.</t>
  </si>
  <si>
    <t xml:space="preserve">Refactored the settlement-status module, removing ~30% duplicated logic and cutting new-feature time by a third.</t>
  </si>
  <si>
    <t xml:space="preserve">Refactored the settlement-status module behind a clean interface, deleting ~2K duplicated lines and cutting new-feature lead time from 2 weeks to 1.</t>
  </si>
  <si>
    <t xml:space="preserve">Fuzzy: what changed, how much, why it matters?</t>
  </si>
  <si>
    <t xml:space="preserve">Refactored the settlement-status module behind a clean interface, deleting ~2K duplicated lines and halving feature lead time (2 weeks to 1).</t>
  </si>
  <si>
    <t xml:space="preserve">Impact phrased vaguely ('a third').</t>
  </si>
  <si>
    <t xml:space="preserve">Add proof the refactor was safe.</t>
  </si>
  <si>
    <t xml:space="preserve">Introduced OpenAPI contracts between 3 frontend and backend teams, reducing integration bugs by 40%.</t>
  </si>
  <si>
    <t xml:space="preserve">Introduced OpenAPI contracts across 3 frontend and backend teams, cutting integration bugs 40% and auto-generating typed clients.</t>
  </si>
  <si>
    <t xml:space="preserve">Missing the mechanism.</t>
  </si>
  <si>
    <t xml:space="preserve">Owned the settlement-exceptions dashboard from design doc to production, using feature flags and monitoring for a zero-downtime rollout.</t>
  </si>
  <si>
    <t xml:space="preserve">Anchor to scale.</t>
  </si>
  <si>
    <t xml:space="preserve">Shared an AI-assisted dev playbook with 8 teammates, reducing PR cycle time from 3 days to 1.8 days.</t>
  </si>
  <si>
    <t xml:space="preserve">Add the quality guardrail.</t>
  </si>
  <si>
    <t xml:space="preserve">Built distributed Java services on AWS (ECS, SQS) handling 38M events/day; autoscaling cut compute costs 22%.</t>
  </si>
  <si>
    <t xml:space="preserve">Built Grafana/Splunk observability and alerting that reduced mean-time-to-detect from 25 to 6 minutes.</t>
  </si>
  <si>
    <t xml:space="preserve">Duplicate framing of (0,3); lacks scope.</t>
  </si>
  <si>
    <t xml:space="preserve">Built an LLM agent that triages failed jobs and resolves ~35% of cases without human escalation.</t>
  </si>
  <si>
    <t xml:space="preserve">Autonomous-resolution claim is hard to defend at 1 YOE.</t>
  </si>
  <si>
    <t xml:space="preserve">Wrote Python tooling and Terraform modules adopted by 3 teams to standardize deployments.</t>
  </si>
  <si>
    <t xml:space="preserve">Wrote Terraform modules and Python deploy scripts adopted by 3 teams, cutting new-environment setup from 2 days to 2 hours.</t>
  </si>
  <si>
    <t xml:space="preserve">'Standardize' is vague; no before/after.</t>
  </si>
  <si>
    <t xml:space="preserve">Packaged our AWS setup as reusable Terraform modules adopted by 3 teams, cutting environment setup from 2 days to 2 hours and eliminating config drift.</t>
  </si>
  <si>
    <t xml:space="preserve">'Adopted by 3 teams' lacks the pain removed.</t>
  </si>
  <si>
    <t xml:space="preserve">Developed backend Java services for payment flows handling $1.2B/day across 38M transactions.</t>
  </si>
  <si>
    <t xml:space="preserve">Own 4 backend services (Java, Kafka) on a platform processing 38M transactions/day; held 99.95% availability while on call.</t>
  </si>
  <si>
    <t xml:space="preserve">$1.2B/day is platform scale, not my contribution: overclaim risk.</t>
  </si>
  <si>
    <t xml:space="preserve">Own 4 Java/Kafka services in a 38M-transactions/day platform, holding 99.95% availability through on-call and 2 peak-volume spikes.</t>
  </si>
  <si>
    <t xml:space="preserve">Duty-style; no hard moment.</t>
  </si>
  <si>
    <t xml:space="preserve">Make the hard moment the headline.</t>
  </si>
  <si>
    <t xml:space="preserve">Added validation rules that cut erroneous postings 60% while holding false-rejects below 0.5%.</t>
  </si>
  <si>
    <t xml:space="preserve">Built internal tooling automating exception handling, saving ~10 engineer-hours per week.</t>
  </si>
  <si>
    <t xml:space="preserve">Automated routine exception handling (retries, re-queues) with a rules-based service, freeing ~10 engineer-hours/week.</t>
  </si>
  <si>
    <t xml:space="preserve">'Internal tooling' is vague: what exactly was automated?</t>
  </si>
  <si>
    <t xml:space="preserve">No outcome beyond hours saved.</t>
  </si>
  <si>
    <t xml:space="preserve">Used LLM tools to generate test fixtures and summarize incidents, halving postmortem prep time.</t>
  </si>
  <si>
    <t xml:space="preserve">Halving claim unspecified; no human-review caveat.</t>
  </si>
  <si>
    <t xml:space="preserve">Translated ambiguous requirements from 3 business teams into scoped deliverables, presented results to VP-level stakeholders.</t>
  </si>
  <si>
    <t xml:space="preserve">No outcome; 'VP-level' is an unverifiable stretch for 1 YOE.</t>
  </si>
  <si>
    <t xml:space="preserve">Debugged cross-system production data issues, cutting recurring incident tickets 40%.</t>
  </si>
  <si>
    <t xml:space="preserve">Result without a cause: no story.</t>
  </si>
  <si>
    <t xml:space="preserve">Shipped 6 production features in a regulated banking environment with audit and compliance requirements built into design.</t>
  </si>
  <si>
    <t xml:space="preserve">Shipped 6 production features in a regulated bank environment, building audit logging and access controls into each design.</t>
  </si>
  <si>
    <t xml:space="preserve">Generic; no concrete evidence of regulated-domain rigor.</t>
  </si>
  <si>
    <t xml:space="preserve">Compliance rigor asserted, not shown.</t>
  </si>
  <si>
    <t xml:space="preserve">Built a document-processing pipeline handling 5K files/month with 90% extraction accuracy and full audit traceability.</t>
  </si>
  <si>
    <t xml:space="preserve">Introduced a fact outside my story (5K files/month): not defensible.</t>
  </si>
  <si>
    <t xml:space="preserve">Use AI coding agents daily, shipping PRs ~40% faster; authored team guidelines for reviewing AI-generated code.</t>
  </si>
  <si>
    <t xml:space="preserve">'~40% faster' is unmeasured-sounding.</t>
  </si>
  <si>
    <t xml:space="preserve">Worked with compliance to turn 12 policy rules into automated checks.</t>
  </si>
  <si>
    <t xml:space="preserve">Replace duty with outcome and automation angle.</t>
  </si>
  <si>
    <t xml:space="preserve">Shipped 6 features end-to-end (TypeScript/React + Java) with weekly releases.</t>
  </si>
  <si>
    <t xml:space="preserve">Shipped 6 features end-to-end on weekly releases, from React UI to Java API, each behind a feature flag with adoption tracked.</t>
  </si>
  <si>
    <t xml:space="preserve">Pure activity statement, zero outcome.</t>
  </si>
  <si>
    <t xml:space="preserve">Activity list; no outcome, no AI-native signal for an AI-first company.</t>
  </si>
  <si>
    <t xml:space="preserve">Documented and internally open-sourced a settlement-testing CLI with 6 adopters across 2 teams.</t>
  </si>
  <si>
    <t xml:space="preserve">Built a CLI that replays payment events in test environments; 6 engineers on 2 teams use it, cutting bug-repro time from ~2 hours to 15 minutes.</t>
  </si>
  <si>
    <t xml:space="preserve">Low impact; no measured benefit.</t>
  </si>
  <si>
    <t xml:space="preserve">Before/after buried.</t>
  </si>
  <si>
    <t xml:space="preserve">Fixed 15 production issues across the stack, improving dashboard error rate from 2% to 0.3%.</t>
  </si>
  <si>
    <t xml:space="preserve">List-of-fixes style; no story to ask about.</t>
  </si>
  <si>
    <t xml:space="preserve">Ship daily with AI coding agents (Claude Code, Copilot) as primary workflow; delivered ~40% more PRs per sprint.</t>
  </si>
  <si>
    <t xml:space="preserve">'~40% more PRs' sounds like vanity; no quality counterweight.</t>
  </si>
  <si>
    <t xml:space="preserve">Built a CLI for replaying payment events in test environments, used by 6 engineers.</t>
  </si>
  <si>
    <t xml:space="preserve">Lead with the result.</t>
  </si>
  <si>
    <t xml:space="preserve">Own quality end-to-end: 140 tests, telemetry, and monitored rollouts for every feature shipped.</t>
  </si>
  <si>
    <t xml:space="preserve">Added 140 integration tests and latency/error telemetry to every service I shipped, catching 9 regressions in staging before production.</t>
  </si>
  <si>
    <t xml:space="preserve">Vague claim, no outcome or evidence.</t>
  </si>
  <si>
    <t xml:space="preserve">Testing bullet with no AI-native angle for Cursor.</t>
  </si>
  <si>
    <t xml:space="preserve">Built React/TypeScript dashboard features for 60 internal users with 85% weekly adoption in the first month.</t>
  </si>
  <si>
    <t xml:space="preserve">Wordy.</t>
  </si>
  <si>
    <t xml:space="preserve">Instrumented usage funnels that informed 3 product decisions and raised task completion 18%.</t>
  </si>
  <si>
    <t xml:space="preserve">Added usage analytics to the exceptions dashboard, found 3 unused views, removed them, and lifted weekly active use from 55% to 85%.</t>
  </si>
  <si>
    <t xml:space="preserve">Product-impact claim (+18%) hard to defend for an engineer.</t>
  </si>
  <si>
    <t xml:space="preserve">Lead with the finding.</t>
  </si>
  <si>
    <t xml:space="preserve">Used AI assistants for scaffolding and test generation; shared prompt patterns with 8 teammates.</t>
  </si>
  <si>
    <t xml:space="preserve">Cut component-and-test scaffolding time ~50% with Copilot/Claude Code templates, then shared the prompt patterns with 8 teammates.</t>
  </si>
  <si>
    <t xml:space="preserve">No measurable result for the AI claim.</t>
  </si>
  <si>
    <t xml:space="preserve">Partnered with design and PM to ship the exceptions workflow from spec to launch in 5 weeks.</t>
  </si>
  <si>
    <t xml:space="preserve">Shipped the exceptions workflow in 5 weeks, running 3 usability rounds with 8 ops users alongside design and PM.</t>
  </si>
  <si>
    <t xml:space="preserve">Collaboration claim without evidence.</t>
  </si>
  <si>
    <t xml:space="preserve">No user outcome.</t>
  </si>
  <si>
    <t xml:space="preserve">Built Kafka-based event services handling ~440 events/sec (38M/day) with sub-100ms delivery.</t>
  </si>
  <si>
    <t xml:space="preserve">Throughput stated without the engineering decision.</t>
  </si>
  <si>
    <t xml:space="preserve">Shipped 6 features end-to-end in 2-week sprints, owning design, rollout, and post-launch metrics.</t>
  </si>
  <si>
    <t xml:space="preserve">Owned 6 features from design doc to rollout and tracked post-launch metrics; 5 of 6 hit their adoption targets.</t>
  </si>
  <si>
    <t xml:space="preserve">Boilerplate; same as 100 other resumes.</t>
  </si>
  <si>
    <t xml:space="preserve">Owned 6 features from design doc to rollout; 5 of 6 hit adoption targets, and I rolled back the sixth within a day after metrics showed errors.</t>
  </si>
  <si>
    <t xml:space="preserve">Boilerplate; nothing to ask about.</t>
  </si>
  <si>
    <t xml:space="preserve">Give the rollback story a number.</t>
  </si>
  <si>
    <t xml:space="preserve">Added anomaly checks blocking ~120 suspicious/duplicate postings per month.</t>
  </si>
  <si>
    <t xml:space="preserve">Added anomaly checks that block ~120 duplicate or suspicious postings per month at under 0.5% false positives.</t>
  </si>
  <si>
    <t xml:space="preserve">No accuracy guardrail.</t>
  </si>
  <si>
    <t xml:space="preserve">Show how the threshold was tuned (credibility).</t>
  </si>
  <si>
    <t xml:space="preserve">Used AI coding tools to cut feature cycle time ~30%, and an LLM script for ticket triage saving 6 hrs/week.</t>
  </si>
  <si>
    <t xml:space="preserve">Two claims crammed; AI claim buried.</t>
  </si>
  <si>
    <t xml:space="preserve">Built exception-approval workflow features used by 60 ops users, automating 70% of manual steps.</t>
  </si>
  <si>
    <t xml:space="preserve">Missing the resolution-time payoff.</t>
  </si>
  <si>
    <t xml:space="preserve">Integrated 5 upstream systems via REST/Kafka with schema validation and error handling.</t>
  </si>
  <si>
    <t xml:space="preserve">Integration count without a quality result.</t>
  </si>
  <si>
    <t xml:space="preserve">Added role-based access and audit trails across 4 services to meet internal compliance requirements.</t>
  </si>
  <si>
    <t xml:space="preserve">Add the outcome.</t>
  </si>
  <si>
    <t xml:space="preserve">Baseline: previously used bullet rescored against this posting.</t>
  </si>
  <si>
    <t xml:space="preserve">JD-first rewrite for: Plaid: reliable fintech systems at scale</t>
  </si>
  <si>
    <t xml:space="preserve">JD-first rewrite for: Traba: LLM agents via frontier-model APIs, orchestration, shipping LLM features</t>
  </si>
  <si>
    <t xml:space="preserve">JD-first rewrite for: Serval: IT-workflow agents, prompt tuning, inference pipelines</t>
  </si>
  <si>
    <t xml:space="preserve">Cut p99 on a high-traffic status API from 620ms to 210ms with caching, the pattern behind low-latency inference pipelines.</t>
  </si>
  <si>
    <t xml:space="preserve">Generic latency bullet; swapped for a model-choice story that matches inference work.</t>
  </si>
  <si>
    <t xml:space="preserve">JD-first rewrite for: LiveFlow: AI agents for accounting/finance, full stack on AWS</t>
  </si>
  <si>
    <t xml:space="preserve">JD-first rewrite for: Hilbert's AI: TypeScript/React product engineering on an agentic interface</t>
  </si>
  <si>
    <t xml:space="preserve">JD-first rewrite for: The Flex: full-stack product, internal tools, third-party integrations</t>
  </si>
  <si>
    <t xml:space="preserve">Added anomaly checks that block ~120 duplicate/suspicious postings a month at under 0.5% false positives.</t>
  </si>
  <si>
    <t xml:space="preserve">Anomaly checks don't match payment/webhook integration focus.</t>
  </si>
  <si>
    <t xml:space="preserve">JD-first rewrite for: Pivotal Health: backend-leaning full stack on an AI/ML team, regulated data</t>
  </si>
  <si>
    <t xml:space="preserve">Healthcare-style regulated context.</t>
  </si>
  <si>
    <t xml:space="preserve">JD-first rewrite for: Applied Intuition: shared agent infrastructure and AI engineering</t>
  </si>
  <si>
    <t xml:space="preserve">JD-first rewrite for: Perplexity: agents, retrieval and memory</t>
  </si>
  <si>
    <t xml:space="preserve">JD-first rewrite for: Smartsheet: scalable Java services on AWS, containers, observability</t>
  </si>
  <si>
    <t xml:space="preserve">Built Grafana/Splunk alerting that cut mean-time-to-detect from 25 to 6 minutes across 4 services.</t>
  </si>
  <si>
    <t xml:space="preserve">Tie alerting to Smartsheet's AWS/scale context.</t>
  </si>
  <si>
    <t xml:space="preserve">JD-first rewrite for: Conga: object-oriented Java, web technologies, enterprise workflows</t>
  </si>
  <si>
    <t xml:space="preserve">Introduced OpenAPI contracts across 3 teams, cutting integration bugs 40%; cloud-deployed on AWS (Azure-transferable).</t>
  </si>
  <si>
    <t xml:space="preserve">OpenAPI/Azure bullet was weak; enterprise-workflow fit is stronger.</t>
  </si>
  <si>
    <t xml:space="preserve">Built React/TypeScript features for a 60-user dashboard (85% weekly adoption in a month) against REST APIs co-designed with backend teams.</t>
  </si>
  <si>
    <t xml:space="preserve">JD-first rewrite for: Zip Co: React and API product work (stack gap: .NET/React Native)</t>
  </si>
  <si>
    <t xml:space="preserve">Introduced OpenAPI contracts with generated typed clients across 3 teams, cutting integration bugs 40%: contract-first APIs that port to .NET.</t>
  </si>
  <si>
    <t xml:space="preserve">.NET-portability claim was weak.</t>
  </si>
  <si>
    <t xml:space="preserve">JD-first rewrite for: Roo: React/TypeScript on AWS for a marketplace (gap: Node/Express)</t>
  </si>
  <si>
    <t xml:space="preserve">Usability bullet was off-theme for an API/AWS stack.</t>
  </si>
  <si>
    <t xml:space="preserve">JD-first rewrite for: CLEAR: Java/React/TypeScript on an identity platform, security, distributed systems</t>
  </si>
  <si>
    <t xml:space="preserve">JD-first rewrite for: Semgrep: AWS infrastructure, containers, on-call, security tooling</t>
  </si>
  <si>
    <t xml:space="preserve">Containerized 4 services and automated CI, cutting build-and-deploy from 45 to 12 minutes (Kubernetes-ready images on ECS).</t>
  </si>
  <si>
    <t xml:space="preserve">'Kubernetes-ready' was a stretch (credibility 6); stated what is true.</t>
  </si>
  <si>
    <t xml:space="preserve">JD-first rewrite for: Aquatic Capital: latency, correctness, Python tooling (gap: C++)</t>
  </si>
  <si>
    <t xml:space="preserve">Wrote Python tooling and tests that raised coverage from 52% to 81% in 3 weeks, AI-drafted and hand-reviewed.</t>
  </si>
  <si>
    <t xml:space="preserve">Python-tooling angle for a Python/C++ shop.</t>
  </si>
  <si>
    <t xml:space="preserve">Built anomaly checks tuned on 6 months of history that block ~120 suspicious postings/month at under 0.5% false positives.</t>
  </si>
  <si>
    <t xml:space="preserve">Reframe for bursty, latency-sensitive load.</t>
  </si>
  <si>
    <t xml:space="preserve">JD-first rewrite for: ID.me: developer portal, contract-first APIs, AI-native dev workflow</t>
  </si>
  <si>
    <t xml:space="preserve">Generic React bullet; developer-experience tooling fits a developer portal.</t>
  </si>
  <si>
    <t xml:space="preserve">Own 4 Java/Spring Boot services in a mission-critical payment platform (38M transactions/day, 99.95% availability); led the zero-downtime Java 17 upgrade.</t>
  </si>
  <si>
    <t xml:space="preserve">JD-first rewrite for: Anduril: reliable, mission-critical software (early career)</t>
  </si>
  <si>
    <t xml:space="preserve">Too long (concise 6).</t>
  </si>
  <si>
    <t xml:space="preserve">CLI bullet generic for a defense employer; replay-based testing fits 'failures are costly'.</t>
  </si>
  <si>
    <t xml:space="preserve">JD-first rewrite for: Kodiak: autonomy/AI software (gaps: C++, autonomy domain)</t>
  </si>
  <si>
    <t xml:space="preserve">JD-first rewrite for: Wonderschool: full-stack marketplace product, shipping fast (early career)</t>
  </si>
  <si>
    <t xml:space="preserve">Shipped 6 features end-to-end on weekly releases, each behind a feature flag with adoption tracked.</t>
  </si>
  <si>
    <t xml:space="preserve">Generic; add the ship-measure-iterate loop the role needs.</t>
  </si>
  <si>
    <t xml:space="preserve">JD-first rewrite for: ASM: software tooling and reliability (early career)</t>
  </si>
  <si>
    <t xml:space="preserve">Posting is semiconductor tooling: emphasize automation.</t>
  </si>
  <si>
    <t xml:space="preserve">Onboarding bullet is off-theme; swapped for high-volume data tooling.</t>
  </si>
  <si>
    <t xml:space="preserve">Coverage bullet is off-theme for tooling; swap for an automation win.</t>
  </si>
  <si>
    <t xml:space="preserve">Automated routine exception handling (retries, re-queues), freeing ~10 engineer-hours/week.</t>
  </si>
  <si>
    <t xml:space="preserve">Swapped for data-quality automation.</t>
  </si>
  <si>
    <t xml:space="preserve">JD-first rewrite for: Siren: software tooling and reliability (early career)</t>
  </si>
  <si>
    <t xml:space="preserve">JD-first rewrite for: Lendbuzz: Kafka event-driven microservices, Python, Postgres, lending/fintech</t>
  </si>
  <si>
    <t xml:space="preserve">Built full-stack features (React + REST APIs) for a 60-user dashboard, reaching 85% weekly adoption in a month.</t>
  </si>
  <si>
    <t xml:space="preserve">Full-stack bullet is off-theme for a Kafka/Postgres backend role.</t>
  </si>
  <si>
    <t xml:space="preserve">JD-first rewrite for: Peak: Java Spring Boot, relational and non-relational stores, low-latency backend (new grad)</t>
  </si>
  <si>
    <t xml:space="preserve">Containerized 4 Spring Boot services and automated CI tests, cutting build-and-deploy from 45 to 12 minutes.</t>
  </si>
  <si>
    <t xml:space="preserve">Containerization is generic; low-latency load handling matches a game backend.</t>
  </si>
  <si>
    <t xml:space="preserve">JD-first rewrite for: Hive: Node.js + Postgres backend (gap: Node)</t>
  </si>
  <si>
    <t xml:space="preserve">JD-first rewrite for: AHEAD: full-stack delivery for clients, integration and data</t>
  </si>
  <si>
    <t xml:space="preserve">JD-first rewrite for: Pattern: full-stack AI/LLM integration</t>
  </si>
  <si>
    <t xml:space="preserve">JD-first rewrite for: Institute of Foundation Models: full-stack at a foundation-model lab</t>
  </si>
  <si>
    <t xml:space="preserve">JD-first rewrite for: Amazon SWE I: ownership, dive deep, operational excellence</t>
  </si>
  <si>
    <t xml:space="preserve">JD-first rewrite for: Amazon SWE I, Discovery: customer-facing UI and search-style performance</t>
  </si>
  <si>
    <t xml:space="preserve">Ran 3 usability rounds with 8 users before launch, driving 4 changes that cut support questions ~50%.</t>
  </si>
  <si>
    <t xml:space="preserve">Tie to discovery UX.</t>
  </si>
  <si>
    <t xml:space="preserve">JD-first rewrite for: Amazon SWE I, Builder: developer tooling and productivity</t>
  </si>
  <si>
    <t xml:space="preserve">JD-first rewrite for: Amazon SDE I, FinOps FP&amp;A: finance technology</t>
  </si>
  <si>
    <t xml:space="preserve">JD-first rewrite for: Amazon SDE I: backend ownership and scale</t>
  </si>
  <si>
    <t xml:space="preserve">JD-first rewrite for: Amazon SDE I: operational excellence</t>
  </si>
  <si>
    <t xml:space="preserve">Amazon wording: ownership.</t>
  </si>
  <si>
    <t xml:space="preserve">Amazon wording: ownership and dive deep.</t>
  </si>
  <si>
    <t xml:space="preserve">Amazon wording: deliver results.</t>
  </si>
  <si>
    <t xml:space="preserve">JD-first rewrite for: Amazon SDE Early Career: breadth across the stack</t>
  </si>
  <si>
    <t xml:space="preserve">Amazon wording: bias for action.</t>
  </si>
  <si>
    <t xml:space="preserve">Amazon wording: invent and simplify.</t>
  </si>
  <si>
    <t xml:space="preserve">Amazon wording: frugality.</t>
  </si>
  <si>
    <t xml:space="preserve">JD-first rewrite for: Google SWE II, Full Stack (Core): full-stack impact at scale</t>
  </si>
  <si>
    <t xml:space="preserve">Make data-quality angle explicit for a core full-stack team.</t>
  </si>
  <si>
    <t xml:space="preserve">JD-first rewrite for: Google SWE II, Site Reliability: SLOs, automation, incident response</t>
  </si>
  <si>
    <t xml:space="preserve">JD-first rewrite for: Google SWE II, Corp Eng: internal tools for employees</t>
  </si>
  <si>
    <t xml:space="preserve">JD-first rewrite for: Google SWE II, Safe Search: abuse detection and ML-adjacent quality</t>
  </si>
  <si>
    <t xml:space="preserve">p99 bullet scored JD 7 for an ML-quality team; AI workflow fits better.</t>
  </si>
  <si>
    <t xml:space="preserve">JD-first rewrite for: Google SWE II, Geo: large-scale data pipelines</t>
  </si>
  <si>
    <t xml:space="preserve">JD-first rewrite for: Google SWE II, Chrome: performance and code health (gap: C++)</t>
  </si>
  <si>
    <t xml:space="preserve">Add safety proof for a large codebase.</t>
  </si>
  <si>
    <t xml:space="preserve">Tie coverage to a quality bar.</t>
  </si>
  <si>
    <t xml:space="preserve">CLI had no codebase-scale angle.</t>
  </si>
  <si>
    <t xml:space="preserve">JD-first rewrite for: Google SWE II, Android: performance and quality (gap: Android/Kotlin)</t>
  </si>
  <si>
    <t xml:space="preserve">Android gap: tie performance to what users feel on a phone.</t>
  </si>
  <si>
    <t xml:space="preserve">JD fit was 5; link retry-safety to flaky mobile networks.</t>
  </si>
  <si>
    <t xml:space="preserve">Refactored a core module behind a clean interface, deleting ~2K duplicated lines and halving feature lead time: the maintainability large app codebases need.</t>
  </si>
  <si>
    <t xml:space="preserve">Name the maintainability link to a large client codebase.</t>
  </si>
  <si>
    <t xml:space="preserve">Refactor bullet scored JD 7; UX quality is what an app role screens for.</t>
  </si>
  <si>
    <t xml:space="preserve">Add quality-bar framing.</t>
  </si>
  <si>
    <t xml:space="preserve">CLI bullet had no Android relevance (JD 5); swapped for a latency story.</t>
  </si>
  <si>
    <t xml:space="preserve">After R0</t>
  </si>
  <si>
    <t xml:space="preserve">After R1</t>
  </si>
  <si>
    <t xml:space="preserve">After R2</t>
  </si>
  <si>
    <t xml:space="preserve">After R3</t>
  </si>
  <si>
    <t xml:space="preserve">Fact used across all bullets</t>
  </si>
  <si>
    <t xml:space="preserve">Illustrative value (placeholder I chose)</t>
  </si>
  <si>
    <t xml:space="preserve">YOUR REAL VALUE (fill in)</t>
  </si>
  <si>
    <t xml:space="preserve">Used in</t>
  </si>
  <si>
    <t xml:space="preserve">Platform &amp; stack</t>
  </si>
  <si>
    <t xml:space="preserve">Payment authorization/settlement; Java 17, Spring Boot, Kafka, Oracle, AWS (ECS, SQS)</t>
  </si>
  <si>
    <t xml:space="preserve">All</t>
  </si>
  <si>
    <t xml:space="preserve">Daily volume (your platform)</t>
  </si>
  <si>
    <t xml:space="preserve">38M transactions/day</t>
  </si>
  <si>
    <t xml:space="preserve">Amazon, Mastercard, Affirm, Rescale, Whatnot</t>
  </si>
  <si>
    <t xml:space="preserve">Dollar volume (platform-wide)</t>
  </si>
  <si>
    <t xml:space="preserve">$1.2B/day (platform, NOT personal)</t>
  </si>
  <si>
    <t xml:space="preserve">Amazon Payments, Affirm</t>
  </si>
  <si>
    <t xml:space="preserve">Services you own</t>
  </si>
  <si>
    <t xml:space="preserve">4 backend services</t>
  </si>
  <si>
    <t xml:space="preserve">Amazon, Mastercard, Affirm</t>
  </si>
  <si>
    <t xml:space="preserve">Availability</t>
  </si>
  <si>
    <t xml:space="preserve">99.95%</t>
  </si>
  <si>
    <t xml:space="preserve">Settlement-status API p99</t>
  </si>
  <si>
    <t xml:space="preserve">620ms -&gt; 210ms (Redis cache + 3 Oracle queries)</t>
  </si>
  <si>
    <t xml:space="preserve">Amazon Twitch, Cursor</t>
  </si>
  <si>
    <t xml:space="preserve">Release process</t>
  </si>
  <si>
    <t xml:space="preserve">Bi-weekly -&gt; on-demand; rollbacks 12% -&gt; 3%</t>
  </si>
  <si>
    <t xml:space="preserve">Amazon Twitch</t>
  </si>
  <si>
    <t xml:space="preserve">Mean-time-to-detect</t>
  </si>
  <si>
    <t xml:space="preserve">25 -&gt; 6 minutes</t>
  </si>
  <si>
    <t xml:space="preserve">Amazon Twitch, Rescale</t>
  </si>
  <si>
    <t xml:space="preserve">Unit-test coverage</t>
  </si>
  <si>
    <t xml:space="preserve">52% -&gt; 81% in 3 weeks (AI-assisted, hand-reviewed)</t>
  </si>
  <si>
    <t xml:space="preserve">Idempotency fix</t>
  </si>
  <si>
    <t xml:space="preserve">~120 duplicate transactions/month eliminated</t>
  </si>
  <si>
    <t xml:space="preserve">Amazon Payments, Whatnot</t>
  </si>
  <si>
    <t xml:space="preserve">Batch -&gt; Kafka migration</t>
  </si>
  <si>
    <t xml:space="preserve">9 nightly jobs; settlement time 4h -&gt; 25 min</t>
  </si>
  <si>
    <t xml:space="preserve">Amazon Payments</t>
  </si>
  <si>
    <t xml:space="preserve">Reconciliation checks</t>
  </si>
  <si>
    <t xml:space="preserve">14 ledger mismatches caught</t>
  </si>
  <si>
    <t xml:space="preserve">Amazon Payments, Addepar</t>
  </si>
  <si>
    <t xml:space="preserve">LLM ticket-triage prototype</t>
  </si>
  <si>
    <t xml:space="preserve">87% accuracy on 300 labeled tickets; saves ~6 hrs/week</t>
  </si>
  <si>
    <t xml:space="preserve">Amazon Payments, Addepar, Palantir, Harvey, Cursor, Whatnot, Zip</t>
  </si>
  <si>
    <t xml:space="preserve">Exceptions dashboard</t>
  </si>
  <si>
    <t xml:space="preserve">React/TS + Java, 60 users, 55% -&gt; 85% weekly use, load 8s -&gt; 1.5s, resolution 20 -&gt; 7 min</t>
  </si>
  <si>
    <t xml:space="preserve">Addepar, Palantir, Replit, Notion, Zip</t>
  </si>
  <si>
    <t xml:space="preserve">Security remediation</t>
  </si>
  <si>
    <t xml:space="preserve">23 OWASP-class findings, 4 services, 5 critical fixed in 48h</t>
  </si>
  <si>
    <t xml:space="preserve">Container/CI work</t>
  </si>
  <si>
    <t xml:space="preserve">Build+deploy 45 -&gt; 12 min; ~15 eng-hrs/month saved</t>
  </si>
  <si>
    <t xml:space="preserve">Onboarding guide</t>
  </si>
  <si>
    <t xml:space="preserve">12-person team; first PR in 2 weeks vs. 5</t>
  </si>
  <si>
    <t xml:space="preserve">AI dev playbook</t>
  </si>
  <si>
    <t xml:space="preserve">8 teammates; PR cycle 3 days -&gt; 1.8</t>
  </si>
  <si>
    <t xml:space="preserve">Addepar, Harvey, Cursor, Replit, Notion</t>
  </si>
  <si>
    <t xml:space="preserve">Terraform modules</t>
  </si>
  <si>
    <t xml:space="preserve">3 teams; env setup 2 days -&gt; 2 hours</t>
  </si>
  <si>
    <t xml:space="preserve">Compliance automation</t>
  </si>
  <si>
    <t xml:space="preserve">12 policy rules -&gt; pre-merge checks; saves 3 hrs/week</t>
  </si>
  <si>
    <t xml:space="preserve">ADDED during JD tailoring (all illustrative)</t>
  </si>
  <si>
    <t xml:space="preserve">LLM triage assistant for failed jobs: 35% suggestion acceptance in a 4-week pilot; prompt A/B 74% -&gt; 87%; two model sizes compared, smaller shipped at equal accuracy (-40% inference cost); triage agent retrieves similar past tickets</t>
  </si>
  <si>
    <t xml:space="preserve">Traba, Serval, LiveFlow, Applied Intuition, Perplexity, Kodiak</t>
  </si>
  <si>
    <t xml:space="preserve">ADDED: Python PDF extraction</t>
  </si>
  <si>
    <t xml:space="preserve">LLM + rule-based field extraction from settlement PDFs, 90% field accuracy on labeled documents</t>
  </si>
  <si>
    <t xml:space="preserve">LiveFlow, Pivotal Health, Pattern</t>
  </si>
  <si>
    <t xml:space="preserve">ADDED: UX and usability</t>
  </si>
  <si>
    <t xml:space="preserve">3 usability rounds with 8 users -&gt; 4 changes, support questions -~50%; analytics found 3 unused views</t>
  </si>
  <si>
    <t xml:space="preserve">Roo, Wonderschool, Amazon Discovery, Android</t>
  </si>
  <si>
    <t xml:space="preserve">ADDED: reliability extras</t>
  </si>
  <si>
    <t xml:space="preserve">Java 17 zero-downtime upgrade; 2 peak-volume spikes handled via pre-scaling consumers and 2x load tests; replay-based regression tests caught 9 staging regressions; month-end queries 90s -&gt; 8s with materialized views (40 users)</t>
  </si>
  <si>
    <t xml:space="preserve">Anduril, Peak, Aquatic, Kodiak, Amazon FinOps</t>
  </si>
  <si>
    <t xml:space="preserve">Other (see bullets)</t>
  </si>
  <si>
    <t xml:space="preserve">OpenAPI contracts, CLI replay tool, anomaly checks, N+1 fix, timezone bug</t>
  </si>
  <si>
    <t xml:space="preserve">Various</t>
  </si>
  <si>
    <t xml:space="preserve">WARNING: every number in this workbook is an ILLUSTRATIVE placeholder I invented so you could see what strong bullets look like. I do not know your real results. Replace each with your true figure before sending anything to an employer; invented metrics on a resume are a fast way to fail a phone screen or a background check. If a fact has no real equivalent, drop or reword that bullet.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</si>
</sst>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%"/>
    <numFmt numFmtId="167" formatCode="\+0.00;\-0.00;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mazon.jobs/en/jobs/3141336/software-engineer-i" TargetMode="External"/><Relationship Id="rId2" Type="http://schemas.openxmlformats.org/officeDocument/2006/relationships/hyperlink" Target="https://www.amazon.jobs/en/jobs/10502486/software-engineer-i-payments" TargetMode="External"/><Relationship Id="rId3" Type="http://schemas.openxmlformats.org/officeDocument/2006/relationships/hyperlink" Target="https://careers.mastercard.com/us/en/job/R-292618/Software-Engineer-I" TargetMode="External"/><Relationship Id="rId4" Type="http://schemas.openxmlformats.org/officeDocument/2006/relationships/hyperlink" Target="https://job-boards.greenhouse.io/addepar1/jobs/8538666002" TargetMode="External"/><Relationship Id="rId5" Type="http://schemas.openxmlformats.org/officeDocument/2006/relationships/hyperlink" Target="https://job-boards.greenhouse.io/addepar1/jobs/8606946002" TargetMode="External"/><Relationship Id="rId6" Type="http://schemas.openxmlformats.org/officeDocument/2006/relationships/hyperlink" Target="https://jobs.ashbyhq.com/rescale/fdba3410-d255-4879-9a6e-bed488b4a1fc" TargetMode="External"/><Relationship Id="rId7" Type="http://schemas.openxmlformats.org/officeDocument/2006/relationships/hyperlink" Target="https://job-boards.greenhouse.io/affirm/jobs/8008649003" TargetMode="External"/><Relationship Id="rId8" Type="http://schemas.openxmlformats.org/officeDocument/2006/relationships/hyperlink" Target="https://jobs.lever.co/palantir/e500bcf3-19d8-4d3c-b340-4d76e4a55b40" TargetMode="External"/><Relationship Id="rId9" Type="http://schemas.openxmlformats.org/officeDocument/2006/relationships/hyperlink" Target="https://jobs.ashbyhq.com/harvey/4d8dc9ba-eb86-4d88-af7d-65d2fdaf3fdc" TargetMode="External"/><Relationship Id="rId10" Type="http://schemas.openxmlformats.org/officeDocument/2006/relationships/hyperlink" Target="https://jobs.ashbyhq.com/replit/b5e81eae-06f9-4798-8988-2d06ca936dbc" TargetMode="External"/><Relationship Id="rId11" Type="http://schemas.openxmlformats.org/officeDocument/2006/relationships/hyperlink" Target="https://jobs.ashbyhq.com/cursor/d0e5b41d-84ab-4887-bd3a-55589b11dd7b" TargetMode="External"/><Relationship Id="rId12" Type="http://schemas.openxmlformats.org/officeDocument/2006/relationships/hyperlink" Target="https://jobs.ashbyhq.com/notion/e32799d2-8ef8-4803-8189-c72514afa816" TargetMode="External"/><Relationship Id="rId13" Type="http://schemas.openxmlformats.org/officeDocument/2006/relationships/hyperlink" Target="https://jobs.ashbyhq.com/whatnot/29bad846-de60-4be7-a222-69b97e044930" TargetMode="External"/><Relationship Id="rId14" Type="http://schemas.openxmlformats.org/officeDocument/2006/relationships/hyperlink" Target="https://jobs.ashbyhq.com/zip/df6eb1ee-b360-46fe-b23f-658626ec59ea/application" TargetMode="External"/><Relationship Id="rId15" Type="http://schemas.openxmlformats.org/officeDocument/2006/relationships/hyperlink" Target="https://jobs.ashbyhq.com/plaid/5c5d4414-347c-4caa-be88-384dec2d074b" TargetMode="External"/><Relationship Id="rId16" Type="http://schemas.openxmlformats.org/officeDocument/2006/relationships/hyperlink" Target="https://jobs.ashbyhq.com/traba/e1761ab2-21f1-46d6-8c69-9b4a73d9430f" TargetMode="External"/><Relationship Id="rId17" Type="http://schemas.openxmlformats.org/officeDocument/2006/relationships/hyperlink" Target="https://jobs.ashbyhq.com/serval/2bfaede4-22b2-43b2-a14c-f45e5f398624" TargetMode="External"/><Relationship Id="rId18" Type="http://schemas.openxmlformats.org/officeDocument/2006/relationships/hyperlink" Target="https://jobs.ashbyhq.com/liveflow/e1ba2bad-030a-4bc2-9bbd-f1375f712a57" TargetMode="External"/><Relationship Id="rId19" Type="http://schemas.openxmlformats.org/officeDocument/2006/relationships/hyperlink" Target="https://jobs.ashbyhq.com/hilberts/989d547f-1f23-43b9-b8e8-c8771d7d4286" TargetMode="External"/><Relationship Id="rId20" Type="http://schemas.openxmlformats.org/officeDocument/2006/relationships/hyperlink" Target="https://jobs.ashbyhq.com/The-Flex/82eafc9b-c4c0-4310-8b9d-9f5410ff0d53" TargetMode="External"/><Relationship Id="rId21" Type="http://schemas.openxmlformats.org/officeDocument/2006/relationships/hyperlink" Target="https://jobs.ashbyhq.com/pivotal-health/74f89bd9-30ca-4cf9-ab50-e0f1d2af2431" TargetMode="External"/><Relationship Id="rId22" Type="http://schemas.openxmlformats.org/officeDocument/2006/relationships/hyperlink" Target="https://jobs.ashbyhq.com/applied/981054d6-d6d9-4553-9db8-38e56939d3b8" TargetMode="External"/><Relationship Id="rId23" Type="http://schemas.openxmlformats.org/officeDocument/2006/relationships/hyperlink" Target="https://jobs.ashbyhq.com/perplexity/3c656963-876a-458d-bca6-916a42a24c1a" TargetMode="External"/><Relationship Id="rId24" Type="http://schemas.openxmlformats.org/officeDocument/2006/relationships/hyperlink" Target="https://job-boards.greenhouse.io/smartsheet/jobs/8097667" TargetMode="External"/><Relationship Id="rId25" Type="http://schemas.openxmlformats.org/officeDocument/2006/relationships/hyperlink" Target="https://job-boards.greenhouse.io/conga/jobs/5116390007" TargetMode="External"/><Relationship Id="rId26" Type="http://schemas.openxmlformats.org/officeDocument/2006/relationships/hyperlink" Target="https://job-boards.greenhouse.io/zipcolimited/jobs/4564108006" TargetMode="External"/><Relationship Id="rId27" Type="http://schemas.openxmlformats.org/officeDocument/2006/relationships/hyperlink" Target="https://job-boards.greenhouse.io/roo/jobs/5373552008" TargetMode="External"/><Relationship Id="rId28" Type="http://schemas.openxmlformats.org/officeDocument/2006/relationships/hyperlink" Target="https://job-boards.greenhouse.io/clear/jobs/8241829" TargetMode="External"/><Relationship Id="rId29" Type="http://schemas.openxmlformats.org/officeDocument/2006/relationships/hyperlink" Target="https://job-boards.greenhouse.io/semgrep/jobs/4969529007" TargetMode="External"/><Relationship Id="rId30" Type="http://schemas.openxmlformats.org/officeDocument/2006/relationships/hyperlink" Target="https://job-boards.greenhouse.io/aquaticcapitalmanagement/jobs/8489226002" TargetMode="External"/><Relationship Id="rId31" Type="http://schemas.openxmlformats.org/officeDocument/2006/relationships/hyperlink" Target="https://job-boards.greenhouse.io/idme/jobs/8011089003" TargetMode="External"/><Relationship Id="rId32" Type="http://schemas.openxmlformats.org/officeDocument/2006/relationships/hyperlink" Target="https://job-boards.greenhouse.io/andurilindustries/jobs/4802146007" TargetMode="External"/><Relationship Id="rId33" Type="http://schemas.openxmlformats.org/officeDocument/2006/relationships/hyperlink" Target="https://job-boards.greenhouse.io/kodiak/jobs/4028715009" TargetMode="External"/><Relationship Id="rId34" Type="http://schemas.openxmlformats.org/officeDocument/2006/relationships/hyperlink" Target="https://job-boards.greenhouse.io/wonderschool/jobs/6359139003" TargetMode="External"/><Relationship Id="rId35" Type="http://schemas.openxmlformats.org/officeDocument/2006/relationships/hyperlink" Target="https://job-boards.greenhouse.io/asm/jobs/4876722101" TargetMode="External"/><Relationship Id="rId36" Type="http://schemas.openxmlformats.org/officeDocument/2006/relationships/hyperlink" Target="https://job-boards.greenhouse.io/sirenopt/jobs/4452002009" TargetMode="External"/><Relationship Id="rId37" Type="http://schemas.openxmlformats.org/officeDocument/2006/relationships/hyperlink" Target="https://jobs.lever.co/lendbuzz/93c0a50a-f9a6-40a1-a97f-b39d8f1b6656" TargetMode="External"/><Relationship Id="rId38" Type="http://schemas.openxmlformats.org/officeDocument/2006/relationships/hyperlink" Target="https://jobs.lever.co/peakgames/cfaf2251-1472-4e73-b0a3-e3e88df7aa91" TargetMode="External"/><Relationship Id="rId39" Type="http://schemas.openxmlformats.org/officeDocument/2006/relationships/hyperlink" Target="https://jobs.lever.co/hive/9461e715-9e58-4414-bc9b-13e449f92b08" TargetMode="External"/><Relationship Id="rId40" Type="http://schemas.openxmlformats.org/officeDocument/2006/relationships/hyperlink" Target="https://jobs.lever.co/thinkahead/a060eb0f-efc2-4b36-8363-049c657df49c" TargetMode="External"/><Relationship Id="rId41" Type="http://schemas.openxmlformats.org/officeDocument/2006/relationships/hyperlink" Target="https://jobs.lever.co/pattern/62a5df2a-4387-416b-a6e2-639579c9b7ad" TargetMode="External"/><Relationship Id="rId42" Type="http://schemas.openxmlformats.org/officeDocument/2006/relationships/hyperlink" Target="https://jobs.lever.co/ifm-us/1454349c-eb2b-480b-9a57-edfbb2aeeffe" TargetMode="External"/><Relationship Id="rId43" Type="http://schemas.openxmlformats.org/officeDocument/2006/relationships/hyperlink" Target="https://www.amazon.jobs/en/jobs/10573768/software-engineer-i" TargetMode="External"/><Relationship Id="rId44" Type="http://schemas.openxmlformats.org/officeDocument/2006/relationships/hyperlink" Target="https://www.amazon.jobs/en/jobs/10468973/software-engineer-i-discovery" TargetMode="External"/><Relationship Id="rId45" Type="http://schemas.openxmlformats.org/officeDocument/2006/relationships/hyperlink" Target="https://www.amazon.jobs/en/jobs/3154041/software-engineer-i-builder" TargetMode="External"/><Relationship Id="rId46" Type="http://schemas.openxmlformats.org/officeDocument/2006/relationships/hyperlink" Target="https://www.amazon.jobs/en/jobs/10432823/software-development-engineer-i-finops-fp-a" TargetMode="External"/><Relationship Id="rId47" Type="http://schemas.openxmlformats.org/officeDocument/2006/relationships/hyperlink" Target="https://www.amazon.jobs/en/jobs/10580014/software-development-engineer-i" TargetMode="External"/><Relationship Id="rId48" Type="http://schemas.openxmlformats.org/officeDocument/2006/relationships/hyperlink" Target="https://www.amazon.jobs/en/jobs/10406482/software-dev-engineer-i" TargetMode="External"/><Relationship Id="rId49" Type="http://schemas.openxmlformats.org/officeDocument/2006/relationships/hyperlink" Target="https://www.amazon.jobs/en/jobs/10529830/software-development-engineer-early-career" TargetMode="External"/><Relationship Id="rId50" Type="http://schemas.openxmlformats.org/officeDocument/2006/relationships/hyperlink" Target="https://www.google.com/about/careers/applications/jobs/results/133251589958705862-software-engineer-ii" TargetMode="External"/><Relationship Id="rId51" Type="http://schemas.openxmlformats.org/officeDocument/2006/relationships/hyperlink" Target="https://www.google.com/about/careers/applications/jobs/results/78230576405848774-software-engineer-ii/" TargetMode="External"/><Relationship Id="rId52" Type="http://schemas.openxmlformats.org/officeDocument/2006/relationships/hyperlink" Target="https://www.google.com/about/careers/applications/jobs/results/138674961899233990-software-engineer-ii-corp-eng" TargetMode="External"/><Relationship Id="rId53" Type="http://schemas.openxmlformats.org/officeDocument/2006/relationships/hyperlink" Target="https://www.google.com/about/careers/applications/jobs/results/106165773843473094-software-engineer-ii/" TargetMode="External"/><Relationship Id="rId54" Type="http://schemas.openxmlformats.org/officeDocument/2006/relationships/hyperlink" Target="https://www.google.com/about/careers/applications/jobs/results/92367747647709894-software-engineer-ii/" TargetMode="External"/><Relationship Id="rId55" Type="http://schemas.openxmlformats.org/officeDocument/2006/relationships/hyperlink" Target="https://careers.google.com/jobs/results/106279833142469318-software-engineer-ii/" TargetMode="External"/><Relationship Id="rId56" Type="http://schemas.openxmlformats.org/officeDocument/2006/relationships/hyperlink" Target="https://www.google.com/about/careers/applications/jobs/results/77784007952999110-software-engineer-ii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05"/>
    <col collapsed="false" customWidth="true" hidden="false" outlineLevel="0" max="6" min="5" style="0" width="11"/>
    <col collapsed="false" customWidth="true" hidden="false" outlineLevel="0" max="7" min="7" style="0" width="42"/>
    <col collapsed="false" customWidth="true" hidden="false" outlineLevel="0" max="8" min="8" style="0" width="22"/>
    <col collapsed="false" customWidth="true" hidden="false" outlineLevel="0" max="9" min="9" style="0" width="4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89.75" hidden="false" customHeight="true" outlineLevel="0" collapsed="false">
      <c r="A2" s="2" t="s">
        <v>9</v>
      </c>
      <c r="B2" s="2" t="s">
        <v>10</v>
      </c>
      <c r="C2" s="3" t="s">
        <v>11</v>
      </c>
      <c r="D2" s="2" t="s">
        <v>12</v>
      </c>
      <c r="E2" s="4" t="n">
        <f aca="false">AVERAGEIFS('Validation (Final)'!$L$2:$L$281,'Validation (Final)'!$A$2:$A$281,A2,'Validation (Final)'!$B$2:$B$281,B2)</f>
        <v>7.41</v>
      </c>
      <c r="F2" s="4" t="n">
        <f aca="false">AVERAGEIFS('Validation (Final)'!$M$2:$M$281,'Validation (Final)'!$A$2:$A$281,A2,'Validation (Final)'!$B$2:$B$281,B2)</f>
        <v>7.23</v>
      </c>
      <c r="G2" s="2" t="s">
        <v>13</v>
      </c>
      <c r="H2" s="2" t="s">
        <v>14</v>
      </c>
      <c r="I2" s="2" t="s">
        <v>15</v>
      </c>
    </row>
    <row r="3" customFormat="false" ht="189.75" hidden="false" customHeight="true" outlineLevel="0" collapsed="false">
      <c r="A3" s="2" t="s">
        <v>16</v>
      </c>
      <c r="B3" s="2" t="s">
        <v>17</v>
      </c>
      <c r="C3" s="3" t="s">
        <v>18</v>
      </c>
      <c r="D3" s="2" t="s">
        <v>19</v>
      </c>
      <c r="E3" s="4" t="n">
        <f aca="false">AVERAGEIFS('Validation (Final)'!$L$2:$L$281,'Validation (Final)'!$A$2:$A$281,A3,'Validation (Final)'!$B$2:$B$281,B3)</f>
        <v>7.81</v>
      </c>
      <c r="F3" s="4" t="n">
        <f aca="false">AVERAGEIFS('Validation (Final)'!$M$2:$M$281,'Validation (Final)'!$A$2:$A$281,A3,'Validation (Final)'!$B$2:$B$281,B3)</f>
        <v>7.52</v>
      </c>
      <c r="G3" s="2" t="s">
        <v>20</v>
      </c>
      <c r="H3" s="2" t="s">
        <v>14</v>
      </c>
      <c r="I3" s="2" t="s">
        <v>15</v>
      </c>
    </row>
    <row r="4" customFormat="false" ht="189.75" hidden="false" customHeight="true" outlineLevel="0" collapsed="false">
      <c r="A4" s="2" t="s">
        <v>21</v>
      </c>
      <c r="B4" s="2" t="s">
        <v>22</v>
      </c>
      <c r="C4" s="3" t="s">
        <v>23</v>
      </c>
      <c r="D4" s="2" t="s">
        <v>24</v>
      </c>
      <c r="E4" s="4" t="n">
        <f aca="false">AVERAGEIFS('Validation (Final)'!$L$2:$L$281,'Validation (Final)'!$A$2:$A$281,A4,'Validation (Final)'!$B$2:$B$281,B4)</f>
        <v>7.3</v>
      </c>
      <c r="F4" s="4" t="n">
        <f aca="false">AVERAGEIFS('Validation (Final)'!$M$2:$M$281,'Validation (Final)'!$A$2:$A$281,A4,'Validation (Final)'!$B$2:$B$281,B4)</f>
        <v>6.47</v>
      </c>
      <c r="G4" s="2" t="s">
        <v>25</v>
      </c>
      <c r="H4" s="2" t="s">
        <v>14</v>
      </c>
      <c r="I4" s="2" t="s">
        <v>15</v>
      </c>
    </row>
    <row r="5" customFormat="false" ht="189.75" hidden="false" customHeight="true" outlineLevel="0" collapsed="false">
      <c r="A5" s="2" t="s">
        <v>26</v>
      </c>
      <c r="B5" s="2" t="s">
        <v>27</v>
      </c>
      <c r="C5" s="3" t="s">
        <v>28</v>
      </c>
      <c r="D5" s="2" t="s">
        <v>29</v>
      </c>
      <c r="E5" s="4" t="n">
        <f aca="false">AVERAGEIFS('Validation (Final)'!$L$2:$L$281,'Validation (Final)'!$A$2:$A$281,A5,'Validation (Final)'!$B$2:$B$281,B5)</f>
        <v>7.89</v>
      </c>
      <c r="F5" s="4" t="n">
        <f aca="false">AVERAGEIFS('Validation (Final)'!$M$2:$M$281,'Validation (Final)'!$A$2:$A$281,A5,'Validation (Final)'!$B$2:$B$281,B5)</f>
        <v>7.86</v>
      </c>
      <c r="G5" s="2" t="s">
        <v>30</v>
      </c>
      <c r="H5" s="2" t="s">
        <v>14</v>
      </c>
      <c r="I5" s="2" t="s">
        <v>15</v>
      </c>
    </row>
    <row r="6" customFormat="false" ht="189.75" hidden="false" customHeight="true" outlineLevel="0" collapsed="false">
      <c r="A6" s="2" t="s">
        <v>26</v>
      </c>
      <c r="B6" s="2" t="s">
        <v>31</v>
      </c>
      <c r="C6" s="3" t="s">
        <v>32</v>
      </c>
      <c r="D6" s="2" t="s">
        <v>33</v>
      </c>
      <c r="E6" s="4" t="n">
        <f aca="false">AVERAGEIFS('Validation (Final)'!$L$2:$L$281,'Validation (Final)'!$A$2:$A$281,A6,'Validation (Final)'!$B$2:$B$281,B6)</f>
        <v>7.36</v>
      </c>
      <c r="F6" s="4" t="n">
        <f aca="false">AVERAGEIFS('Validation (Final)'!$M$2:$M$281,'Validation (Final)'!$A$2:$A$281,A6,'Validation (Final)'!$B$2:$B$281,B6)</f>
        <v>6.79</v>
      </c>
      <c r="G6" s="2" t="s">
        <v>34</v>
      </c>
      <c r="H6" s="2" t="s">
        <v>14</v>
      </c>
      <c r="I6" s="2" t="s">
        <v>15</v>
      </c>
    </row>
    <row r="7" customFormat="false" ht="189.75" hidden="false" customHeight="true" outlineLevel="0" collapsed="false">
      <c r="A7" s="2" t="s">
        <v>35</v>
      </c>
      <c r="B7" s="2" t="s">
        <v>36</v>
      </c>
      <c r="C7" s="3" t="s">
        <v>37</v>
      </c>
      <c r="D7" s="2" t="s">
        <v>38</v>
      </c>
      <c r="E7" s="4" t="n">
        <f aca="false">AVERAGEIFS('Validation (Final)'!$L$2:$L$281,'Validation (Final)'!$A$2:$A$281,A7,'Validation (Final)'!$B$2:$B$281,B7)</f>
        <v>7.79</v>
      </c>
      <c r="F7" s="4" t="n">
        <f aca="false">AVERAGEIFS('Validation (Final)'!$M$2:$M$281,'Validation (Final)'!$A$2:$A$281,A7,'Validation (Final)'!$B$2:$B$281,B7)</f>
        <v>7.25</v>
      </c>
      <c r="G7" s="2" t="s">
        <v>39</v>
      </c>
      <c r="H7" s="2" t="s">
        <v>14</v>
      </c>
      <c r="I7" s="2" t="s">
        <v>15</v>
      </c>
    </row>
    <row r="8" customFormat="false" ht="189.75" hidden="false" customHeight="true" outlineLevel="0" collapsed="false">
      <c r="A8" s="2" t="s">
        <v>40</v>
      </c>
      <c r="B8" s="2" t="s">
        <v>41</v>
      </c>
      <c r="C8" s="3" t="s">
        <v>42</v>
      </c>
      <c r="D8" s="2" t="s">
        <v>43</v>
      </c>
      <c r="E8" s="4" t="n">
        <f aca="false">AVERAGEIFS('Validation (Final)'!$L$2:$L$281,'Validation (Final)'!$A$2:$A$281,A8,'Validation (Final)'!$B$2:$B$281,B8)</f>
        <v>7.58</v>
      </c>
      <c r="F8" s="4" t="n">
        <f aca="false">AVERAGEIFS('Validation (Final)'!$M$2:$M$281,'Validation (Final)'!$A$2:$A$281,A8,'Validation (Final)'!$B$2:$B$281,B8)</f>
        <v>6.88</v>
      </c>
      <c r="G8" s="2" t="s">
        <v>44</v>
      </c>
      <c r="H8" s="2" t="s">
        <v>14</v>
      </c>
      <c r="I8" s="2" t="s">
        <v>15</v>
      </c>
    </row>
    <row r="9" customFormat="false" ht="189.75" hidden="false" customHeight="true" outlineLevel="0" collapsed="false">
      <c r="A9" s="2" t="s">
        <v>45</v>
      </c>
      <c r="B9" s="2" t="s">
        <v>46</v>
      </c>
      <c r="C9" s="3" t="s">
        <v>47</v>
      </c>
      <c r="D9" s="2" t="s">
        <v>48</v>
      </c>
      <c r="E9" s="4" t="n">
        <f aca="false">AVERAGEIFS('Validation (Final)'!$L$2:$L$281,'Validation (Final)'!$A$2:$A$281,A9,'Validation (Final)'!$B$2:$B$281,B9)</f>
        <v>7.84</v>
      </c>
      <c r="F9" s="4" t="n">
        <f aca="false">AVERAGEIFS('Validation (Final)'!$M$2:$M$281,'Validation (Final)'!$A$2:$A$281,A9,'Validation (Final)'!$B$2:$B$281,B9)</f>
        <v>7.36</v>
      </c>
      <c r="G9" s="2" t="s">
        <v>49</v>
      </c>
      <c r="H9" s="2" t="s">
        <v>14</v>
      </c>
      <c r="I9" s="2" t="s">
        <v>15</v>
      </c>
    </row>
    <row r="10" customFormat="false" ht="189.75" hidden="false" customHeight="true" outlineLevel="0" collapsed="false">
      <c r="A10" s="2" t="s">
        <v>50</v>
      </c>
      <c r="B10" s="2" t="s">
        <v>51</v>
      </c>
      <c r="C10" s="3" t="s">
        <v>52</v>
      </c>
      <c r="D10" s="2" t="s">
        <v>53</v>
      </c>
      <c r="E10" s="4" t="n">
        <f aca="false">AVERAGEIFS('Validation (Final)'!$L$2:$L$281,'Validation (Final)'!$A$2:$A$281,A10,'Validation (Final)'!$B$2:$B$281,B10)</f>
        <v>8.38</v>
      </c>
      <c r="F10" s="4" t="n">
        <f aca="false">AVERAGEIFS('Validation (Final)'!$M$2:$M$281,'Validation (Final)'!$A$2:$A$281,A10,'Validation (Final)'!$B$2:$B$281,B10)</f>
        <v>7.59</v>
      </c>
      <c r="G10" s="2" t="s">
        <v>54</v>
      </c>
      <c r="H10" s="2" t="s">
        <v>14</v>
      </c>
      <c r="I10" s="2" t="s">
        <v>15</v>
      </c>
    </row>
    <row r="11" customFormat="false" ht="189.75" hidden="false" customHeight="true" outlineLevel="0" collapsed="false">
      <c r="A11" s="2" t="s">
        <v>55</v>
      </c>
      <c r="B11" s="2" t="s">
        <v>56</v>
      </c>
      <c r="C11" s="3" t="s">
        <v>57</v>
      </c>
      <c r="D11" s="2" t="s">
        <v>58</v>
      </c>
      <c r="E11" s="4" t="n">
        <f aca="false">AVERAGEIFS('Validation (Final)'!$L$2:$L$281,'Validation (Final)'!$A$2:$A$281,A11,'Validation (Final)'!$B$2:$B$281,B11)</f>
        <v>7.77</v>
      </c>
      <c r="F11" s="4" t="n">
        <f aca="false">AVERAGEIFS('Validation (Final)'!$M$2:$M$281,'Validation (Final)'!$A$2:$A$281,A11,'Validation (Final)'!$B$2:$B$281,B11)</f>
        <v>7.13</v>
      </c>
      <c r="G11" s="2" t="s">
        <v>54</v>
      </c>
      <c r="H11" s="2" t="s">
        <v>14</v>
      </c>
      <c r="I11" s="2" t="s">
        <v>15</v>
      </c>
    </row>
    <row r="12" customFormat="false" ht="189.75" hidden="false" customHeight="true" outlineLevel="0" collapsed="false">
      <c r="A12" s="2" t="s">
        <v>59</v>
      </c>
      <c r="B12" s="2" t="s">
        <v>60</v>
      </c>
      <c r="C12" s="3" t="s">
        <v>61</v>
      </c>
      <c r="D12" s="2" t="s">
        <v>62</v>
      </c>
      <c r="E12" s="4" t="n">
        <f aca="false">AVERAGEIFS('Validation (Final)'!$L$2:$L$281,'Validation (Final)'!$A$2:$A$281,A12,'Validation (Final)'!$B$2:$B$281,B12)</f>
        <v>8.18</v>
      </c>
      <c r="F12" s="4" t="n">
        <f aca="false">AVERAGEIFS('Validation (Final)'!$M$2:$M$281,'Validation (Final)'!$A$2:$A$281,A12,'Validation (Final)'!$B$2:$B$281,B12)</f>
        <v>7.31</v>
      </c>
      <c r="G12" s="2" t="s">
        <v>63</v>
      </c>
      <c r="H12" s="2" t="s">
        <v>14</v>
      </c>
      <c r="I12" s="2" t="s">
        <v>15</v>
      </c>
    </row>
    <row r="13" customFormat="false" ht="189.75" hidden="false" customHeight="true" outlineLevel="0" collapsed="false">
      <c r="A13" s="2" t="s">
        <v>64</v>
      </c>
      <c r="B13" s="2" t="s">
        <v>65</v>
      </c>
      <c r="C13" s="3" t="s">
        <v>66</v>
      </c>
      <c r="D13" s="2" t="s">
        <v>67</v>
      </c>
      <c r="E13" s="4" t="n">
        <f aca="false">AVERAGEIFS('Validation (Final)'!$L$2:$L$281,'Validation (Final)'!$A$2:$A$281,A13,'Validation (Final)'!$B$2:$B$281,B13)</f>
        <v>7.52</v>
      </c>
      <c r="F13" s="4" t="n">
        <f aca="false">AVERAGEIFS('Validation (Final)'!$M$2:$M$281,'Validation (Final)'!$A$2:$A$281,A13,'Validation (Final)'!$B$2:$B$281,B13)</f>
        <v>6.91</v>
      </c>
      <c r="G13" s="2" t="s">
        <v>68</v>
      </c>
      <c r="H13" s="2" t="s">
        <v>14</v>
      </c>
      <c r="I13" s="2" t="s">
        <v>15</v>
      </c>
    </row>
    <row r="14" customFormat="false" ht="189.75" hidden="false" customHeight="true" outlineLevel="0" collapsed="false">
      <c r="A14" s="2" t="s">
        <v>69</v>
      </c>
      <c r="B14" s="2" t="s">
        <v>70</v>
      </c>
      <c r="C14" s="3" t="s">
        <v>71</v>
      </c>
      <c r="D14" s="2" t="s">
        <v>72</v>
      </c>
      <c r="E14" s="4" t="n">
        <f aca="false">AVERAGEIFS('Validation (Final)'!$L$2:$L$281,'Validation (Final)'!$A$2:$A$281,A14,'Validation (Final)'!$B$2:$B$281,B14)</f>
        <v>7.6</v>
      </c>
      <c r="F14" s="4" t="n">
        <f aca="false">AVERAGEIFS('Validation (Final)'!$M$2:$M$281,'Validation (Final)'!$A$2:$A$281,A14,'Validation (Final)'!$B$2:$B$281,B14)</f>
        <v>7.23</v>
      </c>
      <c r="G14" s="2" t="s">
        <v>73</v>
      </c>
      <c r="H14" s="2" t="s">
        <v>14</v>
      </c>
      <c r="I14" s="2" t="s">
        <v>15</v>
      </c>
    </row>
    <row r="15" customFormat="false" ht="189.75" hidden="false" customHeight="true" outlineLevel="0" collapsed="false">
      <c r="A15" s="2" t="s">
        <v>74</v>
      </c>
      <c r="B15" s="2" t="s">
        <v>75</v>
      </c>
      <c r="C15" s="3" t="s">
        <v>76</v>
      </c>
      <c r="D15" s="2" t="s">
        <v>77</v>
      </c>
      <c r="E15" s="4" t="n">
        <f aca="false">AVERAGEIFS('Validation (Final)'!$L$2:$L$281,'Validation (Final)'!$A$2:$A$281,A15,'Validation (Final)'!$B$2:$B$281,B15)</f>
        <v>7.78</v>
      </c>
      <c r="F15" s="4" t="n">
        <f aca="false">AVERAGEIFS('Validation (Final)'!$M$2:$M$281,'Validation (Final)'!$A$2:$A$281,A15,'Validation (Final)'!$B$2:$B$281,B15)</f>
        <v>7.63</v>
      </c>
      <c r="G15" s="2" t="s">
        <v>78</v>
      </c>
      <c r="H15" s="2" t="s">
        <v>14</v>
      </c>
      <c r="I15" s="2" t="s">
        <v>15</v>
      </c>
    </row>
    <row r="16" customFormat="false" ht="189.75" hidden="false" customHeight="true" outlineLevel="0" collapsed="false">
      <c r="A16" s="2" t="s">
        <v>79</v>
      </c>
      <c r="B16" s="2" t="s">
        <v>80</v>
      </c>
      <c r="C16" s="3" t="s">
        <v>81</v>
      </c>
      <c r="D16" s="2" t="s">
        <v>82</v>
      </c>
      <c r="E16" s="4" t="n">
        <f aca="false">AVERAGEIFS('Validation (Final)'!$L$2:$L$281,'Validation (Final)'!$A$2:$A$281,A16,'Validation (Final)'!$B$2:$B$281,B16)</f>
        <v>7.98</v>
      </c>
      <c r="F16" s="4" t="n">
        <f aca="false">AVERAGEIFS('Validation (Final)'!$M$2:$M$281,'Validation (Final)'!$A$2:$A$281,A16,'Validation (Final)'!$B$2:$B$281,B16)</f>
        <v>7.93</v>
      </c>
      <c r="G16" s="2" t="s">
        <v>83</v>
      </c>
      <c r="H16" s="2" t="s">
        <v>84</v>
      </c>
      <c r="I16" s="2" t="s">
        <v>85</v>
      </c>
    </row>
    <row r="17" customFormat="false" ht="189.75" hidden="false" customHeight="true" outlineLevel="0" collapsed="false">
      <c r="A17" s="2" t="s">
        <v>86</v>
      </c>
      <c r="B17" s="2" t="s">
        <v>87</v>
      </c>
      <c r="C17" s="3" t="s">
        <v>88</v>
      </c>
      <c r="D17" s="2" t="s">
        <v>89</v>
      </c>
      <c r="E17" s="4" t="n">
        <f aca="false">AVERAGEIFS('Validation (Final)'!$L$2:$L$281,'Validation (Final)'!$A$2:$A$281,A17,'Validation (Final)'!$B$2:$B$281,B17)</f>
        <v>8.48</v>
      </c>
      <c r="F17" s="4" t="n">
        <f aca="false">AVERAGEIFS('Validation (Final)'!$M$2:$M$281,'Validation (Final)'!$A$2:$A$281,A17,'Validation (Final)'!$B$2:$B$281,B17)</f>
        <v>8.26</v>
      </c>
      <c r="G17" s="2" t="s">
        <v>90</v>
      </c>
      <c r="H17" s="2" t="s">
        <v>84</v>
      </c>
      <c r="I17" s="2" t="s">
        <v>91</v>
      </c>
    </row>
    <row r="18" customFormat="false" ht="189.75" hidden="false" customHeight="true" outlineLevel="0" collapsed="false">
      <c r="A18" s="2" t="s">
        <v>92</v>
      </c>
      <c r="B18" s="2" t="s">
        <v>93</v>
      </c>
      <c r="C18" s="3" t="s">
        <v>94</v>
      </c>
      <c r="D18" s="2" t="s">
        <v>95</v>
      </c>
      <c r="E18" s="4" t="n">
        <f aca="false">AVERAGEIFS('Validation (Final)'!$L$2:$L$281,'Validation (Final)'!$A$2:$A$281,A18,'Validation (Final)'!$B$2:$B$281,B18)</f>
        <v>8.71</v>
      </c>
      <c r="F18" s="4" t="n">
        <f aca="false">AVERAGEIFS('Validation (Final)'!$M$2:$M$281,'Validation (Final)'!$A$2:$A$281,A18,'Validation (Final)'!$B$2:$B$281,B18)</f>
        <v>8.25</v>
      </c>
      <c r="G18" s="2" t="s">
        <v>96</v>
      </c>
      <c r="H18" s="2" t="s">
        <v>84</v>
      </c>
      <c r="I18" s="2" t="s">
        <v>97</v>
      </c>
    </row>
    <row r="19" customFormat="false" ht="189.75" hidden="false" customHeight="true" outlineLevel="0" collapsed="false">
      <c r="A19" s="2" t="s">
        <v>98</v>
      </c>
      <c r="B19" s="2" t="s">
        <v>99</v>
      </c>
      <c r="C19" s="3" t="s">
        <v>100</v>
      </c>
      <c r="D19" s="2" t="s">
        <v>101</v>
      </c>
      <c r="E19" s="4" t="n">
        <f aca="false">AVERAGEIFS('Validation (Final)'!$L$2:$L$281,'Validation (Final)'!$A$2:$A$281,A19,'Validation (Final)'!$B$2:$B$281,B19)</f>
        <v>8.43</v>
      </c>
      <c r="F19" s="4" t="n">
        <f aca="false">AVERAGEIFS('Validation (Final)'!$M$2:$M$281,'Validation (Final)'!$A$2:$A$281,A19,'Validation (Final)'!$B$2:$B$281,B19)</f>
        <v>7.78</v>
      </c>
      <c r="G19" s="2" t="s">
        <v>102</v>
      </c>
      <c r="H19" s="2" t="s">
        <v>84</v>
      </c>
      <c r="I19" s="2" t="s">
        <v>103</v>
      </c>
    </row>
    <row r="20" customFormat="false" ht="189.75" hidden="false" customHeight="true" outlineLevel="0" collapsed="false">
      <c r="A20" s="2" t="s">
        <v>104</v>
      </c>
      <c r="B20" s="2" t="s">
        <v>105</v>
      </c>
      <c r="C20" s="3" t="s">
        <v>106</v>
      </c>
      <c r="D20" s="2" t="s">
        <v>107</v>
      </c>
      <c r="E20" s="4" t="n">
        <f aca="false">AVERAGEIFS('Validation (Final)'!$L$2:$L$281,'Validation (Final)'!$A$2:$A$281,A20,'Validation (Final)'!$B$2:$B$281,B20)</f>
        <v>8.38</v>
      </c>
      <c r="F20" s="4" t="n">
        <f aca="false">AVERAGEIFS('Validation (Final)'!$M$2:$M$281,'Validation (Final)'!$A$2:$A$281,A20,'Validation (Final)'!$B$2:$B$281,B20)</f>
        <v>7.71</v>
      </c>
      <c r="G20" s="2" t="s">
        <v>108</v>
      </c>
      <c r="H20" s="2" t="s">
        <v>84</v>
      </c>
      <c r="I20" s="2" t="s">
        <v>109</v>
      </c>
    </row>
    <row r="21" customFormat="false" ht="189.75" hidden="false" customHeight="true" outlineLevel="0" collapsed="false">
      <c r="A21" s="2" t="s">
        <v>110</v>
      </c>
      <c r="B21" s="2" t="s">
        <v>111</v>
      </c>
      <c r="C21" s="3" t="s">
        <v>112</v>
      </c>
      <c r="D21" s="2" t="s">
        <v>113</v>
      </c>
      <c r="E21" s="4" t="n">
        <f aca="false">AVERAGEIFS('Validation (Final)'!$L$2:$L$281,'Validation (Final)'!$A$2:$A$281,A21,'Validation (Final)'!$B$2:$B$281,B21)</f>
        <v>8.21</v>
      </c>
      <c r="F21" s="4" t="n">
        <f aca="false">AVERAGEIFS('Validation (Final)'!$M$2:$M$281,'Validation (Final)'!$A$2:$A$281,A21,'Validation (Final)'!$B$2:$B$281,B21)</f>
        <v>7.11</v>
      </c>
      <c r="G21" s="2" t="s">
        <v>114</v>
      </c>
      <c r="H21" s="2" t="s">
        <v>84</v>
      </c>
      <c r="I21" s="2" t="s">
        <v>115</v>
      </c>
    </row>
    <row r="22" customFormat="false" ht="189.75" hidden="false" customHeight="true" outlineLevel="0" collapsed="false">
      <c r="A22" s="2" t="s">
        <v>116</v>
      </c>
      <c r="B22" s="2" t="s">
        <v>117</v>
      </c>
      <c r="C22" s="3" t="s">
        <v>118</v>
      </c>
      <c r="D22" s="2" t="s">
        <v>119</v>
      </c>
      <c r="E22" s="4" t="n">
        <f aca="false">AVERAGEIFS('Validation (Final)'!$L$2:$L$281,'Validation (Final)'!$A$2:$A$281,A22,'Validation (Final)'!$B$2:$B$281,B22)</f>
        <v>7.95</v>
      </c>
      <c r="F22" s="4" t="n">
        <f aca="false">AVERAGEIFS('Validation (Final)'!$M$2:$M$281,'Validation (Final)'!$A$2:$A$281,A22,'Validation (Final)'!$B$2:$B$281,B22)</f>
        <v>7.34</v>
      </c>
      <c r="G22" s="2" t="s">
        <v>120</v>
      </c>
      <c r="H22" s="2" t="s">
        <v>84</v>
      </c>
      <c r="I22" s="2" t="s">
        <v>121</v>
      </c>
    </row>
    <row r="23" customFormat="false" ht="189.75" hidden="false" customHeight="true" outlineLevel="0" collapsed="false">
      <c r="A23" s="2" t="s">
        <v>122</v>
      </c>
      <c r="B23" s="2" t="s">
        <v>123</v>
      </c>
      <c r="C23" s="3" t="s">
        <v>124</v>
      </c>
      <c r="D23" s="2" t="s">
        <v>125</v>
      </c>
      <c r="E23" s="4" t="n">
        <f aca="false">AVERAGEIFS('Validation (Final)'!$L$2:$L$281,'Validation (Final)'!$A$2:$A$281,A23,'Validation (Final)'!$B$2:$B$281,B23)</f>
        <v>8.51</v>
      </c>
      <c r="F23" s="4" t="n">
        <f aca="false">AVERAGEIFS('Validation (Final)'!$M$2:$M$281,'Validation (Final)'!$A$2:$A$281,A23,'Validation (Final)'!$B$2:$B$281,B23)</f>
        <v>7.93</v>
      </c>
      <c r="G23" s="2" t="s">
        <v>126</v>
      </c>
      <c r="H23" s="2" t="s">
        <v>84</v>
      </c>
      <c r="I23" s="2" t="s">
        <v>127</v>
      </c>
    </row>
    <row r="24" customFormat="false" ht="189.75" hidden="false" customHeight="true" outlineLevel="0" collapsed="false">
      <c r="A24" s="2" t="s">
        <v>128</v>
      </c>
      <c r="B24" s="2" t="s">
        <v>129</v>
      </c>
      <c r="C24" s="3" t="s">
        <v>130</v>
      </c>
      <c r="D24" s="2" t="s">
        <v>131</v>
      </c>
      <c r="E24" s="4" t="n">
        <f aca="false">AVERAGEIFS('Validation (Final)'!$L$2:$L$281,'Validation (Final)'!$A$2:$A$281,A24,'Validation (Final)'!$B$2:$B$281,B24)</f>
        <v>8.61</v>
      </c>
      <c r="F24" s="4" t="n">
        <f aca="false">AVERAGEIFS('Validation (Final)'!$M$2:$M$281,'Validation (Final)'!$A$2:$A$281,A24,'Validation (Final)'!$B$2:$B$281,B24)</f>
        <v>7.86</v>
      </c>
      <c r="G24" s="2" t="s">
        <v>132</v>
      </c>
      <c r="H24" s="2" t="s">
        <v>84</v>
      </c>
      <c r="I24" s="2" t="s">
        <v>133</v>
      </c>
    </row>
    <row r="25" customFormat="false" ht="189.75" hidden="false" customHeight="true" outlineLevel="0" collapsed="false">
      <c r="A25" s="2" t="s">
        <v>134</v>
      </c>
      <c r="B25" s="2" t="s">
        <v>135</v>
      </c>
      <c r="C25" s="3" t="s">
        <v>136</v>
      </c>
      <c r="D25" s="2" t="s">
        <v>137</v>
      </c>
      <c r="E25" s="4" t="n">
        <f aca="false">AVERAGEIFS('Validation (Final)'!$L$2:$L$281,'Validation (Final)'!$A$2:$A$281,A25,'Validation (Final)'!$B$2:$B$281,B25)</f>
        <v>7.94</v>
      </c>
      <c r="F25" s="4" t="n">
        <f aca="false">AVERAGEIFS('Validation (Final)'!$M$2:$M$281,'Validation (Final)'!$A$2:$A$281,A25,'Validation (Final)'!$B$2:$B$281,B25)</f>
        <v>7.48</v>
      </c>
      <c r="G25" s="2" t="s">
        <v>138</v>
      </c>
      <c r="H25" s="2" t="s">
        <v>84</v>
      </c>
      <c r="I25" s="2" t="s">
        <v>139</v>
      </c>
    </row>
    <row r="26" customFormat="false" ht="189.75" hidden="false" customHeight="true" outlineLevel="0" collapsed="false">
      <c r="A26" s="2" t="s">
        <v>140</v>
      </c>
      <c r="B26" s="2" t="s">
        <v>141</v>
      </c>
      <c r="C26" s="3" t="s">
        <v>142</v>
      </c>
      <c r="D26" s="2" t="s">
        <v>143</v>
      </c>
      <c r="E26" s="4" t="n">
        <f aca="false">AVERAGEIFS('Validation (Final)'!$L$2:$L$281,'Validation (Final)'!$A$2:$A$281,A26,'Validation (Final)'!$B$2:$B$281,B26)</f>
        <v>7.88</v>
      </c>
      <c r="F26" s="4" t="n">
        <f aca="false">AVERAGEIFS('Validation (Final)'!$M$2:$M$281,'Validation (Final)'!$A$2:$A$281,A26,'Validation (Final)'!$B$2:$B$281,B26)</f>
        <v>7.02</v>
      </c>
      <c r="G26" s="2" t="s">
        <v>144</v>
      </c>
      <c r="H26" s="2" t="s">
        <v>84</v>
      </c>
      <c r="I26" s="2" t="s">
        <v>145</v>
      </c>
    </row>
    <row r="27" customFormat="false" ht="189.75" hidden="false" customHeight="true" outlineLevel="0" collapsed="false">
      <c r="A27" s="2" t="s">
        <v>146</v>
      </c>
      <c r="B27" s="2" t="s">
        <v>147</v>
      </c>
      <c r="C27" s="3" t="s">
        <v>148</v>
      </c>
      <c r="D27" s="2" t="s">
        <v>149</v>
      </c>
      <c r="E27" s="4" t="n">
        <f aca="false">AVERAGEIFS('Validation (Final)'!$L$2:$L$281,'Validation (Final)'!$A$2:$A$281,A27,'Validation (Final)'!$B$2:$B$281,B27)</f>
        <v>7.73</v>
      </c>
      <c r="F27" s="4" t="n">
        <f aca="false">AVERAGEIFS('Validation (Final)'!$M$2:$M$281,'Validation (Final)'!$A$2:$A$281,A27,'Validation (Final)'!$B$2:$B$281,B27)</f>
        <v>6.38</v>
      </c>
      <c r="G27" s="2" t="s">
        <v>150</v>
      </c>
      <c r="H27" s="2" t="s">
        <v>84</v>
      </c>
      <c r="I27" s="2" t="s">
        <v>151</v>
      </c>
    </row>
    <row r="28" customFormat="false" ht="189.75" hidden="false" customHeight="true" outlineLevel="0" collapsed="false">
      <c r="A28" s="2" t="s">
        <v>152</v>
      </c>
      <c r="B28" s="2" t="s">
        <v>153</v>
      </c>
      <c r="C28" s="3" t="s">
        <v>154</v>
      </c>
      <c r="D28" s="2" t="s">
        <v>155</v>
      </c>
      <c r="E28" s="4" t="n">
        <f aca="false">AVERAGEIFS('Validation (Final)'!$L$2:$L$281,'Validation (Final)'!$A$2:$A$281,A28,'Validation (Final)'!$B$2:$B$281,B28)</f>
        <v>7.77</v>
      </c>
      <c r="F28" s="4" t="n">
        <f aca="false">AVERAGEIFS('Validation (Final)'!$M$2:$M$281,'Validation (Final)'!$A$2:$A$281,A28,'Validation (Final)'!$B$2:$B$281,B28)</f>
        <v>6.71</v>
      </c>
      <c r="G28" s="2" t="s">
        <v>156</v>
      </c>
      <c r="H28" s="2" t="s">
        <v>84</v>
      </c>
      <c r="I28" s="2" t="s">
        <v>157</v>
      </c>
    </row>
    <row r="29" customFormat="false" ht="189.75" hidden="false" customHeight="true" outlineLevel="0" collapsed="false">
      <c r="A29" s="2" t="s">
        <v>158</v>
      </c>
      <c r="B29" s="2" t="s">
        <v>159</v>
      </c>
      <c r="C29" s="3" t="s">
        <v>160</v>
      </c>
      <c r="D29" s="2" t="s">
        <v>161</v>
      </c>
      <c r="E29" s="4" t="n">
        <f aca="false">AVERAGEIFS('Validation (Final)'!$L$2:$L$281,'Validation (Final)'!$A$2:$A$281,A29,'Validation (Final)'!$B$2:$B$281,B29)</f>
        <v>7.81</v>
      </c>
      <c r="F29" s="4" t="n">
        <f aca="false">AVERAGEIFS('Validation (Final)'!$M$2:$M$281,'Validation (Final)'!$A$2:$A$281,A29,'Validation (Final)'!$B$2:$B$281,B29)</f>
        <v>7.28</v>
      </c>
      <c r="G29" s="2" t="s">
        <v>162</v>
      </c>
      <c r="H29" s="2" t="s">
        <v>84</v>
      </c>
      <c r="I29" s="2" t="s">
        <v>85</v>
      </c>
    </row>
    <row r="30" customFormat="false" ht="189.75" hidden="false" customHeight="true" outlineLevel="0" collapsed="false">
      <c r="A30" s="2" t="s">
        <v>163</v>
      </c>
      <c r="B30" s="2" t="s">
        <v>164</v>
      </c>
      <c r="C30" s="3" t="s">
        <v>165</v>
      </c>
      <c r="D30" s="2" t="s">
        <v>166</v>
      </c>
      <c r="E30" s="4" t="n">
        <f aca="false">AVERAGEIFS('Validation (Final)'!$L$2:$L$281,'Validation (Final)'!$A$2:$A$281,A30,'Validation (Final)'!$B$2:$B$281,B30)</f>
        <v>7.96</v>
      </c>
      <c r="F30" s="4" t="n">
        <f aca="false">AVERAGEIFS('Validation (Final)'!$M$2:$M$281,'Validation (Final)'!$A$2:$A$281,A30,'Validation (Final)'!$B$2:$B$281,B30)</f>
        <v>7.59</v>
      </c>
      <c r="G30" s="2" t="s">
        <v>167</v>
      </c>
      <c r="H30" s="2" t="s">
        <v>84</v>
      </c>
      <c r="I30" s="2" t="s">
        <v>168</v>
      </c>
    </row>
    <row r="31" customFormat="false" ht="189.75" hidden="false" customHeight="true" outlineLevel="0" collapsed="false">
      <c r="A31" s="2" t="s">
        <v>169</v>
      </c>
      <c r="B31" s="2" t="s">
        <v>170</v>
      </c>
      <c r="C31" s="3" t="s">
        <v>171</v>
      </c>
      <c r="D31" s="2" t="s">
        <v>172</v>
      </c>
      <c r="E31" s="4" t="n">
        <f aca="false">AVERAGEIFS('Validation (Final)'!$L$2:$L$281,'Validation (Final)'!$A$2:$A$281,A31,'Validation (Final)'!$B$2:$B$281,B31)</f>
        <v>7.83</v>
      </c>
      <c r="F31" s="4" t="n">
        <f aca="false">AVERAGEIFS('Validation (Final)'!$M$2:$M$281,'Validation (Final)'!$A$2:$A$281,A31,'Validation (Final)'!$B$2:$B$281,B31)</f>
        <v>6.63</v>
      </c>
      <c r="G31" s="2" t="s">
        <v>173</v>
      </c>
      <c r="H31" s="2" t="s">
        <v>84</v>
      </c>
      <c r="I31" s="2" t="s">
        <v>174</v>
      </c>
    </row>
    <row r="32" customFormat="false" ht="189.75" hidden="false" customHeight="true" outlineLevel="0" collapsed="false">
      <c r="A32" s="2" t="s">
        <v>175</v>
      </c>
      <c r="B32" s="2" t="s">
        <v>176</v>
      </c>
      <c r="C32" s="3" t="s">
        <v>177</v>
      </c>
      <c r="D32" s="2" t="s">
        <v>178</v>
      </c>
      <c r="E32" s="4" t="n">
        <f aca="false">AVERAGEIFS('Validation (Final)'!$L$2:$L$281,'Validation (Final)'!$A$2:$A$281,A32,'Validation (Final)'!$B$2:$B$281,B32)</f>
        <v>8.35</v>
      </c>
      <c r="F32" s="4" t="n">
        <f aca="false">AVERAGEIFS('Validation (Final)'!$M$2:$M$281,'Validation (Final)'!$A$2:$A$281,A32,'Validation (Final)'!$B$2:$B$281,B32)</f>
        <v>7.55</v>
      </c>
      <c r="G32" s="2" t="s">
        <v>179</v>
      </c>
      <c r="H32" s="2" t="s">
        <v>84</v>
      </c>
      <c r="I32" s="2" t="s">
        <v>85</v>
      </c>
    </row>
    <row r="33" customFormat="false" ht="189.75" hidden="false" customHeight="true" outlineLevel="0" collapsed="false">
      <c r="A33" s="2" t="s">
        <v>180</v>
      </c>
      <c r="B33" s="2" t="s">
        <v>181</v>
      </c>
      <c r="C33" s="3" t="s">
        <v>182</v>
      </c>
      <c r="D33" s="2" t="s">
        <v>183</v>
      </c>
      <c r="E33" s="4" t="n">
        <f aca="false">AVERAGEIFS('Validation (Final)'!$L$2:$L$281,'Validation (Final)'!$A$2:$A$281,A33,'Validation (Final)'!$B$2:$B$281,B33)</f>
        <v>7.63</v>
      </c>
      <c r="F33" s="4" t="n">
        <f aca="false">AVERAGEIFS('Validation (Final)'!$M$2:$M$281,'Validation (Final)'!$A$2:$A$281,A33,'Validation (Final)'!$B$2:$B$281,B33)</f>
        <v>6.76</v>
      </c>
      <c r="G33" s="2" t="s">
        <v>184</v>
      </c>
      <c r="H33" s="2" t="s">
        <v>84</v>
      </c>
      <c r="I33" s="2" t="s">
        <v>185</v>
      </c>
    </row>
    <row r="34" customFormat="false" ht="189.75" hidden="false" customHeight="true" outlineLevel="0" collapsed="false">
      <c r="A34" s="2" t="s">
        <v>186</v>
      </c>
      <c r="B34" s="2" t="s">
        <v>187</v>
      </c>
      <c r="C34" s="3" t="s">
        <v>188</v>
      </c>
      <c r="D34" s="2" t="s">
        <v>189</v>
      </c>
      <c r="E34" s="4" t="n">
        <f aca="false">AVERAGEIFS('Validation (Final)'!$L$2:$L$281,'Validation (Final)'!$A$2:$A$281,A34,'Validation (Final)'!$B$2:$B$281,B34)</f>
        <v>7.71</v>
      </c>
      <c r="F34" s="4" t="n">
        <f aca="false">AVERAGEIFS('Validation (Final)'!$M$2:$M$281,'Validation (Final)'!$A$2:$A$281,A34,'Validation (Final)'!$B$2:$B$281,B34)</f>
        <v>6.23</v>
      </c>
      <c r="G34" s="2" t="s">
        <v>190</v>
      </c>
      <c r="H34" s="2" t="s">
        <v>84</v>
      </c>
      <c r="I34" s="2" t="s">
        <v>191</v>
      </c>
    </row>
    <row r="35" customFormat="false" ht="189.75" hidden="false" customHeight="true" outlineLevel="0" collapsed="false">
      <c r="A35" s="2" t="s">
        <v>192</v>
      </c>
      <c r="B35" s="2" t="s">
        <v>193</v>
      </c>
      <c r="C35" s="3" t="s">
        <v>194</v>
      </c>
      <c r="D35" s="2" t="s">
        <v>195</v>
      </c>
      <c r="E35" s="4" t="n">
        <f aca="false">AVERAGEIFS('Validation (Final)'!$L$2:$L$281,'Validation (Final)'!$A$2:$A$281,A35,'Validation (Final)'!$B$2:$B$281,B35)</f>
        <v>7.7</v>
      </c>
      <c r="F35" s="4" t="n">
        <f aca="false">AVERAGEIFS('Validation (Final)'!$M$2:$M$281,'Validation (Final)'!$A$2:$A$281,A35,'Validation (Final)'!$B$2:$B$281,B35)</f>
        <v>6.7</v>
      </c>
      <c r="G35" s="2" t="s">
        <v>196</v>
      </c>
      <c r="H35" s="2" t="s">
        <v>84</v>
      </c>
      <c r="I35" s="2" t="s">
        <v>85</v>
      </c>
    </row>
    <row r="36" customFormat="false" ht="189.75" hidden="false" customHeight="true" outlineLevel="0" collapsed="false">
      <c r="A36" s="2" t="s">
        <v>197</v>
      </c>
      <c r="B36" s="2" t="s">
        <v>198</v>
      </c>
      <c r="C36" s="3" t="s">
        <v>199</v>
      </c>
      <c r="D36" s="2" t="s">
        <v>200</v>
      </c>
      <c r="E36" s="4" t="n">
        <f aca="false">AVERAGEIFS('Validation (Final)'!$L$2:$L$281,'Validation (Final)'!$A$2:$A$281,A36,'Validation (Final)'!$B$2:$B$281,B36)</f>
        <v>7.64</v>
      </c>
      <c r="F36" s="4" t="n">
        <f aca="false">AVERAGEIFS('Validation (Final)'!$M$2:$M$281,'Validation (Final)'!$A$2:$A$281,A36,'Validation (Final)'!$B$2:$B$281,B36)</f>
        <v>6.25</v>
      </c>
      <c r="G36" s="2" t="s">
        <v>201</v>
      </c>
      <c r="H36" s="2" t="s">
        <v>84</v>
      </c>
      <c r="I36" s="2" t="s">
        <v>202</v>
      </c>
    </row>
    <row r="37" customFormat="false" ht="189.75" hidden="false" customHeight="true" outlineLevel="0" collapsed="false">
      <c r="A37" s="2" t="s">
        <v>203</v>
      </c>
      <c r="B37" s="2" t="s">
        <v>204</v>
      </c>
      <c r="C37" s="3" t="s">
        <v>205</v>
      </c>
      <c r="D37" s="2" t="s">
        <v>200</v>
      </c>
      <c r="E37" s="4" t="n">
        <f aca="false">AVERAGEIFS('Validation (Final)'!$L$2:$L$281,'Validation (Final)'!$A$2:$A$281,A37,'Validation (Final)'!$B$2:$B$281,B37)</f>
        <v>7.64</v>
      </c>
      <c r="F37" s="4" t="n">
        <f aca="false">AVERAGEIFS('Validation (Final)'!$M$2:$M$281,'Validation (Final)'!$A$2:$A$281,A37,'Validation (Final)'!$B$2:$B$281,B37)</f>
        <v>6.25</v>
      </c>
      <c r="G37" s="2" t="s">
        <v>206</v>
      </c>
      <c r="H37" s="2" t="s">
        <v>84</v>
      </c>
      <c r="I37" s="2" t="s">
        <v>207</v>
      </c>
    </row>
    <row r="38" customFormat="false" ht="189.75" hidden="false" customHeight="true" outlineLevel="0" collapsed="false">
      <c r="A38" s="2" t="s">
        <v>208</v>
      </c>
      <c r="B38" s="2" t="s">
        <v>209</v>
      </c>
      <c r="C38" s="3" t="s">
        <v>210</v>
      </c>
      <c r="D38" s="2" t="s">
        <v>211</v>
      </c>
      <c r="E38" s="4" t="n">
        <f aca="false">AVERAGEIFS('Validation (Final)'!$L$2:$L$281,'Validation (Final)'!$A$2:$A$281,A38,'Validation (Final)'!$B$2:$B$281,B38)</f>
        <v>8.14</v>
      </c>
      <c r="F38" s="4" t="n">
        <f aca="false">AVERAGEIFS('Validation (Final)'!$M$2:$M$281,'Validation (Final)'!$A$2:$A$281,A38,'Validation (Final)'!$B$2:$B$281,B38)</f>
        <v>7.35</v>
      </c>
      <c r="G38" s="2" t="s">
        <v>212</v>
      </c>
      <c r="H38" s="2" t="s">
        <v>84</v>
      </c>
      <c r="I38" s="2" t="s">
        <v>213</v>
      </c>
    </row>
    <row r="39" customFormat="false" ht="189.75" hidden="false" customHeight="true" outlineLevel="0" collapsed="false">
      <c r="A39" s="2" t="s">
        <v>214</v>
      </c>
      <c r="B39" s="2" t="s">
        <v>215</v>
      </c>
      <c r="C39" s="3" t="s">
        <v>216</v>
      </c>
      <c r="D39" s="2" t="s">
        <v>217</v>
      </c>
      <c r="E39" s="4" t="n">
        <f aca="false">AVERAGEIFS('Validation (Final)'!$L$2:$L$281,'Validation (Final)'!$A$2:$A$281,A39,'Validation (Final)'!$B$2:$B$281,B39)</f>
        <v>8.01</v>
      </c>
      <c r="F39" s="4" t="n">
        <f aca="false">AVERAGEIFS('Validation (Final)'!$M$2:$M$281,'Validation (Final)'!$A$2:$A$281,A39,'Validation (Final)'!$B$2:$B$281,B39)</f>
        <v>7</v>
      </c>
      <c r="G39" s="2" t="s">
        <v>218</v>
      </c>
      <c r="H39" s="2" t="s">
        <v>84</v>
      </c>
      <c r="I39" s="2" t="s">
        <v>219</v>
      </c>
    </row>
    <row r="40" customFormat="false" ht="189.75" hidden="false" customHeight="true" outlineLevel="0" collapsed="false">
      <c r="A40" s="2" t="s">
        <v>220</v>
      </c>
      <c r="B40" s="2" t="s">
        <v>221</v>
      </c>
      <c r="C40" s="3" t="s">
        <v>222</v>
      </c>
      <c r="D40" s="2" t="s">
        <v>223</v>
      </c>
      <c r="E40" s="4" t="n">
        <f aca="false">AVERAGEIFS('Validation (Final)'!$L$2:$L$281,'Validation (Final)'!$A$2:$A$281,A40,'Validation (Final)'!$B$2:$B$281,B40)</f>
        <v>7.72</v>
      </c>
      <c r="F40" s="4" t="n">
        <f aca="false">AVERAGEIFS('Validation (Final)'!$M$2:$M$281,'Validation (Final)'!$A$2:$A$281,A40,'Validation (Final)'!$B$2:$B$281,B40)</f>
        <v>6.76</v>
      </c>
      <c r="G40" s="2" t="s">
        <v>224</v>
      </c>
      <c r="H40" s="2" t="s">
        <v>84</v>
      </c>
      <c r="I40" s="2" t="s">
        <v>225</v>
      </c>
    </row>
    <row r="41" customFormat="false" ht="189.75" hidden="false" customHeight="true" outlineLevel="0" collapsed="false">
      <c r="A41" s="2" t="s">
        <v>226</v>
      </c>
      <c r="B41" s="2" t="s">
        <v>153</v>
      </c>
      <c r="C41" s="3" t="s">
        <v>227</v>
      </c>
      <c r="D41" s="2" t="s">
        <v>228</v>
      </c>
      <c r="E41" s="4" t="n">
        <f aca="false">AVERAGEIFS('Validation (Final)'!$L$2:$L$281,'Validation (Final)'!$A$2:$A$281,A41,'Validation (Final)'!$B$2:$B$281,B41)</f>
        <v>7.89</v>
      </c>
      <c r="F41" s="4" t="n">
        <f aca="false">AVERAGEIFS('Validation (Final)'!$M$2:$M$281,'Validation (Final)'!$A$2:$A$281,A41,'Validation (Final)'!$B$2:$B$281,B41)</f>
        <v>6.86</v>
      </c>
      <c r="G41" s="2" t="s">
        <v>229</v>
      </c>
      <c r="H41" s="2" t="s">
        <v>84</v>
      </c>
      <c r="I41" s="2" t="s">
        <v>85</v>
      </c>
    </row>
    <row r="42" customFormat="false" ht="189.75" hidden="false" customHeight="true" outlineLevel="0" collapsed="false">
      <c r="A42" s="2" t="s">
        <v>230</v>
      </c>
      <c r="B42" s="2" t="s">
        <v>231</v>
      </c>
      <c r="C42" s="3" t="s">
        <v>232</v>
      </c>
      <c r="D42" s="2" t="s">
        <v>233</v>
      </c>
      <c r="E42" s="4" t="n">
        <f aca="false">AVERAGEIFS('Validation (Final)'!$L$2:$L$281,'Validation (Final)'!$A$2:$A$281,A42,'Validation (Final)'!$B$2:$B$281,B42)</f>
        <v>8.48</v>
      </c>
      <c r="F42" s="4" t="n">
        <f aca="false">AVERAGEIFS('Validation (Final)'!$M$2:$M$281,'Validation (Final)'!$A$2:$A$281,A42,'Validation (Final)'!$B$2:$B$281,B42)</f>
        <v>7.54</v>
      </c>
      <c r="G42" s="2" t="s">
        <v>234</v>
      </c>
      <c r="H42" s="2" t="s">
        <v>84</v>
      </c>
      <c r="I42" s="2" t="s">
        <v>235</v>
      </c>
    </row>
    <row r="43" customFormat="false" ht="189.75" hidden="false" customHeight="true" outlineLevel="0" collapsed="false">
      <c r="A43" s="2" t="s">
        <v>236</v>
      </c>
      <c r="B43" s="2" t="s">
        <v>237</v>
      </c>
      <c r="C43" s="3" t="s">
        <v>238</v>
      </c>
      <c r="D43" s="2" t="s">
        <v>239</v>
      </c>
      <c r="E43" s="4" t="n">
        <f aca="false">AVERAGEIFS('Validation (Final)'!$L$2:$L$281,'Validation (Final)'!$A$2:$A$281,A43,'Validation (Final)'!$B$2:$B$281,B43)</f>
        <v>8.42</v>
      </c>
      <c r="F43" s="4" t="n">
        <f aca="false">AVERAGEIFS('Validation (Final)'!$M$2:$M$281,'Validation (Final)'!$A$2:$A$281,A43,'Validation (Final)'!$B$2:$B$281,B43)</f>
        <v>7.79</v>
      </c>
      <c r="G43" s="2" t="s">
        <v>240</v>
      </c>
      <c r="H43" s="2" t="s">
        <v>84</v>
      </c>
      <c r="I43" s="2" t="s">
        <v>85</v>
      </c>
    </row>
    <row r="44" customFormat="false" ht="189.75" hidden="false" customHeight="true" outlineLevel="0" collapsed="false">
      <c r="A44" s="2" t="s">
        <v>16</v>
      </c>
      <c r="B44" s="2" t="s">
        <v>241</v>
      </c>
      <c r="C44" s="3" t="s">
        <v>242</v>
      </c>
      <c r="D44" s="2" t="s">
        <v>243</v>
      </c>
      <c r="E44" s="4" t="n">
        <f aca="false">AVERAGEIFS('Validation (Final)'!$L$2:$L$281,'Validation (Final)'!$A$2:$A$281,A44,'Validation (Final)'!$B$2:$B$281,B44)</f>
        <v>7.8</v>
      </c>
      <c r="F44" s="4" t="n">
        <f aca="false">AVERAGEIFS('Validation (Final)'!$M$2:$M$281,'Validation (Final)'!$A$2:$A$281,A44,'Validation (Final)'!$B$2:$B$281,B44)</f>
        <v>7.56</v>
      </c>
      <c r="G44" s="2" t="s">
        <v>244</v>
      </c>
      <c r="H44" s="2" t="s">
        <v>84</v>
      </c>
      <c r="I44" s="2" t="s">
        <v>245</v>
      </c>
    </row>
    <row r="45" customFormat="false" ht="189.75" hidden="false" customHeight="true" outlineLevel="0" collapsed="false">
      <c r="A45" s="2" t="s">
        <v>16</v>
      </c>
      <c r="B45" s="2" t="s">
        <v>246</v>
      </c>
      <c r="C45" s="3" t="s">
        <v>247</v>
      </c>
      <c r="D45" s="2" t="s">
        <v>248</v>
      </c>
      <c r="E45" s="4" t="n">
        <f aca="false">AVERAGEIFS('Validation (Final)'!$L$2:$L$281,'Validation (Final)'!$A$2:$A$281,A45,'Validation (Final)'!$B$2:$B$281,B45)</f>
        <v>7.83</v>
      </c>
      <c r="F45" s="4" t="n">
        <f aca="false">AVERAGEIFS('Validation (Final)'!$M$2:$M$281,'Validation (Final)'!$A$2:$A$281,A45,'Validation (Final)'!$B$2:$B$281,B45)</f>
        <v>7.02</v>
      </c>
      <c r="G45" s="2" t="s">
        <v>249</v>
      </c>
      <c r="H45" s="2" t="s">
        <v>84</v>
      </c>
      <c r="I45" s="2" t="s">
        <v>250</v>
      </c>
    </row>
    <row r="46" customFormat="false" ht="189.75" hidden="false" customHeight="true" outlineLevel="0" collapsed="false">
      <c r="A46" s="2" t="s">
        <v>16</v>
      </c>
      <c r="B46" s="2" t="s">
        <v>251</v>
      </c>
      <c r="C46" s="3" t="s">
        <v>252</v>
      </c>
      <c r="D46" s="2" t="s">
        <v>253</v>
      </c>
      <c r="E46" s="4" t="n">
        <f aca="false">AVERAGEIFS('Validation (Final)'!$L$2:$L$281,'Validation (Final)'!$A$2:$A$281,A46,'Validation (Final)'!$B$2:$B$281,B46)</f>
        <v>7.79</v>
      </c>
      <c r="F46" s="4" t="n">
        <f aca="false">AVERAGEIFS('Validation (Final)'!$M$2:$M$281,'Validation (Final)'!$A$2:$A$281,A46,'Validation (Final)'!$B$2:$B$281,B46)</f>
        <v>7.43</v>
      </c>
      <c r="G46" s="2" t="s">
        <v>249</v>
      </c>
      <c r="H46" s="2" t="s">
        <v>84</v>
      </c>
      <c r="I46" s="2" t="s">
        <v>250</v>
      </c>
    </row>
    <row r="47" customFormat="false" ht="189.75" hidden="false" customHeight="true" outlineLevel="0" collapsed="false">
      <c r="A47" s="2" t="s">
        <v>16</v>
      </c>
      <c r="B47" s="2" t="s">
        <v>254</v>
      </c>
      <c r="C47" s="3" t="s">
        <v>255</v>
      </c>
      <c r="D47" s="2" t="s">
        <v>256</v>
      </c>
      <c r="E47" s="4" t="n">
        <f aca="false">AVERAGEIFS('Validation (Final)'!$L$2:$L$281,'Validation (Final)'!$A$2:$A$281,A47,'Validation (Final)'!$B$2:$B$281,B47)</f>
        <v>8.04</v>
      </c>
      <c r="F47" s="4" t="n">
        <f aca="false">AVERAGEIFS('Validation (Final)'!$M$2:$M$281,'Validation (Final)'!$A$2:$A$281,A47,'Validation (Final)'!$B$2:$B$281,B47)</f>
        <v>7.03</v>
      </c>
      <c r="G47" s="2" t="s">
        <v>257</v>
      </c>
      <c r="H47" s="2" t="s">
        <v>84</v>
      </c>
      <c r="I47" s="2" t="s">
        <v>258</v>
      </c>
    </row>
    <row r="48" customFormat="false" ht="189.75" hidden="false" customHeight="true" outlineLevel="0" collapsed="false">
      <c r="A48" s="2" t="s">
        <v>16</v>
      </c>
      <c r="B48" s="2" t="s">
        <v>159</v>
      </c>
      <c r="C48" s="3" t="s">
        <v>259</v>
      </c>
      <c r="D48" s="2" t="s">
        <v>260</v>
      </c>
      <c r="E48" s="4" t="n">
        <f aca="false">AVERAGEIFS('Validation (Final)'!$L$2:$L$281,'Validation (Final)'!$A$2:$A$281,A48,'Validation (Final)'!$B$2:$B$281,B48)</f>
        <v>7.88</v>
      </c>
      <c r="F48" s="4" t="n">
        <f aca="false">AVERAGEIFS('Validation (Final)'!$M$2:$M$281,'Validation (Final)'!$A$2:$A$281,A48,'Validation (Final)'!$B$2:$B$281,B48)</f>
        <v>7.56</v>
      </c>
      <c r="G48" s="2" t="s">
        <v>261</v>
      </c>
      <c r="H48" s="2" t="s">
        <v>84</v>
      </c>
      <c r="I48" s="2" t="s">
        <v>250</v>
      </c>
    </row>
    <row r="49" customFormat="false" ht="189.75" hidden="false" customHeight="true" outlineLevel="0" collapsed="false">
      <c r="A49" s="2" t="s">
        <v>16</v>
      </c>
      <c r="B49" s="2" t="s">
        <v>262</v>
      </c>
      <c r="C49" s="3" t="s">
        <v>263</v>
      </c>
      <c r="D49" s="2" t="s">
        <v>264</v>
      </c>
      <c r="E49" s="4" t="n">
        <f aca="false">AVERAGEIFS('Validation (Final)'!$L$2:$L$281,'Validation (Final)'!$A$2:$A$281,A49,'Validation (Final)'!$B$2:$B$281,B49)</f>
        <v>7.96</v>
      </c>
      <c r="F49" s="4" t="n">
        <f aca="false">AVERAGEIFS('Validation (Final)'!$M$2:$M$281,'Validation (Final)'!$A$2:$A$281,A49,'Validation (Final)'!$B$2:$B$281,B49)</f>
        <v>6.97</v>
      </c>
      <c r="G49" s="2" t="s">
        <v>261</v>
      </c>
      <c r="H49" s="2" t="s">
        <v>84</v>
      </c>
      <c r="I49" s="2" t="s">
        <v>250</v>
      </c>
    </row>
    <row r="50" customFormat="false" ht="189.75" hidden="false" customHeight="true" outlineLevel="0" collapsed="false">
      <c r="A50" s="2" t="s">
        <v>16</v>
      </c>
      <c r="B50" s="2" t="s">
        <v>265</v>
      </c>
      <c r="C50" s="3" t="s">
        <v>266</v>
      </c>
      <c r="D50" s="2" t="s">
        <v>267</v>
      </c>
      <c r="E50" s="4" t="n">
        <f aca="false">AVERAGEIFS('Validation (Final)'!$L$2:$L$281,'Validation (Final)'!$A$2:$A$281,A50,'Validation (Final)'!$B$2:$B$281,B50)</f>
        <v>7.8</v>
      </c>
      <c r="F50" s="4" t="n">
        <f aca="false">AVERAGEIFS('Validation (Final)'!$M$2:$M$281,'Validation (Final)'!$A$2:$A$281,A50,'Validation (Final)'!$B$2:$B$281,B50)</f>
        <v>7.24</v>
      </c>
      <c r="G50" s="2" t="s">
        <v>268</v>
      </c>
      <c r="H50" s="2" t="s">
        <v>84</v>
      </c>
      <c r="I50" s="2" t="s">
        <v>269</v>
      </c>
    </row>
    <row r="51" customFormat="false" ht="189.75" hidden="false" customHeight="true" outlineLevel="0" collapsed="false">
      <c r="A51" s="2" t="s">
        <v>270</v>
      </c>
      <c r="B51" s="2" t="s">
        <v>271</v>
      </c>
      <c r="C51" s="3" t="s">
        <v>272</v>
      </c>
      <c r="D51" s="2" t="s">
        <v>273</v>
      </c>
      <c r="E51" s="4" t="n">
        <f aca="false">AVERAGEIFS('Validation (Final)'!$L$2:$L$281,'Validation (Final)'!$A$2:$A$281,A51,'Validation (Final)'!$B$2:$B$281,B51)</f>
        <v>7.91</v>
      </c>
      <c r="F51" s="4" t="n">
        <f aca="false">AVERAGEIFS('Validation (Final)'!$M$2:$M$281,'Validation (Final)'!$A$2:$A$281,A51,'Validation (Final)'!$B$2:$B$281,B51)</f>
        <v>7.5</v>
      </c>
      <c r="G51" s="2" t="s">
        <v>274</v>
      </c>
      <c r="H51" s="2" t="s">
        <v>84</v>
      </c>
      <c r="I51" s="2" t="s">
        <v>85</v>
      </c>
    </row>
    <row r="52" customFormat="false" ht="189.75" hidden="false" customHeight="true" outlineLevel="0" collapsed="false">
      <c r="A52" s="2" t="s">
        <v>270</v>
      </c>
      <c r="B52" s="2" t="s">
        <v>275</v>
      </c>
      <c r="C52" s="3" t="s">
        <v>276</v>
      </c>
      <c r="D52" s="2" t="s">
        <v>277</v>
      </c>
      <c r="E52" s="4" t="n">
        <f aca="false">AVERAGEIFS('Validation (Final)'!$L$2:$L$281,'Validation (Final)'!$A$2:$A$281,A52,'Validation (Final)'!$B$2:$B$281,B52)</f>
        <v>8.12</v>
      </c>
      <c r="F52" s="4" t="n">
        <f aca="false">AVERAGEIFS('Validation (Final)'!$M$2:$M$281,'Validation (Final)'!$A$2:$A$281,A52,'Validation (Final)'!$B$2:$B$281,B52)</f>
        <v>7.56</v>
      </c>
      <c r="G52" s="2" t="s">
        <v>278</v>
      </c>
      <c r="H52" s="2" t="s">
        <v>84</v>
      </c>
      <c r="I52" s="2" t="s">
        <v>279</v>
      </c>
    </row>
    <row r="53" customFormat="false" ht="189.75" hidden="false" customHeight="true" outlineLevel="0" collapsed="false">
      <c r="A53" s="2" t="s">
        <v>270</v>
      </c>
      <c r="B53" s="2" t="s">
        <v>280</v>
      </c>
      <c r="C53" s="3" t="s">
        <v>281</v>
      </c>
      <c r="D53" s="2" t="s">
        <v>282</v>
      </c>
      <c r="E53" s="4" t="n">
        <f aca="false">AVERAGEIFS('Validation (Final)'!$L$2:$L$281,'Validation (Final)'!$A$2:$A$281,A53,'Validation (Final)'!$B$2:$B$281,B53)</f>
        <v>8.03</v>
      </c>
      <c r="F53" s="4" t="n">
        <f aca="false">AVERAGEIFS('Validation (Final)'!$M$2:$M$281,'Validation (Final)'!$A$2:$A$281,A53,'Validation (Final)'!$B$2:$B$281,B53)</f>
        <v>7.11</v>
      </c>
      <c r="G53" s="2" t="s">
        <v>283</v>
      </c>
      <c r="H53" s="2" t="s">
        <v>84</v>
      </c>
      <c r="I53" s="2" t="s">
        <v>85</v>
      </c>
    </row>
    <row r="54" customFormat="false" ht="189.75" hidden="false" customHeight="true" outlineLevel="0" collapsed="false">
      <c r="A54" s="2" t="s">
        <v>270</v>
      </c>
      <c r="B54" s="2" t="s">
        <v>284</v>
      </c>
      <c r="C54" s="3" t="s">
        <v>285</v>
      </c>
      <c r="D54" s="2" t="s">
        <v>286</v>
      </c>
      <c r="E54" s="4" t="n">
        <f aca="false">AVERAGEIFS('Validation (Final)'!$L$2:$L$281,'Validation (Final)'!$A$2:$A$281,A54,'Validation (Final)'!$B$2:$B$281,B54)</f>
        <v>8.13</v>
      </c>
      <c r="F54" s="4" t="n">
        <f aca="false">AVERAGEIFS('Validation (Final)'!$M$2:$M$281,'Validation (Final)'!$A$2:$A$281,A54,'Validation (Final)'!$B$2:$B$281,B54)</f>
        <v>6.93</v>
      </c>
      <c r="G54" s="2" t="s">
        <v>287</v>
      </c>
      <c r="H54" s="2" t="s">
        <v>84</v>
      </c>
      <c r="I54" s="2" t="s">
        <v>288</v>
      </c>
    </row>
    <row r="55" customFormat="false" ht="189.75" hidden="false" customHeight="true" outlineLevel="0" collapsed="false">
      <c r="A55" s="2" t="s">
        <v>270</v>
      </c>
      <c r="B55" s="2" t="s">
        <v>289</v>
      </c>
      <c r="C55" s="3" t="s">
        <v>290</v>
      </c>
      <c r="D55" s="2" t="s">
        <v>291</v>
      </c>
      <c r="E55" s="4" t="n">
        <f aca="false">AVERAGEIFS('Validation (Final)'!$L$2:$L$281,'Validation (Final)'!$A$2:$A$281,A55,'Validation (Final)'!$B$2:$B$281,B55)</f>
        <v>7.8</v>
      </c>
      <c r="F55" s="4" t="n">
        <f aca="false">AVERAGEIFS('Validation (Final)'!$M$2:$M$281,'Validation (Final)'!$A$2:$A$281,A55,'Validation (Final)'!$B$2:$B$281,B55)</f>
        <v>6.76</v>
      </c>
      <c r="G55" s="2" t="s">
        <v>287</v>
      </c>
      <c r="H55" s="2" t="s">
        <v>84</v>
      </c>
      <c r="I55" s="2" t="s">
        <v>292</v>
      </c>
    </row>
    <row r="56" customFormat="false" ht="189.75" hidden="false" customHeight="true" outlineLevel="0" collapsed="false">
      <c r="A56" s="2" t="s">
        <v>270</v>
      </c>
      <c r="B56" s="2" t="s">
        <v>293</v>
      </c>
      <c r="C56" s="3" t="s">
        <v>294</v>
      </c>
      <c r="D56" s="2" t="s">
        <v>295</v>
      </c>
      <c r="E56" s="4" t="n">
        <f aca="false">AVERAGEIFS('Validation (Final)'!$L$2:$L$281,'Validation (Final)'!$A$2:$A$281,A56,'Validation (Final)'!$B$2:$B$281,B56)</f>
        <v>7.72</v>
      </c>
      <c r="F56" s="4" t="n">
        <f aca="false">AVERAGEIFS('Validation (Final)'!$M$2:$M$281,'Validation (Final)'!$A$2:$A$281,A56,'Validation (Final)'!$B$2:$B$281,B56)</f>
        <v>6.85</v>
      </c>
      <c r="G56" s="2" t="s">
        <v>296</v>
      </c>
      <c r="H56" s="2" t="s">
        <v>84</v>
      </c>
      <c r="I56" s="2" t="s">
        <v>297</v>
      </c>
    </row>
    <row r="57" customFormat="false" ht="189.75" hidden="false" customHeight="true" outlineLevel="0" collapsed="false">
      <c r="A57" s="2" t="s">
        <v>270</v>
      </c>
      <c r="B57" s="2" t="s">
        <v>298</v>
      </c>
      <c r="C57" s="3" t="s">
        <v>299</v>
      </c>
      <c r="D57" s="2" t="s">
        <v>300</v>
      </c>
      <c r="E57" s="4" t="n">
        <f aca="false">AVERAGEIFS('Validation (Final)'!$L$2:$L$281,'Validation (Final)'!$A$2:$A$281,A57,'Validation (Final)'!$B$2:$B$281,B57)</f>
        <v>7.39</v>
      </c>
      <c r="F57" s="4" t="n">
        <f aca="false">AVERAGEIFS('Validation (Final)'!$M$2:$M$281,'Validation (Final)'!$A$2:$A$281,A57,'Validation (Final)'!$B$2:$B$281,B57)</f>
        <v>6.31</v>
      </c>
      <c r="G57" s="2" t="s">
        <v>287</v>
      </c>
      <c r="H57" s="2" t="s">
        <v>84</v>
      </c>
      <c r="I57" s="2" t="s">
        <v>301</v>
      </c>
    </row>
  </sheetData>
  <hyperlinks>
    <hyperlink ref="C2" r:id="rId1" display="https://www.amazon.jobs/en/jobs/3141336/software-engineer-i"/>
    <hyperlink ref="C3" r:id="rId2" display="https://www.amazon.jobs/en/jobs/10502486/software-engineer-i-payments"/>
    <hyperlink ref="C4" r:id="rId3" display="https://careers.mastercard.com/us/en/job/R-292618/Software-Engineer-I"/>
    <hyperlink ref="C5" r:id="rId4" display="https://job-boards.greenhouse.io/addepar1/jobs/8538666002"/>
    <hyperlink ref="C6" r:id="rId5" display="https://job-boards.greenhouse.io/addepar1/jobs/8606946002"/>
    <hyperlink ref="C7" r:id="rId6" display="https://jobs.ashbyhq.com/rescale/fdba3410-d255-4879-9a6e-bed488b4a1fc"/>
    <hyperlink ref="C8" r:id="rId7" display="https://job-boards.greenhouse.io/affirm/jobs/8008649003"/>
    <hyperlink ref="C9" r:id="rId8" display="https://jobs.lever.co/palantir/e500bcf3-19d8-4d3c-b340-4d76e4a55b40"/>
    <hyperlink ref="C10" r:id="rId9" display="https://jobs.ashbyhq.com/harvey/4d8dc9ba-eb86-4d88-af7d-65d2fdaf3fdc"/>
    <hyperlink ref="C11" r:id="rId10" display="https://jobs.ashbyhq.com/replit/b5e81eae-06f9-4798-8988-2d06ca936dbc"/>
    <hyperlink ref="C12" r:id="rId11" display="https://jobs.ashbyhq.com/cursor/d0e5b41d-84ab-4887-bd3a-55589b11dd7b"/>
    <hyperlink ref="C13" r:id="rId12" display="https://jobs.ashbyhq.com/notion/e32799d2-8ef8-4803-8189-c72514afa816"/>
    <hyperlink ref="C14" r:id="rId13" display="https://jobs.ashbyhq.com/whatnot/29bad846-de60-4be7-a222-69b97e044930"/>
    <hyperlink ref="C15" r:id="rId14" display="https://jobs.ashbyhq.com/zip/df6eb1ee-b360-46fe-b23f-658626ec59ea/application"/>
    <hyperlink ref="C16" r:id="rId15" display="https://jobs.ashbyhq.com/plaid/5c5d4414-347c-4caa-be88-384dec2d074b"/>
    <hyperlink ref="C17" r:id="rId16" display="https://jobs.ashbyhq.com/traba/e1761ab2-21f1-46d6-8c69-9b4a73d9430f"/>
    <hyperlink ref="C18" r:id="rId17" display="https://jobs.ashbyhq.com/serval/2bfaede4-22b2-43b2-a14c-f45e5f398624"/>
    <hyperlink ref="C19" r:id="rId18" display="https://jobs.ashbyhq.com/liveflow/e1ba2bad-030a-4bc2-9bbd-f1375f712a57"/>
    <hyperlink ref="C20" r:id="rId19" display="https://jobs.ashbyhq.com/hilberts/989d547f-1f23-43b9-b8e8-c8771d7d4286"/>
    <hyperlink ref="C21" r:id="rId20" display="https://jobs.ashbyhq.com/The-Flex/82eafc9b-c4c0-4310-8b9d-9f5410ff0d53"/>
    <hyperlink ref="C22" r:id="rId21" display="https://jobs.ashbyhq.com/pivotal-health/74f89bd9-30ca-4cf9-ab50-e0f1d2af2431"/>
    <hyperlink ref="C23" r:id="rId22" display="https://jobs.ashbyhq.com/applied/981054d6-d6d9-4553-9db8-38e56939d3b8"/>
    <hyperlink ref="C24" r:id="rId23" display="https://jobs.ashbyhq.com/perplexity/3c656963-876a-458d-bca6-916a42a24c1a"/>
    <hyperlink ref="C25" r:id="rId24" display="https://job-boards.greenhouse.io/smartsheet/jobs/8097667"/>
    <hyperlink ref="C26" r:id="rId25" display="https://job-boards.greenhouse.io/conga/jobs/5116390007"/>
    <hyperlink ref="C27" r:id="rId26" display="https://job-boards.greenhouse.io/zipcolimited/jobs/4564108006"/>
    <hyperlink ref="C28" r:id="rId27" display="https://job-boards.greenhouse.io/roo/jobs/5373552008"/>
    <hyperlink ref="C29" r:id="rId28" display="https://job-boards.greenhouse.io/clear/jobs/8241829"/>
    <hyperlink ref="C30" r:id="rId29" display="https://job-boards.greenhouse.io/semgrep/jobs/4969529007"/>
    <hyperlink ref="C31" r:id="rId30" display="https://job-boards.greenhouse.io/aquaticcapitalmanagement/jobs/8489226002"/>
    <hyperlink ref="C32" r:id="rId31" display="https://job-boards.greenhouse.io/idme/jobs/8011089003"/>
    <hyperlink ref="C33" r:id="rId32" display="https://job-boards.greenhouse.io/andurilindustries/jobs/4802146007"/>
    <hyperlink ref="C34" r:id="rId33" display="https://job-boards.greenhouse.io/kodiak/jobs/4028715009"/>
    <hyperlink ref="C35" r:id="rId34" display="https://job-boards.greenhouse.io/wonderschool/jobs/6359139003"/>
    <hyperlink ref="C36" r:id="rId35" display="https://job-boards.greenhouse.io/asm/jobs/4876722101"/>
    <hyperlink ref="C37" r:id="rId36" display="https://job-boards.greenhouse.io/sirenopt/jobs/4452002009"/>
    <hyperlink ref="C38" r:id="rId37" display="https://jobs.lever.co/lendbuzz/93c0a50a-f9a6-40a1-a97f-b39d8f1b6656"/>
    <hyperlink ref="C39" r:id="rId38" display="https://jobs.lever.co/peakgames/cfaf2251-1472-4e73-b0a3-e3e88df7aa91"/>
    <hyperlink ref="C40" r:id="rId39" display="https://jobs.lever.co/hive/9461e715-9e58-4414-bc9b-13e449f92b08"/>
    <hyperlink ref="C41" r:id="rId40" display="https://jobs.lever.co/thinkahead/a060eb0f-efc2-4b36-8363-049c657df49c"/>
    <hyperlink ref="C42" r:id="rId41" display="https://jobs.lever.co/pattern/62a5df2a-4387-416b-a6e2-639579c9b7ad"/>
    <hyperlink ref="C43" r:id="rId42" display="https://jobs.lever.co/ifm-us/1454349c-eb2b-480b-9a57-edfbb2aeeffe"/>
    <hyperlink ref="C44" r:id="rId43" display="https://www.amazon.jobs/en/jobs/10573768/software-engineer-i"/>
    <hyperlink ref="C45" r:id="rId44" display="https://www.amazon.jobs/en/jobs/10468973/software-engineer-i-discovery"/>
    <hyperlink ref="C46" r:id="rId45" display="https://www.amazon.jobs/en/jobs/3154041/software-engineer-i-builder"/>
    <hyperlink ref="C47" r:id="rId46" display="https://www.amazon.jobs/en/jobs/10432823/software-development-engineer-i-finops-fp-a"/>
    <hyperlink ref="C48" r:id="rId47" display="https://www.amazon.jobs/en/jobs/10580014/software-development-engineer-i"/>
    <hyperlink ref="C49" r:id="rId48" display="https://www.amazon.jobs/en/jobs/10406482/software-dev-engineer-i"/>
    <hyperlink ref="C50" r:id="rId49" display="https://www.amazon.jobs/en/jobs/10529830/software-development-engineer-early-career"/>
    <hyperlink ref="C51" r:id="rId50" display="https://www.google.com/about/careers/applications/jobs/results/133251589958705862-software-engineer-ii"/>
    <hyperlink ref="C52" r:id="rId51" display="https://www.google.com/about/careers/applications/jobs/results/78230576405848774-software-engineer-ii/"/>
    <hyperlink ref="C53" r:id="rId52" display="https://www.google.com/about/careers/applications/jobs/results/138674961899233990-software-engineer-ii-corp-eng"/>
    <hyperlink ref="C54" r:id="rId53" display="https://www.google.com/about/careers/applications/jobs/results/106165773843473094-software-engineer-ii/"/>
    <hyperlink ref="C55" r:id="rId54" display="https://www.google.com/about/careers/applications/jobs/results/92367747647709894-software-engineer-ii/"/>
    <hyperlink ref="C56" r:id="rId55" display="https://careers.google.com/jobs/results/106279833142469318-software-engineer-ii/"/>
    <hyperlink ref="C57" r:id="rId56" display="https://www.google.com/about/careers/applications/jobs/results/77784007952999110-software-engineer-ii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8" min="4" style="0" width="16"/>
  </cols>
  <sheetData>
    <row r="1" customFormat="false" ht="57.75" hidden="false" customHeight="true" outlineLevel="0" collapsed="false">
      <c r="A1" s="1" t="s">
        <v>302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</row>
    <row r="2" customFormat="false" ht="15" hidden="false" customHeight="false" outlineLevel="0" collapsed="false">
      <c r="A2" s="5" t="n">
        <v>0</v>
      </c>
      <c r="B2" s="5" t="n">
        <v>0</v>
      </c>
      <c r="C2" s="5" t="n">
        <v>0</v>
      </c>
      <c r="D2" s="6" t="n">
        <f aca="false">AVERAGE('Round State'!B2:B71)</f>
        <v>7.22571428571429</v>
      </c>
      <c r="E2" s="6" t="n">
        <f aca="false">AVERAGE('Round State'!B72:B281)</f>
        <v>7.19357142857143</v>
      </c>
      <c r="F2" s="6" t="n">
        <f aca="false">AVERAGE('Round State'!B2:B281)</f>
        <v>7.20160714285714</v>
      </c>
      <c r="G2" s="5" t="n">
        <f aca="false">COUNTIF('Round State'!B72:B281,"&gt;=8")</f>
        <v>25</v>
      </c>
      <c r="H2" s="6" t="n">
        <f aca="false">MIN('Round State'!B72:B281)</f>
        <v>5.9</v>
      </c>
    </row>
    <row r="3" customFormat="false" ht="15" hidden="false" customHeight="false" outlineLevel="0" collapsed="false">
      <c r="A3" s="5" t="n">
        <v>1</v>
      </c>
      <c r="B3" s="5" t="n">
        <v>21</v>
      </c>
      <c r="C3" s="5" t="n">
        <v>210</v>
      </c>
      <c r="D3" s="6" t="n">
        <f aca="false">AVERAGE('Round State'!C2:C71)</f>
        <v>7.49142857142857</v>
      </c>
      <c r="E3" s="6" t="n">
        <f aca="false">AVERAGE('Round State'!C72:C281)</f>
        <v>7.89761904761905</v>
      </c>
      <c r="F3" s="6" t="n">
        <f aca="false">AVERAGE('Round State'!C2:C281)</f>
        <v>7.79607142857143</v>
      </c>
      <c r="G3" s="5" t="n">
        <f aca="false">COUNTIF('Round State'!C72:C281,"&gt;=8")</f>
        <v>72</v>
      </c>
      <c r="H3" s="6" t="n">
        <f aca="false">MIN('Round State'!C72:C281)</f>
        <v>6.3</v>
      </c>
    </row>
    <row r="4" customFormat="false" ht="15" hidden="false" customHeight="false" outlineLevel="0" collapsed="false">
      <c r="A4" s="5" t="n">
        <v>2</v>
      </c>
      <c r="B4" s="5" t="n">
        <v>32</v>
      </c>
      <c r="C4" s="5" t="n">
        <v>28</v>
      </c>
      <c r="D4" s="6" t="n">
        <f aca="false">AVERAGE('Round State'!D2:D71)</f>
        <v>7.68</v>
      </c>
      <c r="E4" s="6" t="n">
        <f aca="false">AVERAGE('Round State'!D72:D281)</f>
        <v>7.96690476190476</v>
      </c>
      <c r="F4" s="6" t="n">
        <f aca="false">AVERAGE('Round State'!D2:D281)</f>
        <v>7.89517857142857</v>
      </c>
      <c r="G4" s="5" t="n">
        <f aca="false">COUNTIF('Round State'!D72:D281,"&gt;=8")</f>
        <v>77</v>
      </c>
      <c r="H4" s="6" t="n">
        <f aca="false">MIN('Round State'!D72:D281)</f>
        <v>7.05</v>
      </c>
    </row>
    <row r="5" customFormat="false" ht="15" hidden="false" customHeight="false" outlineLevel="0" collapsed="false">
      <c r="A5" s="5" t="n">
        <v>3</v>
      </c>
      <c r="B5" s="5" t="n">
        <v>22</v>
      </c>
      <c r="C5" s="5" t="n">
        <v>15</v>
      </c>
      <c r="D5" s="6" t="n">
        <f aca="false">AVERAGE('Round State'!E2:E71)</f>
        <v>7.72928571428571</v>
      </c>
      <c r="E5" s="6" t="n">
        <f aca="false">AVERAGE('Round State'!E72:E281)</f>
        <v>7.99309523809524</v>
      </c>
      <c r="F5" s="6" t="n">
        <f aca="false">AVERAGE('Round State'!E2:E281)</f>
        <v>7.92714285714286</v>
      </c>
      <c r="G5" s="5" t="n">
        <f aca="false">COUNTIF('Round State'!E72:E281,"&gt;=8")</f>
        <v>81</v>
      </c>
      <c r="H5" s="6" t="n">
        <f aca="false">MIN('Round State'!E72:E281)</f>
        <v>7.1</v>
      </c>
    </row>
    <row r="7" customFormat="false" ht="75" hidden="false" customHeight="true" outlineLevel="0" collapsed="false">
      <c r="A7" s="7" t="s">
        <v>310</v>
      </c>
      <c r="B7" s="7"/>
      <c r="C7" s="7"/>
      <c r="D7" s="7"/>
      <c r="E7" s="7"/>
      <c r="F7" s="7"/>
      <c r="G7" s="7"/>
      <c r="H7" s="7"/>
    </row>
  </sheetData>
  <mergeCells count="1">
    <mergeCell ref="A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8" t="s">
        <v>311</v>
      </c>
    </row>
    <row r="3" customFormat="false" ht="15" hidden="false" customHeight="false" outlineLevel="0" collapsed="false">
      <c r="A3" s="9" t="s">
        <v>312</v>
      </c>
      <c r="B3" s="9" t="s">
        <v>313</v>
      </c>
      <c r="C3" s="9" t="s">
        <v>314</v>
      </c>
      <c r="D3" s="9" t="s">
        <v>315</v>
      </c>
    </row>
    <row r="4" customFormat="false" ht="15" hidden="false" customHeight="false" outlineLevel="0" collapsed="false">
      <c r="A4" s="10" t="s">
        <v>316</v>
      </c>
      <c r="B4" s="11" t="n">
        <v>0.05</v>
      </c>
      <c r="C4" s="10" t="s">
        <v>317</v>
      </c>
      <c r="D4" s="10" t="s">
        <v>318</v>
      </c>
    </row>
    <row r="5" customFormat="false" ht="15" hidden="false" customHeight="false" outlineLevel="0" collapsed="false">
      <c r="A5" s="10" t="s">
        <v>319</v>
      </c>
      <c r="B5" s="11" t="n">
        <v>0.15</v>
      </c>
      <c r="C5" s="10" t="s">
        <v>320</v>
      </c>
      <c r="D5" s="10" t="s">
        <v>321</v>
      </c>
    </row>
    <row r="6" customFormat="false" ht="15" hidden="false" customHeight="false" outlineLevel="0" collapsed="false">
      <c r="A6" s="10" t="s">
        <v>322</v>
      </c>
      <c r="B6" s="11" t="n">
        <v>0.1</v>
      </c>
      <c r="C6" s="10" t="s">
        <v>323</v>
      </c>
      <c r="D6" s="10" t="s">
        <v>324</v>
      </c>
    </row>
    <row r="7" customFormat="false" ht="23.85" hidden="false" customHeight="false" outlineLevel="0" collapsed="false">
      <c r="A7" s="10" t="s">
        <v>325</v>
      </c>
      <c r="B7" s="11" t="n">
        <v>0.1</v>
      </c>
      <c r="C7" s="10" t="s">
        <v>326</v>
      </c>
      <c r="D7" s="10" t="s">
        <v>327</v>
      </c>
    </row>
    <row r="8" customFormat="false" ht="23.85" hidden="false" customHeight="false" outlineLevel="0" collapsed="false">
      <c r="A8" s="10" t="s">
        <v>328</v>
      </c>
      <c r="B8" s="11" t="n">
        <v>0.4</v>
      </c>
      <c r="C8" s="10" t="s">
        <v>329</v>
      </c>
      <c r="D8" s="10" t="s">
        <v>330</v>
      </c>
    </row>
    <row r="9" customFormat="false" ht="23.85" hidden="false" customHeight="false" outlineLevel="0" collapsed="false">
      <c r="A9" s="10" t="s">
        <v>331</v>
      </c>
      <c r="B9" s="11" t="n">
        <v>0.1</v>
      </c>
      <c r="C9" s="10" t="s">
        <v>332</v>
      </c>
      <c r="D9" s="10" t="s">
        <v>333</v>
      </c>
    </row>
    <row r="10" customFormat="false" ht="15" hidden="false" customHeight="false" outlineLevel="0" collapsed="false">
      <c r="A10" s="10" t="s">
        <v>334</v>
      </c>
      <c r="B10" s="11" t="n">
        <v>0.1</v>
      </c>
      <c r="C10" s="10" t="s">
        <v>335</v>
      </c>
      <c r="D10" s="10" t="s">
        <v>336</v>
      </c>
    </row>
    <row r="11" customFormat="false" ht="15" hidden="false" customHeight="false" outlineLevel="0" collapsed="false">
      <c r="A11" s="10"/>
      <c r="B11" s="10"/>
      <c r="C11" s="10"/>
      <c r="D11" s="10"/>
    </row>
    <row r="12" customFormat="false" ht="15" hidden="false" customHeight="false" outlineLevel="0" collapsed="false">
      <c r="A12" s="10" t="s">
        <v>337</v>
      </c>
      <c r="B12" s="12" t="n">
        <v>7</v>
      </c>
      <c r="C12" s="10" t="s">
        <v>338</v>
      </c>
      <c r="D12" s="10"/>
    </row>
    <row r="13" customFormat="false" ht="23.85" hidden="false" customHeight="false" outlineLevel="0" collapsed="false">
      <c r="A13" s="10" t="s">
        <v>339</v>
      </c>
      <c r="B13" s="12" t="n">
        <v>1</v>
      </c>
      <c r="C13" s="10" t="s">
        <v>340</v>
      </c>
      <c r="D13" s="10"/>
    </row>
    <row r="14" customFormat="false" ht="15" hidden="false" customHeight="false" outlineLevel="0" collapsed="false">
      <c r="A14" s="10" t="s">
        <v>341</v>
      </c>
      <c r="B14" s="13" t="n">
        <f aca="false">SUM(B4:B10)</f>
        <v>1</v>
      </c>
      <c r="C14" s="10"/>
      <c r="D14" s="10"/>
    </row>
    <row r="16" customFormat="false" ht="15" hidden="false" customHeight="false" outlineLevel="0" collapsed="false">
      <c r="A16" s="8" t="s">
        <v>342</v>
      </c>
    </row>
    <row r="17" customFormat="false" ht="42" hidden="false" customHeight="true" outlineLevel="0" collapsed="false">
      <c r="A17" s="7" t="s">
        <v>343</v>
      </c>
      <c r="B17" s="7"/>
      <c r="C17" s="7"/>
      <c r="D17" s="7"/>
    </row>
    <row r="18" customFormat="false" ht="42" hidden="false" customHeight="true" outlineLevel="0" collapsed="false">
      <c r="A18" s="7" t="s">
        <v>344</v>
      </c>
      <c r="B18" s="7"/>
      <c r="C18" s="7"/>
      <c r="D18" s="7"/>
    </row>
    <row r="19" customFormat="false" ht="42" hidden="false" customHeight="true" outlineLevel="0" collapsed="false">
      <c r="A19" s="7" t="s">
        <v>345</v>
      </c>
      <c r="B19" s="7"/>
      <c r="C19" s="7"/>
      <c r="D19" s="7"/>
    </row>
    <row r="20" customFormat="false" ht="42" hidden="false" customHeight="true" outlineLevel="0" collapsed="false">
      <c r="A20" s="7" t="s">
        <v>346</v>
      </c>
      <c r="B20" s="7"/>
      <c r="C20" s="7"/>
      <c r="D20" s="7"/>
    </row>
    <row r="21" customFormat="false" ht="42" hidden="false" customHeight="true" outlineLevel="0" collapsed="false">
      <c r="A21" s="7" t="s">
        <v>347</v>
      </c>
      <c r="B21" s="7"/>
      <c r="C21" s="7"/>
      <c r="D21" s="7"/>
    </row>
    <row r="22" customFormat="false" ht="42" hidden="false" customHeight="true" outlineLevel="0" collapsed="false">
      <c r="A22" s="7" t="s">
        <v>348</v>
      </c>
      <c r="B22" s="7"/>
      <c r="C22" s="7"/>
      <c r="D22" s="7"/>
    </row>
    <row r="23" customFormat="false" ht="42" hidden="false" customHeight="true" outlineLevel="0" collapsed="false">
      <c r="A23" s="7" t="s">
        <v>349</v>
      </c>
      <c r="B23" s="7"/>
      <c r="C23" s="7"/>
      <c r="D23" s="7"/>
    </row>
  </sheetData>
  <mergeCells count="7">
    <mergeCell ref="A17:D17"/>
    <mergeCell ref="A18:D18"/>
    <mergeCell ref="A19:D19"/>
    <mergeCell ref="A20:D20"/>
    <mergeCell ref="A21:D21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85"/>
    <col collapsed="false" customWidth="true" hidden="false" outlineLevel="0" max="9" min="5" style="0" width="10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9"/>
    <col collapsed="false" customWidth="true" hidden="false" outlineLevel="0" max="15" min="15" style="0" width="6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350</v>
      </c>
      <c r="D1" s="1" t="s">
        <v>351</v>
      </c>
      <c r="E1" s="1" t="s">
        <v>316</v>
      </c>
      <c r="F1" s="1" t="s">
        <v>319</v>
      </c>
      <c r="G1" s="1" t="s">
        <v>322</v>
      </c>
      <c r="H1" s="1" t="s">
        <v>325</v>
      </c>
      <c r="I1" s="1" t="s">
        <v>328</v>
      </c>
      <c r="J1" s="1" t="s">
        <v>352</v>
      </c>
      <c r="K1" s="1" t="s">
        <v>334</v>
      </c>
      <c r="L1" s="1" t="s">
        <v>353</v>
      </c>
      <c r="M1" s="1" t="s">
        <v>354</v>
      </c>
      <c r="N1" s="1" t="s">
        <v>355</v>
      </c>
      <c r="O1" s="1" t="s">
        <v>356</v>
      </c>
    </row>
    <row r="2" customFormat="false" ht="23.85" hidden="false" customHeight="false" outlineLevel="0" collapsed="false">
      <c r="A2" s="2" t="s">
        <v>9</v>
      </c>
      <c r="B2" s="2" t="s">
        <v>10</v>
      </c>
      <c r="C2" s="14" t="n">
        <v>1</v>
      </c>
      <c r="D2" s="2" t="s">
        <v>357</v>
      </c>
      <c r="E2" s="15" t="n">
        <v>7</v>
      </c>
      <c r="F2" s="15" t="n">
        <v>8</v>
      </c>
      <c r="G2" s="15" t="n">
        <v>8</v>
      </c>
      <c r="H2" s="15" t="n">
        <v>4</v>
      </c>
      <c r="I2" s="15" t="n">
        <v>8</v>
      </c>
      <c r="J2" s="15" t="n">
        <v>8</v>
      </c>
      <c r="K2" s="15" t="n">
        <v>8</v>
      </c>
      <c r="L2" s="4" t="n">
        <f aca="false">ROUND(E2*Rubric!$B$4+F2*Rubric!$B$5+G2*Rubric!$B$6+H2*Rubric!$B$7+I2*Rubric!$B$8+J2*Rubric!$B$9+K2*Rubric!$B$10-IF(OR(G2&lt;Rubric!$B$12,J2&lt;Rubric!$B$12),Rubric!$B$13,0),2)</f>
        <v>7.55</v>
      </c>
      <c r="M2" s="4" t="n">
        <f aca="false">SUMIFS('Revision Log'!$M:$M,'Revision Log'!$N:$N,O2,'Revision Log'!$C:$C,0)</f>
        <v>7.25</v>
      </c>
      <c r="N2" s="16" t="n">
        <f aca="false">L2-M2</f>
        <v>0.3</v>
      </c>
      <c r="O2" s="14" t="n">
        <v>0</v>
      </c>
    </row>
    <row r="3" customFormat="false" ht="23.85" hidden="false" customHeight="false" outlineLevel="0" collapsed="false">
      <c r="A3" s="2" t="s">
        <v>9</v>
      </c>
      <c r="B3" s="2" t="s">
        <v>10</v>
      </c>
      <c r="C3" s="14" t="n">
        <v>2</v>
      </c>
      <c r="D3" s="2" t="s">
        <v>358</v>
      </c>
      <c r="E3" s="15" t="n">
        <v>9</v>
      </c>
      <c r="F3" s="15" t="n">
        <v>9</v>
      </c>
      <c r="G3" s="15" t="n">
        <v>8</v>
      </c>
      <c r="H3" s="15" t="n">
        <v>4</v>
      </c>
      <c r="I3" s="15" t="n">
        <v>8</v>
      </c>
      <c r="J3" s="15" t="n">
        <v>9</v>
      </c>
      <c r="K3" s="15" t="n">
        <v>8</v>
      </c>
      <c r="L3" s="4" t="n">
        <f aca="false">ROUND(E3*Rubric!$B$4+F3*Rubric!$B$5+G3*Rubric!$B$6+H3*Rubric!$B$7+I3*Rubric!$B$8+J3*Rubric!$B$9+K3*Rubric!$B$10-IF(OR(G3&lt;Rubric!$B$12,J3&lt;Rubric!$B$12),Rubric!$B$13,0),2)</f>
        <v>7.9</v>
      </c>
      <c r="M3" s="4" t="n">
        <f aca="false">SUMIFS('Revision Log'!$M:$M,'Revision Log'!$N:$N,O3,'Revision Log'!$C:$C,0)</f>
        <v>7.9</v>
      </c>
      <c r="N3" s="16" t="n">
        <f aca="false">L3-M3</f>
        <v>0</v>
      </c>
      <c r="O3" s="14" t="n">
        <v>1</v>
      </c>
    </row>
    <row r="4" customFormat="false" ht="23.85" hidden="false" customHeight="false" outlineLevel="0" collapsed="false">
      <c r="A4" s="2" t="s">
        <v>9</v>
      </c>
      <c r="B4" s="2" t="s">
        <v>10</v>
      </c>
      <c r="C4" s="14" t="n">
        <v>3</v>
      </c>
      <c r="D4" s="2" t="s">
        <v>359</v>
      </c>
      <c r="E4" s="15" t="n">
        <v>9</v>
      </c>
      <c r="F4" s="15" t="n">
        <v>8</v>
      </c>
      <c r="G4" s="15" t="n">
        <v>8</v>
      </c>
      <c r="H4" s="15" t="n">
        <v>4</v>
      </c>
      <c r="I4" s="15" t="n">
        <v>7</v>
      </c>
      <c r="J4" s="15" t="n">
        <v>8</v>
      </c>
      <c r="K4" s="15" t="n">
        <v>7</v>
      </c>
      <c r="L4" s="4" t="n">
        <f aca="false">ROUND(E4*Rubric!$B$4+F4*Rubric!$B$5+G4*Rubric!$B$6+H4*Rubric!$B$7+I4*Rubric!$B$8+J4*Rubric!$B$9+K4*Rubric!$B$10-IF(OR(G4&lt;Rubric!$B$12,J4&lt;Rubric!$B$12),Rubric!$B$13,0),2)</f>
        <v>7.15</v>
      </c>
      <c r="M4" s="4" t="n">
        <f aca="false">SUMIFS('Revision Log'!$M:$M,'Revision Log'!$N:$N,O4,'Revision Log'!$C:$C,0)</f>
        <v>7</v>
      </c>
      <c r="N4" s="16" t="n">
        <f aca="false">L4-M4</f>
        <v>0.15</v>
      </c>
      <c r="O4" s="14" t="n">
        <v>2</v>
      </c>
    </row>
    <row r="5" customFormat="false" ht="23.85" hidden="false" customHeight="false" outlineLevel="0" collapsed="false">
      <c r="A5" s="2" t="s">
        <v>9</v>
      </c>
      <c r="B5" s="2" t="s">
        <v>10</v>
      </c>
      <c r="C5" s="14" t="n">
        <v>4</v>
      </c>
      <c r="D5" s="2" t="s">
        <v>360</v>
      </c>
      <c r="E5" s="15" t="n">
        <v>9</v>
      </c>
      <c r="F5" s="15" t="n">
        <v>8</v>
      </c>
      <c r="G5" s="15" t="n">
        <v>8</v>
      </c>
      <c r="H5" s="15" t="n">
        <v>3</v>
      </c>
      <c r="I5" s="15" t="n">
        <v>7</v>
      </c>
      <c r="J5" s="15" t="n">
        <v>8</v>
      </c>
      <c r="K5" s="15" t="n">
        <v>7</v>
      </c>
      <c r="L5" s="4" t="n">
        <f aca="false">ROUND(E5*Rubric!$B$4+F5*Rubric!$B$5+G5*Rubric!$B$6+H5*Rubric!$B$7+I5*Rubric!$B$8+J5*Rubric!$B$9+K5*Rubric!$B$10-IF(OR(G5&lt;Rubric!$B$12,J5&lt;Rubric!$B$12),Rubric!$B$13,0),2)</f>
        <v>7.05</v>
      </c>
      <c r="M5" s="4" t="n">
        <f aca="false">SUMIFS('Revision Log'!$M:$M,'Revision Log'!$N:$N,O5,'Revision Log'!$C:$C,0)</f>
        <v>6.75</v>
      </c>
      <c r="N5" s="16" t="n">
        <f aca="false">L5-M5</f>
        <v>0.3</v>
      </c>
      <c r="O5" s="14" t="n">
        <v>3</v>
      </c>
    </row>
    <row r="6" customFormat="false" ht="23.85" hidden="false" customHeight="false" outlineLevel="0" collapsed="false">
      <c r="A6" s="2" t="s">
        <v>9</v>
      </c>
      <c r="B6" s="2" t="s">
        <v>10</v>
      </c>
      <c r="C6" s="14" t="n">
        <v>5</v>
      </c>
      <c r="D6" s="2" t="s">
        <v>361</v>
      </c>
      <c r="E6" s="15" t="n">
        <v>9</v>
      </c>
      <c r="F6" s="15" t="n">
        <v>7</v>
      </c>
      <c r="G6" s="15" t="n">
        <v>8</v>
      </c>
      <c r="H6" s="15" t="n">
        <v>8</v>
      </c>
      <c r="I6" s="15" t="n">
        <v>7</v>
      </c>
      <c r="J6" s="15" t="n">
        <v>8</v>
      </c>
      <c r="K6" s="15" t="n">
        <v>7</v>
      </c>
      <c r="L6" s="4" t="n">
        <f aca="false">ROUND(E6*Rubric!$B$4+F6*Rubric!$B$5+G6*Rubric!$B$6+H6*Rubric!$B$7+I6*Rubric!$B$8+J6*Rubric!$B$9+K6*Rubric!$B$10-IF(OR(G6&lt;Rubric!$B$12,J6&lt;Rubric!$B$12),Rubric!$B$13,0),2)</f>
        <v>7.4</v>
      </c>
      <c r="M6" s="4" t="n">
        <f aca="false">SUMIFS('Revision Log'!$M:$M,'Revision Log'!$N:$N,O6,'Revision Log'!$C:$C,0)</f>
        <v>7.25</v>
      </c>
      <c r="N6" s="16" t="n">
        <f aca="false">L6-M6</f>
        <v>0.15</v>
      </c>
      <c r="O6" s="14" t="n">
        <v>4</v>
      </c>
    </row>
    <row r="7" customFormat="false" ht="23.85" hidden="false" customHeight="false" outlineLevel="0" collapsed="false">
      <c r="A7" s="2" t="s">
        <v>16</v>
      </c>
      <c r="B7" s="2" t="s">
        <v>17</v>
      </c>
      <c r="C7" s="14" t="n">
        <v>1</v>
      </c>
      <c r="D7" s="2" t="s">
        <v>362</v>
      </c>
      <c r="E7" s="15" t="n">
        <v>9</v>
      </c>
      <c r="F7" s="15" t="n">
        <v>7</v>
      </c>
      <c r="G7" s="15" t="n">
        <v>7</v>
      </c>
      <c r="H7" s="15" t="n">
        <v>3</v>
      </c>
      <c r="I7" s="15" t="n">
        <v>9</v>
      </c>
      <c r="J7" s="15" t="n">
        <v>8</v>
      </c>
      <c r="K7" s="15" t="n">
        <v>8</v>
      </c>
      <c r="L7" s="4" t="n">
        <f aca="false">ROUND(E7*Rubric!$B$4+F7*Rubric!$B$5+G7*Rubric!$B$6+H7*Rubric!$B$7+I7*Rubric!$B$8+J7*Rubric!$B$9+K7*Rubric!$B$10-IF(OR(G7&lt;Rubric!$B$12,J7&lt;Rubric!$B$12),Rubric!$B$13,0),2)</f>
        <v>7.7</v>
      </c>
      <c r="M7" s="4" t="n">
        <f aca="false">SUMIFS('Revision Log'!$M:$M,'Revision Log'!$N:$N,O7,'Revision Log'!$C:$C,0)</f>
        <v>6.3</v>
      </c>
      <c r="N7" s="16" t="n">
        <f aca="false">L7-M7</f>
        <v>1.4</v>
      </c>
      <c r="O7" s="14" t="n">
        <v>10</v>
      </c>
    </row>
    <row r="8" customFormat="false" ht="23.85" hidden="false" customHeight="false" outlineLevel="0" collapsed="false">
      <c r="A8" s="2" t="s">
        <v>16</v>
      </c>
      <c r="B8" s="2" t="s">
        <v>17</v>
      </c>
      <c r="C8" s="14" t="n">
        <v>2</v>
      </c>
      <c r="D8" s="2" t="s">
        <v>363</v>
      </c>
      <c r="E8" s="15" t="n">
        <v>9</v>
      </c>
      <c r="F8" s="15" t="n">
        <v>9</v>
      </c>
      <c r="G8" s="15" t="n">
        <v>8</v>
      </c>
      <c r="H8" s="15" t="n">
        <v>3</v>
      </c>
      <c r="I8" s="15" t="n">
        <v>9</v>
      </c>
      <c r="J8" s="15" t="n">
        <v>9</v>
      </c>
      <c r="K8" s="15" t="n">
        <v>9</v>
      </c>
      <c r="L8" s="4" t="n">
        <f aca="false">ROUND(E8*Rubric!$B$4+F8*Rubric!$B$5+G8*Rubric!$B$6+H8*Rubric!$B$7+I8*Rubric!$B$8+J8*Rubric!$B$9+K8*Rubric!$B$10-IF(OR(G8&lt;Rubric!$B$12,J8&lt;Rubric!$B$12),Rubric!$B$13,0),2)</f>
        <v>8.3</v>
      </c>
      <c r="M8" s="4" t="n">
        <f aca="false">SUMIFS('Revision Log'!$M:$M,'Revision Log'!$N:$N,O8,'Revision Log'!$C:$C,0)</f>
        <v>8.3</v>
      </c>
      <c r="N8" s="16" t="n">
        <f aca="false">L8-M8</f>
        <v>0</v>
      </c>
      <c r="O8" s="14" t="n">
        <v>11</v>
      </c>
    </row>
    <row r="9" customFormat="false" ht="23.85" hidden="false" customHeight="false" outlineLevel="0" collapsed="false">
      <c r="A9" s="2" t="s">
        <v>16</v>
      </c>
      <c r="B9" s="2" t="s">
        <v>17</v>
      </c>
      <c r="C9" s="14" t="n">
        <v>3</v>
      </c>
      <c r="D9" s="2" t="s">
        <v>364</v>
      </c>
      <c r="E9" s="15" t="n">
        <v>9</v>
      </c>
      <c r="F9" s="15" t="n">
        <v>9</v>
      </c>
      <c r="G9" s="15" t="n">
        <v>7</v>
      </c>
      <c r="H9" s="15" t="n">
        <v>3</v>
      </c>
      <c r="I9" s="15" t="n">
        <v>8</v>
      </c>
      <c r="J9" s="15" t="n">
        <v>9</v>
      </c>
      <c r="K9" s="15" t="n">
        <v>9</v>
      </c>
      <c r="L9" s="4" t="n">
        <f aca="false">ROUND(E9*Rubric!$B$4+F9*Rubric!$B$5+G9*Rubric!$B$6+H9*Rubric!$B$7+I9*Rubric!$B$8+J9*Rubric!$B$9+K9*Rubric!$B$10-IF(OR(G9&lt;Rubric!$B$12,J9&lt;Rubric!$B$12),Rubric!$B$13,0),2)</f>
        <v>7.8</v>
      </c>
      <c r="M9" s="4" t="n">
        <f aca="false">SUMIFS('Revision Log'!$M:$M,'Revision Log'!$N:$N,O9,'Revision Log'!$C:$C,0)</f>
        <v>7.8</v>
      </c>
      <c r="N9" s="16" t="n">
        <f aca="false">L9-M9</f>
        <v>0</v>
      </c>
      <c r="O9" s="14" t="n">
        <v>12</v>
      </c>
    </row>
    <row r="10" customFormat="false" ht="23.85" hidden="false" customHeight="false" outlineLevel="0" collapsed="false">
      <c r="A10" s="2" t="s">
        <v>16</v>
      </c>
      <c r="B10" s="2" t="s">
        <v>17</v>
      </c>
      <c r="C10" s="14" t="n">
        <v>4</v>
      </c>
      <c r="D10" s="2" t="s">
        <v>365</v>
      </c>
      <c r="E10" s="15" t="n">
        <v>9</v>
      </c>
      <c r="F10" s="15" t="n">
        <v>8</v>
      </c>
      <c r="G10" s="15" t="n">
        <v>8</v>
      </c>
      <c r="H10" s="15" t="n">
        <v>3</v>
      </c>
      <c r="I10" s="15" t="n">
        <v>8</v>
      </c>
      <c r="J10" s="15" t="n">
        <v>8</v>
      </c>
      <c r="K10" s="15" t="n">
        <v>8</v>
      </c>
      <c r="L10" s="4" t="n">
        <f aca="false">ROUND(E10*Rubric!$B$4+F10*Rubric!$B$5+G10*Rubric!$B$6+H10*Rubric!$B$7+I10*Rubric!$B$8+J10*Rubric!$B$9+K10*Rubric!$B$10-IF(OR(G10&lt;Rubric!$B$12,J10&lt;Rubric!$B$12),Rubric!$B$13,0),2)</f>
        <v>7.55</v>
      </c>
      <c r="M10" s="4" t="n">
        <f aca="false">SUMIFS('Revision Log'!$M:$M,'Revision Log'!$N:$N,O10,'Revision Log'!$C:$C,0)</f>
        <v>7.5</v>
      </c>
      <c r="N10" s="16" t="n">
        <f aca="false">L10-M10</f>
        <v>0.0499999999999998</v>
      </c>
      <c r="O10" s="14" t="n">
        <v>13</v>
      </c>
    </row>
    <row r="11" customFormat="false" ht="23.85" hidden="false" customHeight="false" outlineLevel="0" collapsed="false">
      <c r="A11" s="2" t="s">
        <v>16</v>
      </c>
      <c r="B11" s="2" t="s">
        <v>17</v>
      </c>
      <c r="C11" s="14" t="n">
        <v>5</v>
      </c>
      <c r="D11" s="2" t="s">
        <v>366</v>
      </c>
      <c r="E11" s="15" t="n">
        <v>8</v>
      </c>
      <c r="F11" s="15" t="n">
        <v>8</v>
      </c>
      <c r="G11" s="15" t="n">
        <v>7</v>
      </c>
      <c r="H11" s="15" t="n">
        <v>9</v>
      </c>
      <c r="I11" s="15" t="n">
        <v>7</v>
      </c>
      <c r="J11" s="15" t="n">
        <v>8</v>
      </c>
      <c r="K11" s="15" t="n">
        <v>9</v>
      </c>
      <c r="L11" s="4" t="n">
        <f aca="false">ROUND(E11*Rubric!$B$4+F11*Rubric!$B$5+G11*Rubric!$B$6+H11*Rubric!$B$7+I11*Rubric!$B$8+J11*Rubric!$B$9+K11*Rubric!$B$10-IF(OR(G11&lt;Rubric!$B$12,J11&lt;Rubric!$B$12),Rubric!$B$13,0),2)</f>
        <v>7.7</v>
      </c>
      <c r="M11" s="4" t="n">
        <f aca="false">SUMIFS('Revision Log'!$M:$M,'Revision Log'!$N:$N,O11,'Revision Log'!$C:$C,0)</f>
        <v>7.7</v>
      </c>
      <c r="N11" s="16" t="n">
        <f aca="false">L11-M11</f>
        <v>0</v>
      </c>
      <c r="O11" s="14" t="n">
        <v>14</v>
      </c>
    </row>
    <row r="12" customFormat="false" ht="23.85" hidden="false" customHeight="false" outlineLevel="0" collapsed="false">
      <c r="A12" s="2" t="s">
        <v>21</v>
      </c>
      <c r="B12" s="2" t="s">
        <v>22</v>
      </c>
      <c r="C12" s="14" t="n">
        <v>1</v>
      </c>
      <c r="D12" s="2" t="s">
        <v>367</v>
      </c>
      <c r="E12" s="15" t="n">
        <v>8</v>
      </c>
      <c r="F12" s="15" t="n">
        <v>7</v>
      </c>
      <c r="G12" s="15" t="n">
        <v>9</v>
      </c>
      <c r="H12" s="15" t="n">
        <v>2</v>
      </c>
      <c r="I12" s="15" t="n">
        <v>9</v>
      </c>
      <c r="J12" s="15" t="n">
        <v>8</v>
      </c>
      <c r="K12" s="15" t="n">
        <v>6</v>
      </c>
      <c r="L12" s="4" t="n">
        <f aca="false">ROUND(E12*Rubric!$B$4+F12*Rubric!$B$5+G12*Rubric!$B$6+H12*Rubric!$B$7+I12*Rubric!$B$8+J12*Rubric!$B$9+K12*Rubric!$B$10-IF(OR(G12&lt;Rubric!$B$12,J12&lt;Rubric!$B$12),Rubric!$B$13,0),2)</f>
        <v>7.55</v>
      </c>
      <c r="M12" s="4" t="n">
        <f aca="false">SUMIFS('Revision Log'!$M:$M,'Revision Log'!$N:$N,O12,'Revision Log'!$C:$C,0)</f>
        <v>7.3</v>
      </c>
      <c r="N12" s="16" t="n">
        <f aca="false">L12-M12</f>
        <v>0.25</v>
      </c>
      <c r="O12" s="14" t="n">
        <v>20</v>
      </c>
    </row>
    <row r="13" customFormat="false" ht="23.85" hidden="false" customHeight="false" outlineLevel="0" collapsed="false">
      <c r="A13" s="2" t="s">
        <v>21</v>
      </c>
      <c r="B13" s="2" t="s">
        <v>22</v>
      </c>
      <c r="C13" s="14" t="n">
        <v>2</v>
      </c>
      <c r="D13" s="2" t="s">
        <v>368</v>
      </c>
      <c r="E13" s="15" t="n">
        <v>8</v>
      </c>
      <c r="F13" s="15" t="n">
        <v>8</v>
      </c>
      <c r="G13" s="15" t="n">
        <v>8</v>
      </c>
      <c r="H13" s="15" t="n">
        <v>3</v>
      </c>
      <c r="I13" s="15" t="n">
        <v>8</v>
      </c>
      <c r="J13" s="15" t="n">
        <v>8</v>
      </c>
      <c r="K13" s="15" t="n">
        <v>7</v>
      </c>
      <c r="L13" s="4" t="n">
        <f aca="false">ROUND(E13*Rubric!$B$4+F13*Rubric!$B$5+G13*Rubric!$B$6+H13*Rubric!$B$7+I13*Rubric!$B$8+J13*Rubric!$B$9+K13*Rubric!$B$10-IF(OR(G13&lt;Rubric!$B$12,J13&lt;Rubric!$B$12),Rubric!$B$13,0),2)</f>
        <v>7.4</v>
      </c>
      <c r="M13" s="4" t="n">
        <f aca="false">SUMIFS('Revision Log'!$M:$M,'Revision Log'!$N:$N,O13,'Revision Log'!$C:$C,0)</f>
        <v>6.75</v>
      </c>
      <c r="N13" s="16" t="n">
        <f aca="false">L13-M13</f>
        <v>0.65</v>
      </c>
      <c r="O13" s="14" t="n">
        <v>21</v>
      </c>
    </row>
    <row r="14" customFormat="false" ht="23.85" hidden="false" customHeight="false" outlineLevel="0" collapsed="false">
      <c r="A14" s="2" t="s">
        <v>21</v>
      </c>
      <c r="B14" s="2" t="s">
        <v>22</v>
      </c>
      <c r="C14" s="14" t="n">
        <v>3</v>
      </c>
      <c r="D14" s="2" t="s">
        <v>369</v>
      </c>
      <c r="E14" s="15" t="n">
        <v>8</v>
      </c>
      <c r="F14" s="15" t="n">
        <v>8</v>
      </c>
      <c r="G14" s="15" t="n">
        <v>8</v>
      </c>
      <c r="H14" s="15" t="n">
        <v>2</v>
      </c>
      <c r="I14" s="15" t="n">
        <v>8</v>
      </c>
      <c r="J14" s="15" t="n">
        <v>8</v>
      </c>
      <c r="K14" s="15" t="n">
        <v>8</v>
      </c>
      <c r="L14" s="4" t="n">
        <f aca="false">ROUND(E14*Rubric!$B$4+F14*Rubric!$B$5+G14*Rubric!$B$6+H14*Rubric!$B$7+I14*Rubric!$B$8+J14*Rubric!$B$9+K14*Rubric!$B$10-IF(OR(G14&lt;Rubric!$B$12,J14&lt;Rubric!$B$12),Rubric!$B$13,0),2)</f>
        <v>7.4</v>
      </c>
      <c r="M14" s="4" t="n">
        <f aca="false">SUMIFS('Revision Log'!$M:$M,'Revision Log'!$N:$N,O14,'Revision Log'!$C:$C,0)</f>
        <v>6.65</v>
      </c>
      <c r="N14" s="16" t="n">
        <f aca="false">L14-M14</f>
        <v>0.75</v>
      </c>
      <c r="O14" s="14" t="n">
        <v>22</v>
      </c>
    </row>
    <row r="15" customFormat="false" ht="23.85" hidden="false" customHeight="false" outlineLevel="0" collapsed="false">
      <c r="A15" s="2" t="s">
        <v>21</v>
      </c>
      <c r="B15" s="2" t="s">
        <v>22</v>
      </c>
      <c r="C15" s="14" t="n">
        <v>4</v>
      </c>
      <c r="D15" s="2" t="s">
        <v>370</v>
      </c>
      <c r="E15" s="15" t="n">
        <v>9</v>
      </c>
      <c r="F15" s="15" t="n">
        <v>8</v>
      </c>
      <c r="G15" s="15" t="n">
        <v>8</v>
      </c>
      <c r="H15" s="15" t="n">
        <v>2</v>
      </c>
      <c r="I15" s="15" t="n">
        <v>7</v>
      </c>
      <c r="J15" s="15" t="n">
        <v>8</v>
      </c>
      <c r="K15" s="15" t="n">
        <v>8</v>
      </c>
      <c r="L15" s="4" t="n">
        <f aca="false">ROUND(E15*Rubric!$B$4+F15*Rubric!$B$5+G15*Rubric!$B$6+H15*Rubric!$B$7+I15*Rubric!$B$8+J15*Rubric!$B$9+K15*Rubric!$B$10-IF(OR(G15&lt;Rubric!$B$12,J15&lt;Rubric!$B$12),Rubric!$B$13,0),2)</f>
        <v>7.05</v>
      </c>
      <c r="M15" s="4" t="n">
        <f aca="false">SUMIFS('Revision Log'!$M:$M,'Revision Log'!$N:$N,O15,'Revision Log'!$C:$C,0)</f>
        <v>6.15</v>
      </c>
      <c r="N15" s="16" t="n">
        <f aca="false">L15-M15</f>
        <v>0.9</v>
      </c>
      <c r="O15" s="14" t="n">
        <v>23</v>
      </c>
    </row>
    <row r="16" customFormat="false" ht="23.85" hidden="false" customHeight="false" outlineLevel="0" collapsed="false">
      <c r="A16" s="2" t="s">
        <v>21</v>
      </c>
      <c r="B16" s="2" t="s">
        <v>22</v>
      </c>
      <c r="C16" s="14" t="n">
        <v>5</v>
      </c>
      <c r="D16" s="2" t="s">
        <v>371</v>
      </c>
      <c r="E16" s="15" t="n">
        <v>9</v>
      </c>
      <c r="F16" s="15" t="n">
        <v>7</v>
      </c>
      <c r="G16" s="15" t="n">
        <v>8</v>
      </c>
      <c r="H16" s="15" t="n">
        <v>4</v>
      </c>
      <c r="I16" s="15" t="n">
        <v>7</v>
      </c>
      <c r="J16" s="15" t="n">
        <v>8</v>
      </c>
      <c r="K16" s="15" t="n">
        <v>8</v>
      </c>
      <c r="L16" s="4" t="n">
        <f aca="false">ROUND(E16*Rubric!$B$4+F16*Rubric!$B$5+G16*Rubric!$B$6+H16*Rubric!$B$7+I16*Rubric!$B$8+J16*Rubric!$B$9+K16*Rubric!$B$10-IF(OR(G16&lt;Rubric!$B$12,J16&lt;Rubric!$B$12),Rubric!$B$13,0),2)</f>
        <v>7.1</v>
      </c>
      <c r="M16" s="4" t="n">
        <f aca="false">SUMIFS('Revision Log'!$M:$M,'Revision Log'!$N:$N,O16,'Revision Log'!$C:$C,0)</f>
        <v>5.5</v>
      </c>
      <c r="N16" s="16" t="n">
        <f aca="false">L16-M16</f>
        <v>1.6</v>
      </c>
      <c r="O16" s="14" t="n">
        <v>24</v>
      </c>
    </row>
    <row r="17" customFormat="false" ht="23.85" hidden="false" customHeight="false" outlineLevel="0" collapsed="false">
      <c r="A17" s="2" t="s">
        <v>26</v>
      </c>
      <c r="B17" s="2" t="s">
        <v>27</v>
      </c>
      <c r="C17" s="14" t="n">
        <v>1</v>
      </c>
      <c r="D17" s="2" t="s">
        <v>372</v>
      </c>
      <c r="E17" s="15" t="n">
        <v>8</v>
      </c>
      <c r="F17" s="15" t="n">
        <v>8</v>
      </c>
      <c r="G17" s="15" t="n">
        <v>8</v>
      </c>
      <c r="H17" s="15" t="n">
        <v>3</v>
      </c>
      <c r="I17" s="15" t="n">
        <v>9</v>
      </c>
      <c r="J17" s="15" t="n">
        <v>8</v>
      </c>
      <c r="K17" s="15" t="n">
        <v>7</v>
      </c>
      <c r="L17" s="4" t="n">
        <f aca="false">ROUND(E17*Rubric!$B$4+F17*Rubric!$B$5+G17*Rubric!$B$6+H17*Rubric!$B$7+I17*Rubric!$B$8+J17*Rubric!$B$9+K17*Rubric!$B$10-IF(OR(G17&lt;Rubric!$B$12,J17&lt;Rubric!$B$12),Rubric!$B$13,0),2)</f>
        <v>7.8</v>
      </c>
      <c r="M17" s="4" t="n">
        <f aca="false">SUMIFS('Revision Log'!$M:$M,'Revision Log'!$N:$N,O17,'Revision Log'!$C:$C,0)</f>
        <v>7.8</v>
      </c>
      <c r="N17" s="16" t="n">
        <f aca="false">L17-M17</f>
        <v>0</v>
      </c>
      <c r="O17" s="14" t="n">
        <v>30</v>
      </c>
    </row>
    <row r="18" customFormat="false" ht="23.85" hidden="false" customHeight="false" outlineLevel="0" collapsed="false">
      <c r="A18" s="2" t="s">
        <v>26</v>
      </c>
      <c r="B18" s="2" t="s">
        <v>27</v>
      </c>
      <c r="C18" s="14" t="n">
        <v>2</v>
      </c>
      <c r="D18" s="2" t="s">
        <v>373</v>
      </c>
      <c r="E18" s="15" t="n">
        <v>8</v>
      </c>
      <c r="F18" s="15" t="n">
        <v>9</v>
      </c>
      <c r="G18" s="15" t="n">
        <v>7</v>
      </c>
      <c r="H18" s="15" t="n">
        <v>3</v>
      </c>
      <c r="I18" s="15" t="n">
        <v>9</v>
      </c>
      <c r="J18" s="15" t="n">
        <v>8</v>
      </c>
      <c r="K18" s="15" t="n">
        <v>8</v>
      </c>
      <c r="L18" s="4" t="n">
        <f aca="false">ROUND(E18*Rubric!$B$4+F18*Rubric!$B$5+G18*Rubric!$B$6+H18*Rubric!$B$7+I18*Rubric!$B$8+J18*Rubric!$B$9+K18*Rubric!$B$10-IF(OR(G18&lt;Rubric!$B$12,J18&lt;Rubric!$B$12),Rubric!$B$13,0),2)</f>
        <v>7.95</v>
      </c>
      <c r="M18" s="4" t="n">
        <f aca="false">SUMIFS('Revision Log'!$M:$M,'Revision Log'!$N:$N,O18,'Revision Log'!$C:$C,0)</f>
        <v>7.95</v>
      </c>
      <c r="N18" s="16" t="n">
        <f aca="false">L18-M18</f>
        <v>0</v>
      </c>
      <c r="O18" s="14" t="n">
        <v>31</v>
      </c>
    </row>
    <row r="19" customFormat="false" ht="23.85" hidden="false" customHeight="false" outlineLevel="0" collapsed="false">
      <c r="A19" s="2" t="s">
        <v>26</v>
      </c>
      <c r="B19" s="2" t="s">
        <v>27</v>
      </c>
      <c r="C19" s="14" t="n">
        <v>3</v>
      </c>
      <c r="D19" s="2" t="s">
        <v>374</v>
      </c>
      <c r="E19" s="15" t="n">
        <v>9</v>
      </c>
      <c r="F19" s="15" t="n">
        <v>9</v>
      </c>
      <c r="G19" s="15" t="n">
        <v>8</v>
      </c>
      <c r="H19" s="15" t="n">
        <v>3</v>
      </c>
      <c r="I19" s="15" t="n">
        <v>9</v>
      </c>
      <c r="J19" s="15" t="n">
        <v>9</v>
      </c>
      <c r="K19" s="15" t="n">
        <v>8</v>
      </c>
      <c r="L19" s="4" t="n">
        <f aca="false">ROUND(E19*Rubric!$B$4+F19*Rubric!$B$5+G19*Rubric!$B$6+H19*Rubric!$B$7+I19*Rubric!$B$8+J19*Rubric!$B$9+K19*Rubric!$B$10-IF(OR(G19&lt;Rubric!$B$12,J19&lt;Rubric!$B$12),Rubric!$B$13,0),2)</f>
        <v>8.2</v>
      </c>
      <c r="M19" s="4" t="n">
        <f aca="false">SUMIFS('Revision Log'!$M:$M,'Revision Log'!$N:$N,O19,'Revision Log'!$C:$C,0)</f>
        <v>8.2</v>
      </c>
      <c r="N19" s="16" t="n">
        <f aca="false">L19-M19</f>
        <v>0</v>
      </c>
      <c r="O19" s="14" t="n">
        <v>32</v>
      </c>
    </row>
    <row r="20" customFormat="false" ht="23.85" hidden="false" customHeight="false" outlineLevel="0" collapsed="false">
      <c r="A20" s="2" t="s">
        <v>26</v>
      </c>
      <c r="B20" s="2" t="s">
        <v>27</v>
      </c>
      <c r="C20" s="14" t="n">
        <v>4</v>
      </c>
      <c r="D20" s="2" t="s">
        <v>375</v>
      </c>
      <c r="E20" s="15" t="n">
        <v>8</v>
      </c>
      <c r="F20" s="15" t="n">
        <v>8</v>
      </c>
      <c r="G20" s="15" t="n">
        <v>8</v>
      </c>
      <c r="H20" s="15" t="n">
        <v>3</v>
      </c>
      <c r="I20" s="15" t="n">
        <v>8</v>
      </c>
      <c r="J20" s="15" t="n">
        <v>8</v>
      </c>
      <c r="K20" s="15" t="n">
        <v>7</v>
      </c>
      <c r="L20" s="4" t="n">
        <f aca="false">ROUND(E20*Rubric!$B$4+F20*Rubric!$B$5+G20*Rubric!$B$6+H20*Rubric!$B$7+I20*Rubric!$B$8+J20*Rubric!$B$9+K20*Rubric!$B$10-IF(OR(G20&lt;Rubric!$B$12,J20&lt;Rubric!$B$12),Rubric!$B$13,0),2)</f>
        <v>7.4</v>
      </c>
      <c r="M20" s="4" t="n">
        <f aca="false">SUMIFS('Revision Log'!$M:$M,'Revision Log'!$N:$N,O20,'Revision Log'!$C:$C,0)</f>
        <v>7.25</v>
      </c>
      <c r="N20" s="16" t="n">
        <f aca="false">L20-M20</f>
        <v>0.15</v>
      </c>
      <c r="O20" s="14" t="n">
        <v>33</v>
      </c>
    </row>
    <row r="21" customFormat="false" ht="23.85" hidden="false" customHeight="false" outlineLevel="0" collapsed="false">
      <c r="A21" s="2" t="s">
        <v>26</v>
      </c>
      <c r="B21" s="2" t="s">
        <v>27</v>
      </c>
      <c r="C21" s="14" t="n">
        <v>5</v>
      </c>
      <c r="D21" s="2" t="s">
        <v>376</v>
      </c>
      <c r="E21" s="15" t="n">
        <v>8</v>
      </c>
      <c r="F21" s="15" t="n">
        <v>8</v>
      </c>
      <c r="G21" s="15" t="n">
        <v>7</v>
      </c>
      <c r="H21" s="15" t="n">
        <v>9</v>
      </c>
      <c r="I21" s="15" t="n">
        <v>8</v>
      </c>
      <c r="J21" s="15" t="n">
        <v>8</v>
      </c>
      <c r="K21" s="15" t="n">
        <v>9</v>
      </c>
      <c r="L21" s="4" t="n">
        <f aca="false">ROUND(E21*Rubric!$B$4+F21*Rubric!$B$5+G21*Rubric!$B$6+H21*Rubric!$B$7+I21*Rubric!$B$8+J21*Rubric!$B$9+K21*Rubric!$B$10-IF(OR(G21&lt;Rubric!$B$12,J21&lt;Rubric!$B$12),Rubric!$B$13,0),2)</f>
        <v>8.1</v>
      </c>
      <c r="M21" s="4" t="n">
        <f aca="false">SUMIFS('Revision Log'!$M:$M,'Revision Log'!$N:$N,O21,'Revision Log'!$C:$C,0)</f>
        <v>8.1</v>
      </c>
      <c r="N21" s="16" t="n">
        <f aca="false">L21-M21</f>
        <v>0</v>
      </c>
      <c r="O21" s="14" t="n">
        <v>34</v>
      </c>
    </row>
    <row r="22" customFormat="false" ht="23.85" hidden="false" customHeight="false" outlineLevel="0" collapsed="false">
      <c r="A22" s="2" t="s">
        <v>26</v>
      </c>
      <c r="B22" s="2" t="s">
        <v>31</v>
      </c>
      <c r="C22" s="14" t="n">
        <v>1</v>
      </c>
      <c r="D22" s="2" t="s">
        <v>377</v>
      </c>
      <c r="E22" s="15" t="n">
        <v>9</v>
      </c>
      <c r="F22" s="15" t="n">
        <v>8</v>
      </c>
      <c r="G22" s="15" t="n">
        <v>8</v>
      </c>
      <c r="H22" s="15" t="n">
        <v>3</v>
      </c>
      <c r="I22" s="15" t="n">
        <v>8</v>
      </c>
      <c r="J22" s="15" t="n">
        <v>8</v>
      </c>
      <c r="K22" s="15" t="n">
        <v>7</v>
      </c>
      <c r="L22" s="4" t="n">
        <f aca="false">ROUND(E22*Rubric!$B$4+F22*Rubric!$B$5+G22*Rubric!$B$6+H22*Rubric!$B$7+I22*Rubric!$B$8+J22*Rubric!$B$9+K22*Rubric!$B$10-IF(OR(G22&lt;Rubric!$B$12,J22&lt;Rubric!$B$12),Rubric!$B$13,0),2)</f>
        <v>7.45</v>
      </c>
      <c r="M22" s="4" t="n">
        <f aca="false">SUMIFS('Revision Log'!$M:$M,'Revision Log'!$N:$N,O22,'Revision Log'!$C:$C,0)</f>
        <v>7.05</v>
      </c>
      <c r="N22" s="16" t="n">
        <f aca="false">L22-M22</f>
        <v>0.4</v>
      </c>
      <c r="O22" s="14" t="n">
        <v>40</v>
      </c>
    </row>
    <row r="23" customFormat="false" ht="23.85" hidden="false" customHeight="false" outlineLevel="0" collapsed="false">
      <c r="A23" s="2" t="s">
        <v>26</v>
      </c>
      <c r="B23" s="2" t="s">
        <v>31</v>
      </c>
      <c r="C23" s="14" t="n">
        <v>2</v>
      </c>
      <c r="D23" s="2" t="s">
        <v>378</v>
      </c>
      <c r="E23" s="15" t="n">
        <v>8</v>
      </c>
      <c r="F23" s="15" t="n">
        <v>8</v>
      </c>
      <c r="G23" s="15" t="n">
        <v>8</v>
      </c>
      <c r="H23" s="15" t="n">
        <v>3</v>
      </c>
      <c r="I23" s="15" t="n">
        <v>7</v>
      </c>
      <c r="J23" s="15" t="n">
        <v>8</v>
      </c>
      <c r="K23" s="15" t="n">
        <v>8</v>
      </c>
      <c r="L23" s="4" t="n">
        <f aca="false">ROUND(E23*Rubric!$B$4+F23*Rubric!$B$5+G23*Rubric!$B$6+H23*Rubric!$B$7+I23*Rubric!$B$8+J23*Rubric!$B$9+K23*Rubric!$B$10-IF(OR(G23&lt;Rubric!$B$12,J23&lt;Rubric!$B$12),Rubric!$B$13,0),2)</f>
        <v>7.1</v>
      </c>
      <c r="M23" s="4" t="n">
        <f aca="false">SUMIFS('Revision Log'!$M:$M,'Revision Log'!$N:$N,O23,'Revision Log'!$C:$C,0)</f>
        <v>5.4</v>
      </c>
      <c r="N23" s="16" t="n">
        <f aca="false">L23-M23</f>
        <v>1.7</v>
      </c>
      <c r="O23" s="14" t="n">
        <v>41</v>
      </c>
    </row>
    <row r="24" customFormat="false" ht="23.85" hidden="false" customHeight="false" outlineLevel="0" collapsed="false">
      <c r="A24" s="2" t="s">
        <v>26</v>
      </c>
      <c r="B24" s="2" t="s">
        <v>31</v>
      </c>
      <c r="C24" s="14" t="n">
        <v>3</v>
      </c>
      <c r="D24" s="2" t="s">
        <v>379</v>
      </c>
      <c r="E24" s="15" t="n">
        <v>9</v>
      </c>
      <c r="F24" s="15" t="n">
        <v>8</v>
      </c>
      <c r="G24" s="15" t="n">
        <v>7</v>
      </c>
      <c r="H24" s="15" t="n">
        <v>4</v>
      </c>
      <c r="I24" s="15" t="n">
        <v>8</v>
      </c>
      <c r="J24" s="15" t="n">
        <v>7</v>
      </c>
      <c r="K24" s="15" t="n">
        <v>7</v>
      </c>
      <c r="L24" s="4" t="n">
        <f aca="false">ROUND(E24*Rubric!$B$4+F24*Rubric!$B$5+G24*Rubric!$B$6+H24*Rubric!$B$7+I24*Rubric!$B$8+J24*Rubric!$B$9+K24*Rubric!$B$10-IF(OR(G24&lt;Rubric!$B$12,J24&lt;Rubric!$B$12),Rubric!$B$13,0),2)</f>
        <v>7.35</v>
      </c>
      <c r="M24" s="4" t="n">
        <f aca="false">SUMIFS('Revision Log'!$M:$M,'Revision Log'!$N:$N,O24,'Revision Log'!$C:$C,0)</f>
        <v>7.2</v>
      </c>
      <c r="N24" s="16" t="n">
        <f aca="false">L24-M24</f>
        <v>0.149999999999999</v>
      </c>
      <c r="O24" s="14" t="n">
        <v>42</v>
      </c>
    </row>
    <row r="25" customFormat="false" ht="23.85" hidden="false" customHeight="false" outlineLevel="0" collapsed="false">
      <c r="A25" s="2" t="s">
        <v>26</v>
      </c>
      <c r="B25" s="2" t="s">
        <v>31</v>
      </c>
      <c r="C25" s="14" t="n">
        <v>4</v>
      </c>
      <c r="D25" s="2" t="s">
        <v>380</v>
      </c>
      <c r="E25" s="15" t="n">
        <v>8</v>
      </c>
      <c r="F25" s="15" t="n">
        <v>8</v>
      </c>
      <c r="G25" s="15" t="n">
        <v>8</v>
      </c>
      <c r="H25" s="15" t="n">
        <v>3</v>
      </c>
      <c r="I25" s="15" t="n">
        <v>8</v>
      </c>
      <c r="J25" s="15" t="n">
        <v>8</v>
      </c>
      <c r="K25" s="15" t="n">
        <v>7</v>
      </c>
      <c r="L25" s="4" t="n">
        <f aca="false">ROUND(E25*Rubric!$B$4+F25*Rubric!$B$5+G25*Rubric!$B$6+H25*Rubric!$B$7+I25*Rubric!$B$8+J25*Rubric!$B$9+K25*Rubric!$B$10-IF(OR(G25&lt;Rubric!$B$12,J25&lt;Rubric!$B$12),Rubric!$B$13,0),2)</f>
        <v>7.4</v>
      </c>
      <c r="M25" s="4" t="n">
        <f aca="false">SUMIFS('Revision Log'!$M:$M,'Revision Log'!$N:$N,O25,'Revision Log'!$C:$C,0)</f>
        <v>7.35</v>
      </c>
      <c r="N25" s="16" t="n">
        <f aca="false">L25-M25</f>
        <v>0.0500000000000007</v>
      </c>
      <c r="O25" s="14" t="n">
        <v>43</v>
      </c>
    </row>
    <row r="26" customFormat="false" ht="23.85" hidden="false" customHeight="false" outlineLevel="0" collapsed="false">
      <c r="A26" s="2" t="s">
        <v>26</v>
      </c>
      <c r="B26" s="2" t="s">
        <v>31</v>
      </c>
      <c r="C26" s="14" t="n">
        <v>5</v>
      </c>
      <c r="D26" s="2" t="s">
        <v>381</v>
      </c>
      <c r="E26" s="15" t="n">
        <v>8</v>
      </c>
      <c r="F26" s="15" t="n">
        <v>8</v>
      </c>
      <c r="G26" s="15" t="n">
        <v>8</v>
      </c>
      <c r="H26" s="15" t="n">
        <v>8</v>
      </c>
      <c r="I26" s="15" t="n">
        <v>7</v>
      </c>
      <c r="J26" s="15" t="n">
        <v>7</v>
      </c>
      <c r="K26" s="15" t="n">
        <v>8</v>
      </c>
      <c r="L26" s="4" t="n">
        <f aca="false">ROUND(E26*Rubric!$B$4+F26*Rubric!$B$5+G26*Rubric!$B$6+H26*Rubric!$B$7+I26*Rubric!$B$8+J26*Rubric!$B$9+K26*Rubric!$B$10-IF(OR(G26&lt;Rubric!$B$12,J26&lt;Rubric!$B$12),Rubric!$B$13,0),2)</f>
        <v>7.5</v>
      </c>
      <c r="M26" s="4" t="n">
        <f aca="false">SUMIFS('Revision Log'!$M:$M,'Revision Log'!$N:$N,O26,'Revision Log'!$C:$C,0)</f>
        <v>6.95</v>
      </c>
      <c r="N26" s="16" t="n">
        <f aca="false">L26-M26</f>
        <v>0.55</v>
      </c>
      <c r="O26" s="14" t="n">
        <v>44</v>
      </c>
    </row>
    <row r="27" customFormat="false" ht="23.85" hidden="false" customHeight="false" outlineLevel="0" collapsed="false">
      <c r="A27" s="2" t="s">
        <v>35</v>
      </c>
      <c r="B27" s="2" t="s">
        <v>36</v>
      </c>
      <c r="C27" s="14" t="n">
        <v>1</v>
      </c>
      <c r="D27" s="2" t="s">
        <v>382</v>
      </c>
      <c r="E27" s="15" t="n">
        <v>9</v>
      </c>
      <c r="F27" s="15" t="n">
        <v>8</v>
      </c>
      <c r="G27" s="15" t="n">
        <v>8</v>
      </c>
      <c r="H27" s="15" t="n">
        <v>4</v>
      </c>
      <c r="I27" s="15" t="n">
        <v>8</v>
      </c>
      <c r="J27" s="15" t="n">
        <v>8</v>
      </c>
      <c r="K27" s="15" t="n">
        <v>7</v>
      </c>
      <c r="L27" s="4" t="n">
        <f aca="false">ROUND(E27*Rubric!$B$4+F27*Rubric!$B$5+G27*Rubric!$B$6+H27*Rubric!$B$7+I27*Rubric!$B$8+J27*Rubric!$B$9+K27*Rubric!$B$10-IF(OR(G27&lt;Rubric!$B$12,J27&lt;Rubric!$B$12),Rubric!$B$13,0),2)</f>
        <v>7.55</v>
      </c>
      <c r="M27" s="4" t="n">
        <f aca="false">SUMIFS('Revision Log'!$M:$M,'Revision Log'!$N:$N,O27,'Revision Log'!$C:$C,0)</f>
        <v>7.5</v>
      </c>
      <c r="N27" s="16" t="n">
        <f aca="false">L27-M27</f>
        <v>0.0499999999999998</v>
      </c>
      <c r="O27" s="14" t="n">
        <v>50</v>
      </c>
    </row>
    <row r="28" customFormat="false" ht="23.85" hidden="false" customHeight="false" outlineLevel="0" collapsed="false">
      <c r="A28" s="2" t="s">
        <v>35</v>
      </c>
      <c r="B28" s="2" t="s">
        <v>36</v>
      </c>
      <c r="C28" s="14" t="n">
        <v>2</v>
      </c>
      <c r="D28" s="2" t="s">
        <v>383</v>
      </c>
      <c r="E28" s="15" t="n">
        <v>9</v>
      </c>
      <c r="F28" s="15" t="n">
        <v>9</v>
      </c>
      <c r="G28" s="15" t="n">
        <v>7</v>
      </c>
      <c r="H28" s="15" t="n">
        <v>3</v>
      </c>
      <c r="I28" s="15" t="n">
        <v>9</v>
      </c>
      <c r="J28" s="15" t="n">
        <v>8</v>
      </c>
      <c r="K28" s="15" t="n">
        <v>8</v>
      </c>
      <c r="L28" s="4" t="n">
        <f aca="false">ROUND(E28*Rubric!$B$4+F28*Rubric!$B$5+G28*Rubric!$B$6+H28*Rubric!$B$7+I28*Rubric!$B$8+J28*Rubric!$B$9+K28*Rubric!$B$10-IF(OR(G28&lt;Rubric!$B$12,J28&lt;Rubric!$B$12),Rubric!$B$13,0),2)</f>
        <v>8</v>
      </c>
      <c r="M28" s="4" t="n">
        <f aca="false">SUMIFS('Revision Log'!$M:$M,'Revision Log'!$N:$N,O28,'Revision Log'!$C:$C,0)</f>
        <v>8</v>
      </c>
      <c r="N28" s="16" t="n">
        <f aca="false">L28-M28</f>
        <v>0</v>
      </c>
      <c r="O28" s="14" t="n">
        <v>51</v>
      </c>
    </row>
    <row r="29" customFormat="false" ht="23.85" hidden="false" customHeight="false" outlineLevel="0" collapsed="false">
      <c r="A29" s="2" t="s">
        <v>35</v>
      </c>
      <c r="B29" s="2" t="s">
        <v>36</v>
      </c>
      <c r="C29" s="14" t="n">
        <v>3</v>
      </c>
      <c r="D29" s="2" t="s">
        <v>384</v>
      </c>
      <c r="E29" s="15" t="n">
        <v>9</v>
      </c>
      <c r="F29" s="15" t="n">
        <v>8</v>
      </c>
      <c r="G29" s="15" t="n">
        <v>8</v>
      </c>
      <c r="H29" s="15" t="n">
        <v>3</v>
      </c>
      <c r="I29" s="15" t="n">
        <v>8</v>
      </c>
      <c r="J29" s="15" t="n">
        <v>8</v>
      </c>
      <c r="K29" s="15" t="n">
        <v>7</v>
      </c>
      <c r="L29" s="4" t="n">
        <f aca="false">ROUND(E29*Rubric!$B$4+F29*Rubric!$B$5+G29*Rubric!$B$6+H29*Rubric!$B$7+I29*Rubric!$B$8+J29*Rubric!$B$9+K29*Rubric!$B$10-IF(OR(G29&lt;Rubric!$B$12,J29&lt;Rubric!$B$12),Rubric!$B$13,0),2)</f>
        <v>7.45</v>
      </c>
      <c r="M29" s="4" t="n">
        <f aca="false">SUMIFS('Revision Log'!$M:$M,'Revision Log'!$N:$N,O29,'Revision Log'!$C:$C,0)</f>
        <v>6.9</v>
      </c>
      <c r="N29" s="16" t="n">
        <f aca="false">L29-M29</f>
        <v>0.55</v>
      </c>
      <c r="O29" s="14" t="n">
        <v>52</v>
      </c>
    </row>
    <row r="30" customFormat="false" ht="23.85" hidden="false" customHeight="false" outlineLevel="0" collapsed="false">
      <c r="A30" s="2" t="s">
        <v>35</v>
      </c>
      <c r="B30" s="2" t="s">
        <v>36</v>
      </c>
      <c r="C30" s="14" t="n">
        <v>4</v>
      </c>
      <c r="D30" s="2" t="s">
        <v>385</v>
      </c>
      <c r="E30" s="15" t="n">
        <v>8</v>
      </c>
      <c r="F30" s="15" t="n">
        <v>8</v>
      </c>
      <c r="G30" s="15" t="n">
        <v>7</v>
      </c>
      <c r="H30" s="15" t="n">
        <v>10</v>
      </c>
      <c r="I30" s="15" t="n">
        <v>9</v>
      </c>
      <c r="J30" s="15" t="n">
        <v>7</v>
      </c>
      <c r="K30" s="15" t="n">
        <v>9</v>
      </c>
      <c r="L30" s="4" t="n">
        <f aca="false">ROUND(E30*Rubric!$B$4+F30*Rubric!$B$5+G30*Rubric!$B$6+H30*Rubric!$B$7+I30*Rubric!$B$8+J30*Rubric!$B$9+K30*Rubric!$B$10-IF(OR(G30&lt;Rubric!$B$12,J30&lt;Rubric!$B$12),Rubric!$B$13,0),2)</f>
        <v>8.5</v>
      </c>
      <c r="M30" s="4" t="n">
        <f aca="false">SUMIFS('Revision Log'!$M:$M,'Revision Log'!$N:$N,O30,'Revision Log'!$C:$C,0)</f>
        <v>7.3</v>
      </c>
      <c r="N30" s="16" t="n">
        <f aca="false">L30-M30</f>
        <v>1.2</v>
      </c>
      <c r="O30" s="14" t="n">
        <v>53</v>
      </c>
    </row>
    <row r="31" customFormat="false" ht="23.85" hidden="false" customHeight="false" outlineLevel="0" collapsed="false">
      <c r="A31" s="2" t="s">
        <v>35</v>
      </c>
      <c r="B31" s="2" t="s">
        <v>36</v>
      </c>
      <c r="C31" s="14" t="n">
        <v>5</v>
      </c>
      <c r="D31" s="2" t="s">
        <v>386</v>
      </c>
      <c r="E31" s="15" t="n">
        <v>9</v>
      </c>
      <c r="F31" s="15" t="n">
        <v>8</v>
      </c>
      <c r="G31" s="15" t="n">
        <v>8</v>
      </c>
      <c r="H31" s="15" t="n">
        <v>3</v>
      </c>
      <c r="I31" s="15" t="n">
        <v>8</v>
      </c>
      <c r="J31" s="15" t="n">
        <v>8</v>
      </c>
      <c r="K31" s="15" t="n">
        <v>7</v>
      </c>
      <c r="L31" s="4" t="n">
        <f aca="false">ROUND(E31*Rubric!$B$4+F31*Rubric!$B$5+G31*Rubric!$B$6+H31*Rubric!$B$7+I31*Rubric!$B$8+J31*Rubric!$B$9+K31*Rubric!$B$10-IF(OR(G31&lt;Rubric!$B$12,J31&lt;Rubric!$B$12),Rubric!$B$13,0),2)</f>
        <v>7.45</v>
      </c>
      <c r="M31" s="4" t="n">
        <f aca="false">SUMIFS('Revision Log'!$M:$M,'Revision Log'!$N:$N,O31,'Revision Log'!$C:$C,0)</f>
        <v>6.55</v>
      </c>
      <c r="N31" s="16" t="n">
        <f aca="false">L31-M31</f>
        <v>0.9</v>
      </c>
      <c r="O31" s="14" t="n">
        <v>54</v>
      </c>
    </row>
    <row r="32" customFormat="false" ht="23.85" hidden="false" customHeight="false" outlineLevel="0" collapsed="false">
      <c r="A32" s="2" t="s">
        <v>40</v>
      </c>
      <c r="B32" s="2" t="s">
        <v>41</v>
      </c>
      <c r="C32" s="14" t="n">
        <v>1</v>
      </c>
      <c r="D32" s="2" t="s">
        <v>387</v>
      </c>
      <c r="E32" s="15" t="n">
        <v>9</v>
      </c>
      <c r="F32" s="15" t="n">
        <v>8</v>
      </c>
      <c r="G32" s="15" t="n">
        <v>8</v>
      </c>
      <c r="H32" s="15" t="n">
        <v>3</v>
      </c>
      <c r="I32" s="15" t="n">
        <v>8</v>
      </c>
      <c r="J32" s="15" t="n">
        <v>8</v>
      </c>
      <c r="K32" s="15" t="n">
        <v>8</v>
      </c>
      <c r="L32" s="4" t="n">
        <f aca="false">ROUND(E32*Rubric!$B$4+F32*Rubric!$B$5+G32*Rubric!$B$6+H32*Rubric!$B$7+I32*Rubric!$B$8+J32*Rubric!$B$9+K32*Rubric!$B$10-IF(OR(G32&lt;Rubric!$B$12,J32&lt;Rubric!$B$12),Rubric!$B$13,0),2)</f>
        <v>7.55</v>
      </c>
      <c r="M32" s="4" t="n">
        <f aca="false">SUMIFS('Revision Log'!$M:$M,'Revision Log'!$N:$N,O32,'Revision Log'!$C:$C,0)</f>
        <v>5.65</v>
      </c>
      <c r="N32" s="16" t="n">
        <f aca="false">L32-M32</f>
        <v>1.9</v>
      </c>
      <c r="O32" s="14" t="n">
        <v>60</v>
      </c>
    </row>
    <row r="33" customFormat="false" ht="23.85" hidden="false" customHeight="false" outlineLevel="0" collapsed="false">
      <c r="A33" s="2" t="s">
        <v>40</v>
      </c>
      <c r="B33" s="2" t="s">
        <v>41</v>
      </c>
      <c r="C33" s="14" t="n">
        <v>2</v>
      </c>
      <c r="D33" s="2" t="s">
        <v>388</v>
      </c>
      <c r="E33" s="15" t="n">
        <v>9</v>
      </c>
      <c r="F33" s="15" t="n">
        <v>9</v>
      </c>
      <c r="G33" s="15" t="n">
        <v>7</v>
      </c>
      <c r="H33" s="15" t="n">
        <v>3</v>
      </c>
      <c r="I33" s="15" t="n">
        <v>9</v>
      </c>
      <c r="J33" s="15" t="n">
        <v>7</v>
      </c>
      <c r="K33" s="15" t="n">
        <v>8</v>
      </c>
      <c r="L33" s="4" t="n">
        <f aca="false">ROUND(E33*Rubric!$B$4+F33*Rubric!$B$5+G33*Rubric!$B$6+H33*Rubric!$B$7+I33*Rubric!$B$8+J33*Rubric!$B$9+K33*Rubric!$B$10-IF(OR(G33&lt;Rubric!$B$12,J33&lt;Rubric!$B$12),Rubric!$B$13,0),2)</f>
        <v>7.9</v>
      </c>
      <c r="M33" s="4" t="n">
        <f aca="false">SUMIFS('Revision Log'!$M:$M,'Revision Log'!$N:$N,O33,'Revision Log'!$C:$C,0)</f>
        <v>7.85</v>
      </c>
      <c r="N33" s="16" t="n">
        <f aca="false">L33-M33</f>
        <v>0.0500000000000007</v>
      </c>
      <c r="O33" s="14" t="n">
        <v>61</v>
      </c>
    </row>
    <row r="34" customFormat="false" ht="23.85" hidden="false" customHeight="false" outlineLevel="0" collapsed="false">
      <c r="A34" s="2" t="s">
        <v>40</v>
      </c>
      <c r="B34" s="2" t="s">
        <v>41</v>
      </c>
      <c r="C34" s="14" t="n">
        <v>3</v>
      </c>
      <c r="D34" s="2" t="s">
        <v>389</v>
      </c>
      <c r="E34" s="15" t="n">
        <v>9</v>
      </c>
      <c r="F34" s="15" t="n">
        <v>8</v>
      </c>
      <c r="G34" s="15" t="n">
        <v>8</v>
      </c>
      <c r="H34" s="15" t="n">
        <v>3</v>
      </c>
      <c r="I34" s="15" t="n">
        <v>8</v>
      </c>
      <c r="J34" s="15" t="n">
        <v>8</v>
      </c>
      <c r="K34" s="15" t="n">
        <v>8</v>
      </c>
      <c r="L34" s="4" t="n">
        <f aca="false">ROUND(E34*Rubric!$B$4+F34*Rubric!$B$5+G34*Rubric!$B$6+H34*Rubric!$B$7+I34*Rubric!$B$8+J34*Rubric!$B$9+K34*Rubric!$B$10-IF(OR(G34&lt;Rubric!$B$12,J34&lt;Rubric!$B$12),Rubric!$B$13,0),2)</f>
        <v>7.55</v>
      </c>
      <c r="M34" s="4" t="n">
        <f aca="false">SUMIFS('Revision Log'!$M:$M,'Revision Log'!$N:$N,O34,'Revision Log'!$C:$C,0)</f>
        <v>7.55</v>
      </c>
      <c r="N34" s="16" t="n">
        <f aca="false">L34-M34</f>
        <v>0</v>
      </c>
      <c r="O34" s="14" t="n">
        <v>62</v>
      </c>
    </row>
    <row r="35" customFormat="false" ht="23.85" hidden="false" customHeight="false" outlineLevel="0" collapsed="false">
      <c r="A35" s="2" t="s">
        <v>40</v>
      </c>
      <c r="B35" s="2" t="s">
        <v>41</v>
      </c>
      <c r="C35" s="14" t="n">
        <v>4</v>
      </c>
      <c r="D35" s="2" t="s">
        <v>390</v>
      </c>
      <c r="E35" s="15" t="n">
        <v>9</v>
      </c>
      <c r="F35" s="15" t="n">
        <v>8</v>
      </c>
      <c r="G35" s="15" t="n">
        <v>8</v>
      </c>
      <c r="H35" s="15" t="n">
        <v>3</v>
      </c>
      <c r="I35" s="15" t="n">
        <v>8</v>
      </c>
      <c r="J35" s="15" t="n">
        <v>8</v>
      </c>
      <c r="K35" s="15" t="n">
        <v>7</v>
      </c>
      <c r="L35" s="4" t="n">
        <f aca="false">ROUND(E35*Rubric!$B$4+F35*Rubric!$B$5+G35*Rubric!$B$6+H35*Rubric!$B$7+I35*Rubric!$B$8+J35*Rubric!$B$9+K35*Rubric!$B$10-IF(OR(G35&lt;Rubric!$B$12,J35&lt;Rubric!$B$12),Rubric!$B$13,0),2)</f>
        <v>7.45</v>
      </c>
      <c r="M35" s="4" t="n">
        <f aca="false">SUMIFS('Revision Log'!$M:$M,'Revision Log'!$N:$N,O35,'Revision Log'!$C:$C,0)</f>
        <v>6.65</v>
      </c>
      <c r="N35" s="16" t="n">
        <f aca="false">L35-M35</f>
        <v>0.8</v>
      </c>
      <c r="O35" s="14" t="n">
        <v>63</v>
      </c>
    </row>
    <row r="36" customFormat="false" ht="23.85" hidden="false" customHeight="false" outlineLevel="0" collapsed="false">
      <c r="A36" s="2" t="s">
        <v>40</v>
      </c>
      <c r="B36" s="2" t="s">
        <v>41</v>
      </c>
      <c r="C36" s="14" t="n">
        <v>5</v>
      </c>
      <c r="D36" s="2" t="s">
        <v>391</v>
      </c>
      <c r="E36" s="15" t="n">
        <v>8</v>
      </c>
      <c r="F36" s="15" t="n">
        <v>7</v>
      </c>
      <c r="G36" s="15" t="n">
        <v>8</v>
      </c>
      <c r="H36" s="15" t="n">
        <v>8</v>
      </c>
      <c r="I36" s="15" t="n">
        <v>7</v>
      </c>
      <c r="J36" s="15" t="n">
        <v>8</v>
      </c>
      <c r="K36" s="15" t="n">
        <v>8</v>
      </c>
      <c r="L36" s="4" t="n">
        <f aca="false">ROUND(E36*Rubric!$B$4+F36*Rubric!$B$5+G36*Rubric!$B$6+H36*Rubric!$B$7+I36*Rubric!$B$8+J36*Rubric!$B$9+K36*Rubric!$B$10-IF(OR(G36&lt;Rubric!$B$12,J36&lt;Rubric!$B$12),Rubric!$B$13,0),2)</f>
        <v>7.45</v>
      </c>
      <c r="M36" s="4" t="n">
        <f aca="false">SUMIFS('Revision Log'!$M:$M,'Revision Log'!$N:$N,O36,'Revision Log'!$C:$C,0)</f>
        <v>6.7</v>
      </c>
      <c r="N36" s="16" t="n">
        <f aca="false">L36-M36</f>
        <v>0.75</v>
      </c>
      <c r="O36" s="14" t="n">
        <v>64</v>
      </c>
    </row>
    <row r="37" customFormat="false" ht="23.85" hidden="false" customHeight="false" outlineLevel="0" collapsed="false">
      <c r="A37" s="2" t="s">
        <v>45</v>
      </c>
      <c r="B37" s="2" t="s">
        <v>46</v>
      </c>
      <c r="C37" s="14" t="n">
        <v>1</v>
      </c>
      <c r="D37" s="2" t="s">
        <v>392</v>
      </c>
      <c r="E37" s="15" t="n">
        <v>9</v>
      </c>
      <c r="F37" s="15" t="n">
        <v>9</v>
      </c>
      <c r="G37" s="15" t="n">
        <v>8</v>
      </c>
      <c r="H37" s="15" t="n">
        <v>3</v>
      </c>
      <c r="I37" s="15" t="n">
        <v>9</v>
      </c>
      <c r="J37" s="15" t="n">
        <v>8</v>
      </c>
      <c r="K37" s="15" t="n">
        <v>9</v>
      </c>
      <c r="L37" s="4" t="n">
        <f aca="false">ROUND(E37*Rubric!$B$4+F37*Rubric!$B$5+G37*Rubric!$B$6+H37*Rubric!$B$7+I37*Rubric!$B$8+J37*Rubric!$B$9+K37*Rubric!$B$10-IF(OR(G37&lt;Rubric!$B$12,J37&lt;Rubric!$B$12),Rubric!$B$13,0),2)</f>
        <v>8.2</v>
      </c>
      <c r="M37" s="4" t="n">
        <f aca="false">SUMIFS('Revision Log'!$M:$M,'Revision Log'!$N:$N,O37,'Revision Log'!$C:$C,0)</f>
        <v>8.2</v>
      </c>
      <c r="N37" s="16" t="n">
        <f aca="false">L37-M37</f>
        <v>0</v>
      </c>
      <c r="O37" s="14" t="n">
        <v>70</v>
      </c>
    </row>
    <row r="38" customFormat="false" ht="23.85" hidden="false" customHeight="false" outlineLevel="0" collapsed="false">
      <c r="A38" s="2" t="s">
        <v>45</v>
      </c>
      <c r="B38" s="2" t="s">
        <v>46</v>
      </c>
      <c r="C38" s="14" t="n">
        <v>2</v>
      </c>
      <c r="D38" s="2" t="s">
        <v>393</v>
      </c>
      <c r="E38" s="15" t="n">
        <v>8</v>
      </c>
      <c r="F38" s="15" t="n">
        <v>9</v>
      </c>
      <c r="G38" s="15" t="n">
        <v>8</v>
      </c>
      <c r="H38" s="15" t="n">
        <v>3</v>
      </c>
      <c r="I38" s="15" t="n">
        <v>9</v>
      </c>
      <c r="J38" s="15" t="n">
        <v>8</v>
      </c>
      <c r="K38" s="15" t="n">
        <v>8</v>
      </c>
      <c r="L38" s="4" t="n">
        <f aca="false">ROUND(E38*Rubric!$B$4+F38*Rubric!$B$5+G38*Rubric!$B$6+H38*Rubric!$B$7+I38*Rubric!$B$8+J38*Rubric!$B$9+K38*Rubric!$B$10-IF(OR(G38&lt;Rubric!$B$12,J38&lt;Rubric!$B$12),Rubric!$B$13,0),2)</f>
        <v>8.05</v>
      </c>
      <c r="M38" s="4" t="n">
        <f aca="false">SUMIFS('Revision Log'!$M:$M,'Revision Log'!$N:$N,O38,'Revision Log'!$C:$C,0)</f>
        <v>8.05</v>
      </c>
      <c r="N38" s="16" t="n">
        <f aca="false">L38-M38</f>
        <v>0</v>
      </c>
      <c r="O38" s="14" t="n">
        <v>71</v>
      </c>
    </row>
    <row r="39" customFormat="false" ht="23.85" hidden="false" customHeight="false" outlineLevel="0" collapsed="false">
      <c r="A39" s="2" t="s">
        <v>45</v>
      </c>
      <c r="B39" s="2" t="s">
        <v>46</v>
      </c>
      <c r="C39" s="14" t="n">
        <v>3</v>
      </c>
      <c r="D39" s="2" t="s">
        <v>394</v>
      </c>
      <c r="E39" s="15" t="n">
        <v>8</v>
      </c>
      <c r="F39" s="15" t="n">
        <v>8</v>
      </c>
      <c r="G39" s="15" t="n">
        <v>8</v>
      </c>
      <c r="H39" s="15" t="n">
        <v>3</v>
      </c>
      <c r="I39" s="15" t="n">
        <v>8</v>
      </c>
      <c r="J39" s="15" t="n">
        <v>8</v>
      </c>
      <c r="K39" s="15" t="n">
        <v>8</v>
      </c>
      <c r="L39" s="4" t="n">
        <f aca="false">ROUND(E39*Rubric!$B$4+F39*Rubric!$B$5+G39*Rubric!$B$6+H39*Rubric!$B$7+I39*Rubric!$B$8+J39*Rubric!$B$9+K39*Rubric!$B$10-IF(OR(G39&lt;Rubric!$B$12,J39&lt;Rubric!$B$12),Rubric!$B$13,0),2)</f>
        <v>7.5</v>
      </c>
      <c r="M39" s="4" t="n">
        <f aca="false">SUMIFS('Revision Log'!$M:$M,'Revision Log'!$N:$N,O39,'Revision Log'!$C:$C,0)</f>
        <v>5.6</v>
      </c>
      <c r="N39" s="16" t="n">
        <f aca="false">L39-M39</f>
        <v>1.9</v>
      </c>
      <c r="O39" s="14" t="n">
        <v>72</v>
      </c>
    </row>
    <row r="40" customFormat="false" ht="23.85" hidden="false" customHeight="false" outlineLevel="0" collapsed="false">
      <c r="A40" s="2" t="s">
        <v>45</v>
      </c>
      <c r="B40" s="2" t="s">
        <v>46</v>
      </c>
      <c r="C40" s="14" t="n">
        <v>4</v>
      </c>
      <c r="D40" s="2" t="s">
        <v>395</v>
      </c>
      <c r="E40" s="15" t="n">
        <v>9</v>
      </c>
      <c r="F40" s="15" t="n">
        <v>8</v>
      </c>
      <c r="G40" s="15" t="n">
        <v>8</v>
      </c>
      <c r="H40" s="15" t="n">
        <v>3</v>
      </c>
      <c r="I40" s="15" t="n">
        <v>7</v>
      </c>
      <c r="J40" s="15" t="n">
        <v>8</v>
      </c>
      <c r="K40" s="15" t="n">
        <v>9</v>
      </c>
      <c r="L40" s="4" t="n">
        <f aca="false">ROUND(E40*Rubric!$B$4+F40*Rubric!$B$5+G40*Rubric!$B$6+H40*Rubric!$B$7+I40*Rubric!$B$8+J40*Rubric!$B$9+K40*Rubric!$B$10-IF(OR(G40&lt;Rubric!$B$12,J40&lt;Rubric!$B$12),Rubric!$B$13,0),2)</f>
        <v>7.25</v>
      </c>
      <c r="M40" s="4" t="n">
        <f aca="false">SUMIFS('Revision Log'!$M:$M,'Revision Log'!$N:$N,O40,'Revision Log'!$C:$C,0)</f>
        <v>6.75</v>
      </c>
      <c r="N40" s="16" t="n">
        <f aca="false">L40-M40</f>
        <v>0.5</v>
      </c>
      <c r="O40" s="14" t="n">
        <v>73</v>
      </c>
    </row>
    <row r="41" customFormat="false" ht="23.85" hidden="false" customHeight="false" outlineLevel="0" collapsed="false">
      <c r="A41" s="2" t="s">
        <v>45</v>
      </c>
      <c r="B41" s="2" t="s">
        <v>46</v>
      </c>
      <c r="C41" s="14" t="n">
        <v>5</v>
      </c>
      <c r="D41" s="2" t="s">
        <v>396</v>
      </c>
      <c r="E41" s="15" t="n">
        <v>8</v>
      </c>
      <c r="F41" s="15" t="n">
        <v>8</v>
      </c>
      <c r="G41" s="15" t="n">
        <v>8</v>
      </c>
      <c r="H41" s="15" t="n">
        <v>9</v>
      </c>
      <c r="I41" s="15" t="n">
        <v>8</v>
      </c>
      <c r="J41" s="15" t="n">
        <v>8</v>
      </c>
      <c r="K41" s="15" t="n">
        <v>9</v>
      </c>
      <c r="L41" s="4" t="n">
        <f aca="false">ROUND(E41*Rubric!$B$4+F41*Rubric!$B$5+G41*Rubric!$B$6+H41*Rubric!$B$7+I41*Rubric!$B$8+J41*Rubric!$B$9+K41*Rubric!$B$10-IF(OR(G41&lt;Rubric!$B$12,J41&lt;Rubric!$B$12),Rubric!$B$13,0),2)</f>
        <v>8.2</v>
      </c>
      <c r="M41" s="4" t="n">
        <f aca="false">SUMIFS('Revision Log'!$M:$M,'Revision Log'!$N:$N,O41,'Revision Log'!$C:$C,0)</f>
        <v>8.2</v>
      </c>
      <c r="N41" s="16" t="n">
        <f aca="false">L41-M41</f>
        <v>0</v>
      </c>
      <c r="O41" s="14" t="n">
        <v>74</v>
      </c>
    </row>
    <row r="42" customFormat="false" ht="23.85" hidden="false" customHeight="false" outlineLevel="0" collapsed="false">
      <c r="A42" s="2" t="s">
        <v>50</v>
      </c>
      <c r="B42" s="2" t="s">
        <v>51</v>
      </c>
      <c r="C42" s="14" t="n">
        <v>1</v>
      </c>
      <c r="D42" s="2" t="s">
        <v>397</v>
      </c>
      <c r="E42" s="15" t="n">
        <v>8</v>
      </c>
      <c r="F42" s="15" t="n">
        <v>8</v>
      </c>
      <c r="G42" s="15" t="n">
        <v>7</v>
      </c>
      <c r="H42" s="15" t="n">
        <v>3</v>
      </c>
      <c r="I42" s="15" t="n">
        <v>8</v>
      </c>
      <c r="J42" s="15" t="n">
        <v>7</v>
      </c>
      <c r="K42" s="15" t="n">
        <v>8</v>
      </c>
      <c r="L42" s="4" t="n">
        <f aca="false">ROUND(E42*Rubric!$B$4+F42*Rubric!$B$5+G42*Rubric!$B$6+H42*Rubric!$B$7+I42*Rubric!$B$8+J42*Rubric!$B$9+K42*Rubric!$B$10-IF(OR(G42&lt;Rubric!$B$12,J42&lt;Rubric!$B$12),Rubric!$B$13,0),2)</f>
        <v>7.3</v>
      </c>
      <c r="M42" s="4" t="n">
        <f aca="false">SUMIFS('Revision Log'!$M:$M,'Revision Log'!$N:$N,O42,'Revision Log'!$C:$C,0)</f>
        <v>7</v>
      </c>
      <c r="N42" s="16" t="n">
        <f aca="false">L42-M42</f>
        <v>0.3</v>
      </c>
      <c r="O42" s="14" t="n">
        <v>80</v>
      </c>
    </row>
    <row r="43" customFormat="false" ht="23.85" hidden="false" customHeight="false" outlineLevel="0" collapsed="false">
      <c r="A43" s="2" t="s">
        <v>50</v>
      </c>
      <c r="B43" s="2" t="s">
        <v>51</v>
      </c>
      <c r="C43" s="14" t="n">
        <v>2</v>
      </c>
      <c r="D43" s="2" t="s">
        <v>398</v>
      </c>
      <c r="E43" s="15" t="n">
        <v>8</v>
      </c>
      <c r="F43" s="15" t="n">
        <v>8</v>
      </c>
      <c r="G43" s="15" t="n">
        <v>7</v>
      </c>
      <c r="H43" s="15" t="n">
        <v>9</v>
      </c>
      <c r="I43" s="15" t="n">
        <v>9</v>
      </c>
      <c r="J43" s="15" t="n">
        <v>7</v>
      </c>
      <c r="K43" s="15" t="n">
        <v>9</v>
      </c>
      <c r="L43" s="4" t="n">
        <f aca="false">ROUND(E43*Rubric!$B$4+F43*Rubric!$B$5+G43*Rubric!$B$6+H43*Rubric!$B$7+I43*Rubric!$B$8+J43*Rubric!$B$9+K43*Rubric!$B$10-IF(OR(G43&lt;Rubric!$B$12,J43&lt;Rubric!$B$12),Rubric!$B$13,0),2)</f>
        <v>8.4</v>
      </c>
      <c r="M43" s="4" t="n">
        <f aca="false">SUMIFS('Revision Log'!$M:$M,'Revision Log'!$N:$N,O43,'Revision Log'!$C:$C,0)</f>
        <v>6.7</v>
      </c>
      <c r="N43" s="16" t="n">
        <f aca="false">L43-M43</f>
        <v>1.7</v>
      </c>
      <c r="O43" s="14" t="n">
        <v>81</v>
      </c>
    </row>
    <row r="44" customFormat="false" ht="23.85" hidden="false" customHeight="false" outlineLevel="0" collapsed="false">
      <c r="A44" s="2" t="s">
        <v>50</v>
      </c>
      <c r="B44" s="2" t="s">
        <v>51</v>
      </c>
      <c r="C44" s="14" t="n">
        <v>3</v>
      </c>
      <c r="D44" s="2" t="s">
        <v>399</v>
      </c>
      <c r="E44" s="15" t="n">
        <v>9</v>
      </c>
      <c r="F44" s="15" t="n">
        <v>9</v>
      </c>
      <c r="G44" s="15" t="n">
        <v>7</v>
      </c>
      <c r="H44" s="15" t="n">
        <v>10</v>
      </c>
      <c r="I44" s="15" t="n">
        <v>10</v>
      </c>
      <c r="J44" s="15" t="n">
        <v>8</v>
      </c>
      <c r="K44" s="15" t="n">
        <v>10</v>
      </c>
      <c r="L44" s="4" t="n">
        <f aca="false">ROUND(E44*Rubric!$B$4+F44*Rubric!$B$5+G44*Rubric!$B$6+H44*Rubric!$B$7+I44*Rubric!$B$8+J44*Rubric!$B$9+K44*Rubric!$B$10-IF(OR(G44&lt;Rubric!$B$12,J44&lt;Rubric!$B$12),Rubric!$B$13,0),2)</f>
        <v>9.3</v>
      </c>
      <c r="M44" s="4" t="n">
        <f aca="false">SUMIFS('Revision Log'!$M:$M,'Revision Log'!$N:$N,O44,'Revision Log'!$C:$C,0)</f>
        <v>9.3</v>
      </c>
      <c r="N44" s="16" t="n">
        <f aca="false">L44-M44</f>
        <v>0</v>
      </c>
      <c r="O44" s="14" t="n">
        <v>82</v>
      </c>
    </row>
    <row r="45" customFormat="false" ht="23.85" hidden="false" customHeight="false" outlineLevel="0" collapsed="false">
      <c r="A45" s="2" t="s">
        <v>50</v>
      </c>
      <c r="B45" s="2" t="s">
        <v>51</v>
      </c>
      <c r="C45" s="14" t="n">
        <v>4</v>
      </c>
      <c r="D45" s="2" t="s">
        <v>400</v>
      </c>
      <c r="E45" s="15" t="n">
        <v>7</v>
      </c>
      <c r="F45" s="15" t="n">
        <v>8</v>
      </c>
      <c r="G45" s="15" t="n">
        <v>8</v>
      </c>
      <c r="H45" s="15" t="n">
        <v>10</v>
      </c>
      <c r="I45" s="15" t="n">
        <v>9</v>
      </c>
      <c r="J45" s="15" t="n">
        <v>8</v>
      </c>
      <c r="K45" s="15" t="n">
        <v>9</v>
      </c>
      <c r="L45" s="4" t="n">
        <f aca="false">ROUND(E45*Rubric!$B$4+F45*Rubric!$B$5+G45*Rubric!$B$6+H45*Rubric!$B$7+I45*Rubric!$B$8+J45*Rubric!$B$9+K45*Rubric!$B$10-IF(OR(G45&lt;Rubric!$B$12,J45&lt;Rubric!$B$12),Rubric!$B$13,0),2)</f>
        <v>8.65</v>
      </c>
      <c r="M45" s="4" t="n">
        <f aca="false">SUMIFS('Revision Log'!$M:$M,'Revision Log'!$N:$N,O45,'Revision Log'!$C:$C,0)</f>
        <v>7.3</v>
      </c>
      <c r="N45" s="16" t="n">
        <f aca="false">L45-M45</f>
        <v>1.35</v>
      </c>
      <c r="O45" s="14" t="n">
        <v>83</v>
      </c>
    </row>
    <row r="46" customFormat="false" ht="23.85" hidden="false" customHeight="false" outlineLevel="0" collapsed="false">
      <c r="A46" s="2" t="s">
        <v>50</v>
      </c>
      <c r="B46" s="2" t="s">
        <v>51</v>
      </c>
      <c r="C46" s="14" t="n">
        <v>5</v>
      </c>
      <c r="D46" s="2" t="s">
        <v>401</v>
      </c>
      <c r="E46" s="15" t="n">
        <v>8</v>
      </c>
      <c r="F46" s="15" t="n">
        <v>9</v>
      </c>
      <c r="G46" s="15" t="n">
        <v>8</v>
      </c>
      <c r="H46" s="15" t="n">
        <v>5</v>
      </c>
      <c r="I46" s="15" t="n">
        <v>9</v>
      </c>
      <c r="J46" s="15" t="n">
        <v>8</v>
      </c>
      <c r="K46" s="15" t="n">
        <v>8</v>
      </c>
      <c r="L46" s="4" t="n">
        <f aca="false">ROUND(E46*Rubric!$B$4+F46*Rubric!$B$5+G46*Rubric!$B$6+H46*Rubric!$B$7+I46*Rubric!$B$8+J46*Rubric!$B$9+K46*Rubric!$B$10-IF(OR(G46&lt;Rubric!$B$12,J46&lt;Rubric!$B$12),Rubric!$B$13,0),2)</f>
        <v>8.25</v>
      </c>
      <c r="M46" s="4" t="n">
        <f aca="false">SUMIFS('Revision Log'!$M:$M,'Revision Log'!$N:$N,O46,'Revision Log'!$C:$C,0)</f>
        <v>7.65</v>
      </c>
      <c r="N46" s="16" t="n">
        <f aca="false">L46-M46</f>
        <v>0.6</v>
      </c>
      <c r="O46" s="14" t="n">
        <v>84</v>
      </c>
    </row>
    <row r="47" customFormat="false" ht="23.85" hidden="false" customHeight="false" outlineLevel="0" collapsed="false">
      <c r="A47" s="2" t="s">
        <v>55</v>
      </c>
      <c r="B47" s="2" t="s">
        <v>56</v>
      </c>
      <c r="C47" s="14" t="n">
        <v>1</v>
      </c>
      <c r="D47" s="2" t="s">
        <v>402</v>
      </c>
      <c r="E47" s="15" t="n">
        <v>9</v>
      </c>
      <c r="F47" s="15" t="n">
        <v>9</v>
      </c>
      <c r="G47" s="15" t="n">
        <v>7</v>
      </c>
      <c r="H47" s="15" t="n">
        <v>4</v>
      </c>
      <c r="I47" s="15" t="n">
        <v>8</v>
      </c>
      <c r="J47" s="15" t="n">
        <v>7</v>
      </c>
      <c r="K47" s="15" t="n">
        <v>8</v>
      </c>
      <c r="L47" s="4" t="n">
        <f aca="false">ROUND(E47*Rubric!$B$4+F47*Rubric!$B$5+G47*Rubric!$B$6+H47*Rubric!$B$7+I47*Rubric!$B$8+J47*Rubric!$B$9+K47*Rubric!$B$10-IF(OR(G47&lt;Rubric!$B$12,J47&lt;Rubric!$B$12),Rubric!$B$13,0),2)</f>
        <v>7.6</v>
      </c>
      <c r="M47" s="4" t="n">
        <f aca="false">SUMIFS('Revision Log'!$M:$M,'Revision Log'!$N:$N,O47,'Revision Log'!$C:$C,0)</f>
        <v>7.6</v>
      </c>
      <c r="N47" s="16" t="n">
        <f aca="false">L47-M47</f>
        <v>0</v>
      </c>
      <c r="O47" s="14" t="n">
        <v>90</v>
      </c>
    </row>
    <row r="48" customFormat="false" ht="23.85" hidden="false" customHeight="false" outlineLevel="0" collapsed="false">
      <c r="A48" s="2" t="s">
        <v>55</v>
      </c>
      <c r="B48" s="2" t="s">
        <v>56</v>
      </c>
      <c r="C48" s="14" t="n">
        <v>2</v>
      </c>
      <c r="D48" s="2" t="s">
        <v>403</v>
      </c>
      <c r="E48" s="15" t="n">
        <v>7</v>
      </c>
      <c r="F48" s="15" t="n">
        <v>8</v>
      </c>
      <c r="G48" s="15" t="n">
        <v>8</v>
      </c>
      <c r="H48" s="15" t="n">
        <v>7</v>
      </c>
      <c r="I48" s="15" t="n">
        <v>8</v>
      </c>
      <c r="J48" s="15" t="n">
        <v>8</v>
      </c>
      <c r="K48" s="15" t="n">
        <v>8</v>
      </c>
      <c r="L48" s="4" t="n">
        <f aca="false">ROUND(E48*Rubric!$B$4+F48*Rubric!$B$5+G48*Rubric!$B$6+H48*Rubric!$B$7+I48*Rubric!$B$8+J48*Rubric!$B$9+K48*Rubric!$B$10-IF(OR(G48&lt;Rubric!$B$12,J48&lt;Rubric!$B$12),Rubric!$B$13,0),2)</f>
        <v>7.85</v>
      </c>
      <c r="M48" s="4" t="n">
        <f aca="false">SUMIFS('Revision Log'!$M:$M,'Revision Log'!$N:$N,O48,'Revision Log'!$C:$C,0)</f>
        <v>6.55</v>
      </c>
      <c r="N48" s="16" t="n">
        <f aca="false">L48-M48</f>
        <v>1.3</v>
      </c>
      <c r="O48" s="14" t="n">
        <v>91</v>
      </c>
    </row>
    <row r="49" customFormat="false" ht="23.85" hidden="false" customHeight="false" outlineLevel="0" collapsed="false">
      <c r="A49" s="2" t="s">
        <v>55</v>
      </c>
      <c r="B49" s="2" t="s">
        <v>56</v>
      </c>
      <c r="C49" s="14" t="n">
        <v>3</v>
      </c>
      <c r="D49" s="2" t="s">
        <v>404</v>
      </c>
      <c r="E49" s="15" t="n">
        <v>8</v>
      </c>
      <c r="F49" s="15" t="n">
        <v>8</v>
      </c>
      <c r="G49" s="15" t="n">
        <v>7</v>
      </c>
      <c r="H49" s="15" t="n">
        <v>10</v>
      </c>
      <c r="I49" s="15" t="n">
        <v>10</v>
      </c>
      <c r="J49" s="15" t="n">
        <v>7</v>
      </c>
      <c r="K49" s="15" t="n">
        <v>9</v>
      </c>
      <c r="L49" s="4" t="n">
        <f aca="false">ROUND(E49*Rubric!$B$4+F49*Rubric!$B$5+G49*Rubric!$B$6+H49*Rubric!$B$7+I49*Rubric!$B$8+J49*Rubric!$B$9+K49*Rubric!$B$10-IF(OR(G49&lt;Rubric!$B$12,J49&lt;Rubric!$B$12),Rubric!$B$13,0),2)</f>
        <v>8.9</v>
      </c>
      <c r="M49" s="4" t="n">
        <f aca="false">SUMIFS('Revision Log'!$M:$M,'Revision Log'!$N:$N,O49,'Revision Log'!$C:$C,0)</f>
        <v>8.9</v>
      </c>
      <c r="N49" s="16" t="n">
        <f aca="false">L49-M49</f>
        <v>0</v>
      </c>
      <c r="O49" s="14" t="n">
        <v>92</v>
      </c>
    </row>
    <row r="50" customFormat="false" ht="23.85" hidden="false" customHeight="false" outlineLevel="0" collapsed="false">
      <c r="A50" s="2" t="s">
        <v>55</v>
      </c>
      <c r="B50" s="2" t="s">
        <v>56</v>
      </c>
      <c r="C50" s="14" t="n">
        <v>4</v>
      </c>
      <c r="D50" s="2" t="s">
        <v>405</v>
      </c>
      <c r="E50" s="15" t="n">
        <v>9</v>
      </c>
      <c r="F50" s="15" t="n">
        <v>8</v>
      </c>
      <c r="G50" s="15" t="n">
        <v>8</v>
      </c>
      <c r="H50" s="15" t="n">
        <v>4</v>
      </c>
      <c r="I50" s="15" t="n">
        <v>7</v>
      </c>
      <c r="J50" s="15" t="n">
        <v>8</v>
      </c>
      <c r="K50" s="15" t="n">
        <v>8</v>
      </c>
      <c r="L50" s="4" t="n">
        <f aca="false">ROUND(E50*Rubric!$B$4+F50*Rubric!$B$5+G50*Rubric!$B$6+H50*Rubric!$B$7+I50*Rubric!$B$8+J50*Rubric!$B$9+K50*Rubric!$B$10-IF(OR(G50&lt;Rubric!$B$12,J50&lt;Rubric!$B$12),Rubric!$B$13,0),2)</f>
        <v>7.25</v>
      </c>
      <c r="M50" s="4" t="n">
        <f aca="false">SUMIFS('Revision Log'!$M:$M,'Revision Log'!$N:$N,O50,'Revision Log'!$C:$C,0)</f>
        <v>6.35</v>
      </c>
      <c r="N50" s="16" t="n">
        <f aca="false">L50-M50</f>
        <v>0.9</v>
      </c>
      <c r="O50" s="14" t="n">
        <v>93</v>
      </c>
    </row>
    <row r="51" customFormat="false" ht="23.85" hidden="false" customHeight="false" outlineLevel="0" collapsed="false">
      <c r="A51" s="2" t="s">
        <v>55</v>
      </c>
      <c r="B51" s="2" t="s">
        <v>56</v>
      </c>
      <c r="C51" s="14" t="n">
        <v>5</v>
      </c>
      <c r="D51" s="2" t="s">
        <v>406</v>
      </c>
      <c r="E51" s="15" t="n">
        <v>9</v>
      </c>
      <c r="F51" s="15" t="n">
        <v>8</v>
      </c>
      <c r="G51" s="15" t="n">
        <v>8</v>
      </c>
      <c r="H51" s="15" t="n">
        <v>3</v>
      </c>
      <c r="I51" s="15" t="n">
        <v>7</v>
      </c>
      <c r="J51" s="15" t="n">
        <v>8</v>
      </c>
      <c r="K51" s="15" t="n">
        <v>9</v>
      </c>
      <c r="L51" s="4" t="n">
        <f aca="false">ROUND(E51*Rubric!$B$4+F51*Rubric!$B$5+G51*Rubric!$B$6+H51*Rubric!$B$7+I51*Rubric!$B$8+J51*Rubric!$B$9+K51*Rubric!$B$10-IF(OR(G51&lt;Rubric!$B$12,J51&lt;Rubric!$B$12),Rubric!$B$13,0),2)</f>
        <v>7.25</v>
      </c>
      <c r="M51" s="4" t="n">
        <f aca="false">SUMIFS('Revision Log'!$M:$M,'Revision Log'!$N:$N,O51,'Revision Log'!$C:$C,0)</f>
        <v>6.25</v>
      </c>
      <c r="N51" s="16" t="n">
        <f aca="false">L51-M51</f>
        <v>1</v>
      </c>
      <c r="O51" s="14" t="n">
        <v>94</v>
      </c>
    </row>
    <row r="52" customFormat="false" ht="23.85" hidden="false" customHeight="false" outlineLevel="0" collapsed="false">
      <c r="A52" s="2" t="s">
        <v>59</v>
      </c>
      <c r="B52" s="2" t="s">
        <v>60</v>
      </c>
      <c r="C52" s="14" t="n">
        <v>1</v>
      </c>
      <c r="D52" s="2" t="s">
        <v>407</v>
      </c>
      <c r="E52" s="15" t="n">
        <v>8</v>
      </c>
      <c r="F52" s="15" t="n">
        <v>8</v>
      </c>
      <c r="G52" s="15" t="n">
        <v>7</v>
      </c>
      <c r="H52" s="15" t="n">
        <v>10</v>
      </c>
      <c r="I52" s="15" t="n">
        <v>10</v>
      </c>
      <c r="J52" s="15" t="n">
        <v>7</v>
      </c>
      <c r="K52" s="15" t="n">
        <v>9</v>
      </c>
      <c r="L52" s="4" t="n">
        <f aca="false">ROUND(E52*Rubric!$B$4+F52*Rubric!$B$5+G52*Rubric!$B$6+H52*Rubric!$B$7+I52*Rubric!$B$8+J52*Rubric!$B$9+K52*Rubric!$B$10-IF(OR(G52&lt;Rubric!$B$12,J52&lt;Rubric!$B$12),Rubric!$B$13,0),2)</f>
        <v>8.9</v>
      </c>
      <c r="M52" s="4" t="n">
        <f aca="false">SUMIFS('Revision Log'!$M:$M,'Revision Log'!$N:$N,O52,'Revision Log'!$C:$C,0)</f>
        <v>7.7</v>
      </c>
      <c r="N52" s="16" t="n">
        <f aca="false">L52-M52</f>
        <v>1.2</v>
      </c>
      <c r="O52" s="14" t="n">
        <v>100</v>
      </c>
    </row>
    <row r="53" customFormat="false" ht="23.85" hidden="false" customHeight="false" outlineLevel="0" collapsed="false">
      <c r="A53" s="2" t="s">
        <v>59</v>
      </c>
      <c r="B53" s="2" t="s">
        <v>60</v>
      </c>
      <c r="C53" s="14" t="n">
        <v>2</v>
      </c>
      <c r="D53" s="2" t="s">
        <v>408</v>
      </c>
      <c r="E53" s="15" t="n">
        <v>9</v>
      </c>
      <c r="F53" s="15" t="n">
        <v>8</v>
      </c>
      <c r="G53" s="15" t="n">
        <v>8</v>
      </c>
      <c r="H53" s="15" t="n">
        <v>10</v>
      </c>
      <c r="I53" s="15" t="n">
        <v>9</v>
      </c>
      <c r="J53" s="15" t="n">
        <v>8</v>
      </c>
      <c r="K53" s="15" t="n">
        <v>9</v>
      </c>
      <c r="L53" s="4" t="n">
        <f aca="false">ROUND(E53*Rubric!$B$4+F53*Rubric!$B$5+G53*Rubric!$B$6+H53*Rubric!$B$7+I53*Rubric!$B$8+J53*Rubric!$B$9+K53*Rubric!$B$10-IF(OR(G53&lt;Rubric!$B$12,J53&lt;Rubric!$B$12),Rubric!$B$13,0),2)</f>
        <v>8.75</v>
      </c>
      <c r="M53" s="4" t="n">
        <f aca="false">SUMIFS('Revision Log'!$M:$M,'Revision Log'!$N:$N,O53,'Revision Log'!$C:$C,0)</f>
        <v>8.75</v>
      </c>
      <c r="N53" s="16" t="n">
        <f aca="false">L53-M53</f>
        <v>0</v>
      </c>
      <c r="O53" s="14" t="n">
        <v>101</v>
      </c>
    </row>
    <row r="54" customFormat="false" ht="23.85" hidden="false" customHeight="false" outlineLevel="0" collapsed="false">
      <c r="A54" s="2" t="s">
        <v>59</v>
      </c>
      <c r="B54" s="2" t="s">
        <v>60</v>
      </c>
      <c r="C54" s="14" t="n">
        <v>3</v>
      </c>
      <c r="D54" s="2" t="s">
        <v>409</v>
      </c>
      <c r="E54" s="15" t="n">
        <v>9</v>
      </c>
      <c r="F54" s="15" t="n">
        <v>9</v>
      </c>
      <c r="G54" s="15" t="n">
        <v>8</v>
      </c>
      <c r="H54" s="15" t="n">
        <v>3</v>
      </c>
      <c r="I54" s="15" t="n">
        <v>8</v>
      </c>
      <c r="J54" s="15" t="n">
        <v>9</v>
      </c>
      <c r="K54" s="15" t="n">
        <v>8</v>
      </c>
      <c r="L54" s="4" t="n">
        <f aca="false">ROUND(E54*Rubric!$B$4+F54*Rubric!$B$5+G54*Rubric!$B$6+H54*Rubric!$B$7+I54*Rubric!$B$8+J54*Rubric!$B$9+K54*Rubric!$B$10-IF(OR(G54&lt;Rubric!$B$12,J54&lt;Rubric!$B$12),Rubric!$B$13,0),2)</f>
        <v>7.8</v>
      </c>
      <c r="M54" s="4" t="n">
        <f aca="false">SUMIFS('Revision Log'!$M:$M,'Revision Log'!$N:$N,O54,'Revision Log'!$C:$C,0)</f>
        <v>7.8</v>
      </c>
      <c r="N54" s="16" t="n">
        <f aca="false">L54-M54</f>
        <v>0</v>
      </c>
      <c r="O54" s="14" t="n">
        <v>102</v>
      </c>
    </row>
    <row r="55" customFormat="false" ht="23.85" hidden="false" customHeight="false" outlineLevel="0" collapsed="false">
      <c r="A55" s="2" t="s">
        <v>59</v>
      </c>
      <c r="B55" s="2" t="s">
        <v>60</v>
      </c>
      <c r="C55" s="14" t="n">
        <v>4</v>
      </c>
      <c r="D55" s="2" t="s">
        <v>410</v>
      </c>
      <c r="E55" s="15" t="n">
        <v>9</v>
      </c>
      <c r="F55" s="15" t="n">
        <v>8</v>
      </c>
      <c r="G55" s="15" t="n">
        <v>8</v>
      </c>
      <c r="H55" s="15" t="n">
        <v>5</v>
      </c>
      <c r="I55" s="15" t="n">
        <v>8</v>
      </c>
      <c r="J55" s="15" t="n">
        <v>7</v>
      </c>
      <c r="K55" s="15" t="n">
        <v>8</v>
      </c>
      <c r="L55" s="4" t="n">
        <f aca="false">ROUND(E55*Rubric!$B$4+F55*Rubric!$B$5+G55*Rubric!$B$6+H55*Rubric!$B$7+I55*Rubric!$B$8+J55*Rubric!$B$9+K55*Rubric!$B$10-IF(OR(G55&lt;Rubric!$B$12,J55&lt;Rubric!$B$12),Rubric!$B$13,0),2)</f>
        <v>7.65</v>
      </c>
      <c r="M55" s="4" t="n">
        <f aca="false">SUMIFS('Revision Log'!$M:$M,'Revision Log'!$N:$N,O55,'Revision Log'!$C:$C,0)</f>
        <v>7.45</v>
      </c>
      <c r="N55" s="16" t="n">
        <f aca="false">L55-M55</f>
        <v>0.2</v>
      </c>
      <c r="O55" s="14" t="n">
        <v>103</v>
      </c>
    </row>
    <row r="56" customFormat="false" ht="23.85" hidden="false" customHeight="false" outlineLevel="0" collapsed="false">
      <c r="A56" s="2" t="s">
        <v>59</v>
      </c>
      <c r="B56" s="2" t="s">
        <v>60</v>
      </c>
      <c r="C56" s="14" t="n">
        <v>5</v>
      </c>
      <c r="D56" s="2" t="s">
        <v>411</v>
      </c>
      <c r="E56" s="15" t="n">
        <v>7</v>
      </c>
      <c r="F56" s="15" t="n">
        <v>7</v>
      </c>
      <c r="G56" s="15" t="n">
        <v>8</v>
      </c>
      <c r="H56" s="15" t="n">
        <v>8</v>
      </c>
      <c r="I56" s="15" t="n">
        <v>8</v>
      </c>
      <c r="J56" s="15" t="n">
        <v>8</v>
      </c>
      <c r="K56" s="15" t="n">
        <v>8</v>
      </c>
      <c r="L56" s="4" t="n">
        <f aca="false">ROUND(E56*Rubric!$B$4+F56*Rubric!$B$5+G56*Rubric!$B$6+H56*Rubric!$B$7+I56*Rubric!$B$8+J56*Rubric!$B$9+K56*Rubric!$B$10-IF(OR(G56&lt;Rubric!$B$12,J56&lt;Rubric!$B$12),Rubric!$B$13,0),2)</f>
        <v>7.8</v>
      </c>
      <c r="M56" s="4" t="n">
        <f aca="false">SUMIFS('Revision Log'!$M:$M,'Revision Log'!$N:$N,O56,'Revision Log'!$C:$C,0)</f>
        <v>4.85</v>
      </c>
      <c r="N56" s="16" t="n">
        <f aca="false">L56-M56</f>
        <v>2.95</v>
      </c>
      <c r="O56" s="14" t="n">
        <v>104</v>
      </c>
    </row>
    <row r="57" customFormat="false" ht="23.85" hidden="false" customHeight="false" outlineLevel="0" collapsed="false">
      <c r="A57" s="2" t="s">
        <v>64</v>
      </c>
      <c r="B57" s="2" t="s">
        <v>65</v>
      </c>
      <c r="C57" s="14" t="n">
        <v>1</v>
      </c>
      <c r="D57" s="2" t="s">
        <v>412</v>
      </c>
      <c r="E57" s="15" t="n">
        <v>9</v>
      </c>
      <c r="F57" s="15" t="n">
        <v>8</v>
      </c>
      <c r="G57" s="15" t="n">
        <v>8</v>
      </c>
      <c r="H57" s="15" t="n">
        <v>3</v>
      </c>
      <c r="I57" s="15" t="n">
        <v>8</v>
      </c>
      <c r="J57" s="15" t="n">
        <v>8</v>
      </c>
      <c r="K57" s="15" t="n">
        <v>7</v>
      </c>
      <c r="L57" s="4" t="n">
        <f aca="false">ROUND(E57*Rubric!$B$4+F57*Rubric!$B$5+G57*Rubric!$B$6+H57*Rubric!$B$7+I57*Rubric!$B$8+J57*Rubric!$B$9+K57*Rubric!$B$10-IF(OR(G57&lt;Rubric!$B$12,J57&lt;Rubric!$B$12),Rubric!$B$13,0),2)</f>
        <v>7.45</v>
      </c>
      <c r="M57" s="4" t="n">
        <f aca="false">SUMIFS('Revision Log'!$M:$M,'Revision Log'!$N:$N,O57,'Revision Log'!$C:$C,0)</f>
        <v>7.2</v>
      </c>
      <c r="N57" s="16" t="n">
        <f aca="false">L57-M57</f>
        <v>0.25</v>
      </c>
      <c r="O57" s="14" t="n">
        <v>110</v>
      </c>
    </row>
    <row r="58" customFormat="false" ht="23.85" hidden="false" customHeight="false" outlineLevel="0" collapsed="false">
      <c r="A58" s="2" t="s">
        <v>64</v>
      </c>
      <c r="B58" s="2" t="s">
        <v>65</v>
      </c>
      <c r="C58" s="14" t="n">
        <v>2</v>
      </c>
      <c r="D58" s="2" t="s">
        <v>413</v>
      </c>
      <c r="E58" s="15" t="n">
        <v>9</v>
      </c>
      <c r="F58" s="15" t="n">
        <v>9</v>
      </c>
      <c r="G58" s="15" t="n">
        <v>8</v>
      </c>
      <c r="H58" s="15" t="n">
        <v>3</v>
      </c>
      <c r="I58" s="15" t="n">
        <v>8</v>
      </c>
      <c r="J58" s="15" t="n">
        <v>9</v>
      </c>
      <c r="K58" s="15" t="n">
        <v>8</v>
      </c>
      <c r="L58" s="4" t="n">
        <f aca="false">ROUND(E58*Rubric!$B$4+F58*Rubric!$B$5+G58*Rubric!$B$6+H58*Rubric!$B$7+I58*Rubric!$B$8+J58*Rubric!$B$9+K58*Rubric!$B$10-IF(OR(G58&lt;Rubric!$B$12,J58&lt;Rubric!$B$12),Rubric!$B$13,0),2)</f>
        <v>7.8</v>
      </c>
      <c r="M58" s="4" t="n">
        <f aca="false">SUMIFS('Revision Log'!$M:$M,'Revision Log'!$N:$N,O58,'Revision Log'!$C:$C,0)</f>
        <v>7.8</v>
      </c>
      <c r="N58" s="16" t="n">
        <f aca="false">L58-M58</f>
        <v>0</v>
      </c>
      <c r="O58" s="14" t="n">
        <v>111</v>
      </c>
    </row>
    <row r="59" customFormat="false" ht="23.85" hidden="false" customHeight="false" outlineLevel="0" collapsed="false">
      <c r="A59" s="2" t="s">
        <v>64</v>
      </c>
      <c r="B59" s="2" t="s">
        <v>65</v>
      </c>
      <c r="C59" s="14" t="n">
        <v>3</v>
      </c>
      <c r="D59" s="2" t="s">
        <v>414</v>
      </c>
      <c r="E59" s="15" t="n">
        <v>9</v>
      </c>
      <c r="F59" s="15" t="n">
        <v>8</v>
      </c>
      <c r="G59" s="15" t="n">
        <v>8</v>
      </c>
      <c r="H59" s="15" t="n">
        <v>3</v>
      </c>
      <c r="I59" s="15" t="n">
        <v>8</v>
      </c>
      <c r="J59" s="15" t="n">
        <v>8</v>
      </c>
      <c r="K59" s="15" t="n">
        <v>8</v>
      </c>
      <c r="L59" s="4" t="n">
        <f aca="false">ROUND(E59*Rubric!$B$4+F59*Rubric!$B$5+G59*Rubric!$B$6+H59*Rubric!$B$7+I59*Rubric!$B$8+J59*Rubric!$B$9+K59*Rubric!$B$10-IF(OR(G59&lt;Rubric!$B$12,J59&lt;Rubric!$B$12),Rubric!$B$13,0),2)</f>
        <v>7.55</v>
      </c>
      <c r="M59" s="4" t="n">
        <f aca="false">SUMIFS('Revision Log'!$M:$M,'Revision Log'!$N:$N,O59,'Revision Log'!$C:$C,0)</f>
        <v>6</v>
      </c>
      <c r="N59" s="16" t="n">
        <f aca="false">L59-M59</f>
        <v>1.55</v>
      </c>
      <c r="O59" s="14" t="n">
        <v>112</v>
      </c>
    </row>
    <row r="60" customFormat="false" ht="23.85" hidden="false" customHeight="false" outlineLevel="0" collapsed="false">
      <c r="A60" s="2" t="s">
        <v>64</v>
      </c>
      <c r="B60" s="2" t="s">
        <v>65</v>
      </c>
      <c r="C60" s="14" t="n">
        <v>4</v>
      </c>
      <c r="D60" s="2" t="s">
        <v>415</v>
      </c>
      <c r="E60" s="15" t="n">
        <v>9</v>
      </c>
      <c r="F60" s="15" t="n">
        <v>7</v>
      </c>
      <c r="G60" s="15" t="n">
        <v>8</v>
      </c>
      <c r="H60" s="15" t="n">
        <v>8</v>
      </c>
      <c r="I60" s="15" t="n">
        <v>7</v>
      </c>
      <c r="J60" s="15" t="n">
        <v>7</v>
      </c>
      <c r="K60" s="15" t="n">
        <v>7</v>
      </c>
      <c r="L60" s="4" t="n">
        <f aca="false">ROUND(E60*Rubric!$B$4+F60*Rubric!$B$5+G60*Rubric!$B$6+H60*Rubric!$B$7+I60*Rubric!$B$8+J60*Rubric!$B$9+K60*Rubric!$B$10-IF(OR(G60&lt;Rubric!$B$12,J60&lt;Rubric!$B$12),Rubric!$B$13,0),2)</f>
        <v>7.3</v>
      </c>
      <c r="M60" s="4" t="n">
        <f aca="false">SUMIFS('Revision Log'!$M:$M,'Revision Log'!$N:$N,O60,'Revision Log'!$C:$C,0)</f>
        <v>6.6</v>
      </c>
      <c r="N60" s="16" t="n">
        <f aca="false">L60-M60</f>
        <v>0.7</v>
      </c>
      <c r="O60" s="14" t="n">
        <v>113</v>
      </c>
    </row>
    <row r="61" customFormat="false" ht="23.85" hidden="false" customHeight="false" outlineLevel="0" collapsed="false">
      <c r="A61" s="2" t="s">
        <v>64</v>
      </c>
      <c r="B61" s="2" t="s">
        <v>65</v>
      </c>
      <c r="C61" s="14" t="n">
        <v>5</v>
      </c>
      <c r="D61" s="2" t="s">
        <v>416</v>
      </c>
      <c r="E61" s="15" t="n">
        <v>8</v>
      </c>
      <c r="F61" s="15" t="n">
        <v>8</v>
      </c>
      <c r="G61" s="15" t="n">
        <v>8</v>
      </c>
      <c r="H61" s="15" t="n">
        <v>3</v>
      </c>
      <c r="I61" s="15" t="n">
        <v>8</v>
      </c>
      <c r="J61" s="15" t="n">
        <v>8</v>
      </c>
      <c r="K61" s="15" t="n">
        <v>8</v>
      </c>
      <c r="L61" s="4" t="n">
        <f aca="false">ROUND(E61*Rubric!$B$4+F61*Rubric!$B$5+G61*Rubric!$B$6+H61*Rubric!$B$7+I61*Rubric!$B$8+J61*Rubric!$B$9+K61*Rubric!$B$10-IF(OR(G61&lt;Rubric!$B$12,J61&lt;Rubric!$B$12),Rubric!$B$13,0),2)</f>
        <v>7.5</v>
      </c>
      <c r="M61" s="4" t="n">
        <f aca="false">SUMIFS('Revision Log'!$M:$M,'Revision Log'!$N:$N,O61,'Revision Log'!$C:$C,0)</f>
        <v>6.95</v>
      </c>
      <c r="N61" s="16" t="n">
        <f aca="false">L61-M61</f>
        <v>0.55</v>
      </c>
      <c r="O61" s="14" t="n">
        <v>114</v>
      </c>
    </row>
    <row r="62" customFormat="false" ht="23.85" hidden="false" customHeight="false" outlineLevel="0" collapsed="false">
      <c r="A62" s="2" t="s">
        <v>69</v>
      </c>
      <c r="B62" s="2" t="s">
        <v>70</v>
      </c>
      <c r="C62" s="14" t="n">
        <v>1</v>
      </c>
      <c r="D62" s="2" t="s">
        <v>417</v>
      </c>
      <c r="E62" s="15" t="n">
        <v>8</v>
      </c>
      <c r="F62" s="15" t="n">
        <v>8</v>
      </c>
      <c r="G62" s="15" t="n">
        <v>8</v>
      </c>
      <c r="H62" s="15" t="n">
        <v>3</v>
      </c>
      <c r="I62" s="15" t="n">
        <v>8</v>
      </c>
      <c r="J62" s="15" t="n">
        <v>8</v>
      </c>
      <c r="K62" s="15" t="n">
        <v>9</v>
      </c>
      <c r="L62" s="4" t="n">
        <f aca="false">ROUND(E62*Rubric!$B$4+F62*Rubric!$B$5+G62*Rubric!$B$6+H62*Rubric!$B$7+I62*Rubric!$B$8+J62*Rubric!$B$9+K62*Rubric!$B$10-IF(OR(G62&lt;Rubric!$B$12,J62&lt;Rubric!$B$12),Rubric!$B$13,0),2)</f>
        <v>7.6</v>
      </c>
      <c r="M62" s="4" t="n">
        <f aca="false">SUMIFS('Revision Log'!$M:$M,'Revision Log'!$N:$N,O62,'Revision Log'!$C:$C,0)</f>
        <v>7.2</v>
      </c>
      <c r="N62" s="16" t="n">
        <f aca="false">L62-M62</f>
        <v>0.399999999999999</v>
      </c>
      <c r="O62" s="14" t="n">
        <v>120</v>
      </c>
    </row>
    <row r="63" customFormat="false" ht="15" hidden="false" customHeight="false" outlineLevel="0" collapsed="false">
      <c r="A63" s="2" t="s">
        <v>69</v>
      </c>
      <c r="B63" s="2" t="s">
        <v>70</v>
      </c>
      <c r="C63" s="14" t="n">
        <v>2</v>
      </c>
      <c r="D63" s="2" t="s">
        <v>418</v>
      </c>
      <c r="E63" s="15" t="n">
        <v>9</v>
      </c>
      <c r="F63" s="15" t="n">
        <v>9</v>
      </c>
      <c r="G63" s="15" t="n">
        <v>7</v>
      </c>
      <c r="H63" s="15" t="n">
        <v>3</v>
      </c>
      <c r="I63" s="15" t="n">
        <v>9</v>
      </c>
      <c r="J63" s="15" t="n">
        <v>8</v>
      </c>
      <c r="K63" s="15" t="n">
        <v>8</v>
      </c>
      <c r="L63" s="4" t="n">
        <f aca="false">ROUND(E63*Rubric!$B$4+F63*Rubric!$B$5+G63*Rubric!$B$6+H63*Rubric!$B$7+I63*Rubric!$B$8+J63*Rubric!$B$9+K63*Rubric!$B$10-IF(OR(G63&lt;Rubric!$B$12,J63&lt;Rubric!$B$12),Rubric!$B$13,0),2)</f>
        <v>8</v>
      </c>
      <c r="M63" s="4" t="n">
        <f aca="false">SUMIFS('Revision Log'!$M:$M,'Revision Log'!$N:$N,O63,'Revision Log'!$C:$C,0)</f>
        <v>8</v>
      </c>
      <c r="N63" s="16" t="n">
        <f aca="false">L63-M63</f>
        <v>0</v>
      </c>
      <c r="O63" s="14" t="n">
        <v>121</v>
      </c>
    </row>
    <row r="64" customFormat="false" ht="23.85" hidden="false" customHeight="false" outlineLevel="0" collapsed="false">
      <c r="A64" s="2" t="s">
        <v>69</v>
      </c>
      <c r="B64" s="2" t="s">
        <v>70</v>
      </c>
      <c r="C64" s="14" t="n">
        <v>3</v>
      </c>
      <c r="D64" s="2" t="s">
        <v>419</v>
      </c>
      <c r="E64" s="15" t="n">
        <v>8</v>
      </c>
      <c r="F64" s="15" t="n">
        <v>8</v>
      </c>
      <c r="G64" s="15" t="n">
        <v>8</v>
      </c>
      <c r="H64" s="15" t="n">
        <v>3</v>
      </c>
      <c r="I64" s="15" t="n">
        <v>7</v>
      </c>
      <c r="J64" s="15" t="n">
        <v>8</v>
      </c>
      <c r="K64" s="15" t="n">
        <v>9</v>
      </c>
      <c r="L64" s="4" t="n">
        <f aca="false">ROUND(E64*Rubric!$B$4+F64*Rubric!$B$5+G64*Rubric!$B$6+H64*Rubric!$B$7+I64*Rubric!$B$8+J64*Rubric!$B$9+K64*Rubric!$B$10-IF(OR(G64&lt;Rubric!$B$12,J64&lt;Rubric!$B$12),Rubric!$B$13,0),2)</f>
        <v>7.2</v>
      </c>
      <c r="M64" s="4" t="n">
        <f aca="false">SUMIFS('Revision Log'!$M:$M,'Revision Log'!$N:$N,O64,'Revision Log'!$C:$C,0)</f>
        <v>6.55</v>
      </c>
      <c r="N64" s="16" t="n">
        <f aca="false">L64-M64</f>
        <v>0.65</v>
      </c>
      <c r="O64" s="14" t="n">
        <v>122</v>
      </c>
    </row>
    <row r="65" customFormat="false" ht="23.85" hidden="false" customHeight="false" outlineLevel="0" collapsed="false">
      <c r="A65" s="2" t="s">
        <v>69</v>
      </c>
      <c r="B65" s="2" t="s">
        <v>70</v>
      </c>
      <c r="C65" s="14" t="n">
        <v>4</v>
      </c>
      <c r="D65" s="2" t="s">
        <v>420</v>
      </c>
      <c r="E65" s="15" t="n">
        <v>8</v>
      </c>
      <c r="F65" s="15" t="n">
        <v>8</v>
      </c>
      <c r="G65" s="15" t="n">
        <v>8</v>
      </c>
      <c r="H65" s="15" t="n">
        <v>3</v>
      </c>
      <c r="I65" s="15" t="n">
        <v>8</v>
      </c>
      <c r="J65" s="15" t="n">
        <v>8</v>
      </c>
      <c r="K65" s="15" t="n">
        <v>8</v>
      </c>
      <c r="L65" s="4" t="n">
        <f aca="false">ROUND(E65*Rubric!$B$4+F65*Rubric!$B$5+G65*Rubric!$B$6+H65*Rubric!$B$7+I65*Rubric!$B$8+J65*Rubric!$B$9+K65*Rubric!$B$10-IF(OR(G65&lt;Rubric!$B$12,J65&lt;Rubric!$B$12),Rubric!$B$13,0),2)</f>
        <v>7.5</v>
      </c>
      <c r="M65" s="4" t="n">
        <f aca="false">SUMIFS('Revision Log'!$M:$M,'Revision Log'!$N:$N,O65,'Revision Log'!$C:$C,0)</f>
        <v>7.2</v>
      </c>
      <c r="N65" s="16" t="n">
        <f aca="false">L65-M65</f>
        <v>0.3</v>
      </c>
      <c r="O65" s="14" t="n">
        <v>123</v>
      </c>
    </row>
    <row r="66" customFormat="false" ht="23.85" hidden="false" customHeight="false" outlineLevel="0" collapsed="false">
      <c r="A66" s="2" t="s">
        <v>69</v>
      </c>
      <c r="B66" s="2" t="s">
        <v>70</v>
      </c>
      <c r="C66" s="14" t="n">
        <v>5</v>
      </c>
      <c r="D66" s="2" t="s">
        <v>421</v>
      </c>
      <c r="E66" s="15" t="n">
        <v>8</v>
      </c>
      <c r="F66" s="15" t="n">
        <v>8</v>
      </c>
      <c r="G66" s="15" t="n">
        <v>8</v>
      </c>
      <c r="H66" s="15" t="n">
        <v>9</v>
      </c>
      <c r="I66" s="15" t="n">
        <v>7</v>
      </c>
      <c r="J66" s="15" t="n">
        <v>8</v>
      </c>
      <c r="K66" s="15" t="n">
        <v>8</v>
      </c>
      <c r="L66" s="4" t="n">
        <f aca="false">ROUND(E66*Rubric!$B$4+F66*Rubric!$B$5+G66*Rubric!$B$6+H66*Rubric!$B$7+I66*Rubric!$B$8+J66*Rubric!$B$9+K66*Rubric!$B$10-IF(OR(G66&lt;Rubric!$B$12,J66&lt;Rubric!$B$12),Rubric!$B$13,0),2)</f>
        <v>7.7</v>
      </c>
      <c r="M66" s="4" t="n">
        <f aca="false">SUMIFS('Revision Log'!$M:$M,'Revision Log'!$N:$N,O66,'Revision Log'!$C:$C,0)</f>
        <v>7.2</v>
      </c>
      <c r="N66" s="16" t="n">
        <f aca="false">L66-M66</f>
        <v>0.5</v>
      </c>
      <c r="O66" s="14" t="n">
        <v>124</v>
      </c>
    </row>
    <row r="67" customFormat="false" ht="23.85" hidden="false" customHeight="false" outlineLevel="0" collapsed="false">
      <c r="A67" s="2" t="s">
        <v>74</v>
      </c>
      <c r="B67" s="2" t="s">
        <v>75</v>
      </c>
      <c r="C67" s="14" t="n">
        <v>1</v>
      </c>
      <c r="D67" s="2" t="s">
        <v>422</v>
      </c>
      <c r="E67" s="15" t="n">
        <v>8</v>
      </c>
      <c r="F67" s="15" t="n">
        <v>9</v>
      </c>
      <c r="G67" s="15" t="n">
        <v>7</v>
      </c>
      <c r="H67" s="15" t="n">
        <v>3</v>
      </c>
      <c r="I67" s="15" t="n">
        <v>9</v>
      </c>
      <c r="J67" s="15" t="n">
        <v>8</v>
      </c>
      <c r="K67" s="15" t="n">
        <v>8</v>
      </c>
      <c r="L67" s="4" t="n">
        <f aca="false">ROUND(E67*Rubric!$B$4+F67*Rubric!$B$5+G67*Rubric!$B$6+H67*Rubric!$B$7+I67*Rubric!$B$8+J67*Rubric!$B$9+K67*Rubric!$B$10-IF(OR(G67&lt;Rubric!$B$12,J67&lt;Rubric!$B$12),Rubric!$B$13,0),2)</f>
        <v>7.95</v>
      </c>
      <c r="M67" s="4" t="n">
        <f aca="false">SUMIFS('Revision Log'!$M:$M,'Revision Log'!$N:$N,O67,'Revision Log'!$C:$C,0)</f>
        <v>7.6</v>
      </c>
      <c r="N67" s="16" t="n">
        <f aca="false">L67-M67</f>
        <v>0.350000000000001</v>
      </c>
      <c r="O67" s="14" t="n">
        <v>130</v>
      </c>
    </row>
    <row r="68" customFormat="false" ht="23.85" hidden="false" customHeight="false" outlineLevel="0" collapsed="false">
      <c r="A68" s="2" t="s">
        <v>74</v>
      </c>
      <c r="B68" s="2" t="s">
        <v>75</v>
      </c>
      <c r="C68" s="14" t="n">
        <v>2</v>
      </c>
      <c r="D68" s="2" t="s">
        <v>423</v>
      </c>
      <c r="E68" s="15" t="n">
        <v>9</v>
      </c>
      <c r="F68" s="15" t="n">
        <v>8</v>
      </c>
      <c r="G68" s="15" t="n">
        <v>8</v>
      </c>
      <c r="H68" s="15" t="n">
        <v>3</v>
      </c>
      <c r="I68" s="15" t="n">
        <v>8</v>
      </c>
      <c r="J68" s="15" t="n">
        <v>8</v>
      </c>
      <c r="K68" s="15" t="n">
        <v>7</v>
      </c>
      <c r="L68" s="4" t="n">
        <f aca="false">ROUND(E68*Rubric!$B$4+F68*Rubric!$B$5+G68*Rubric!$B$6+H68*Rubric!$B$7+I68*Rubric!$B$8+J68*Rubric!$B$9+K68*Rubric!$B$10-IF(OR(G68&lt;Rubric!$B$12,J68&lt;Rubric!$B$12),Rubric!$B$13,0),2)</f>
        <v>7.45</v>
      </c>
      <c r="M68" s="4" t="n">
        <f aca="false">SUMIFS('Revision Log'!$M:$M,'Revision Log'!$N:$N,O68,'Revision Log'!$C:$C,0)</f>
        <v>7.15</v>
      </c>
      <c r="N68" s="16" t="n">
        <f aca="false">L68-M68</f>
        <v>0.3</v>
      </c>
      <c r="O68" s="14" t="n">
        <v>131</v>
      </c>
    </row>
    <row r="69" customFormat="false" ht="23.85" hidden="false" customHeight="false" outlineLevel="0" collapsed="false">
      <c r="A69" s="2" t="s">
        <v>74</v>
      </c>
      <c r="B69" s="2" t="s">
        <v>75</v>
      </c>
      <c r="C69" s="14" t="n">
        <v>3</v>
      </c>
      <c r="D69" s="2" t="s">
        <v>424</v>
      </c>
      <c r="E69" s="15" t="n">
        <v>9</v>
      </c>
      <c r="F69" s="15" t="n">
        <v>9</v>
      </c>
      <c r="G69" s="15" t="n">
        <v>7</v>
      </c>
      <c r="H69" s="15" t="n">
        <v>3</v>
      </c>
      <c r="I69" s="15" t="n">
        <v>9</v>
      </c>
      <c r="J69" s="15" t="n">
        <v>8</v>
      </c>
      <c r="K69" s="15" t="n">
        <v>8</v>
      </c>
      <c r="L69" s="4" t="n">
        <f aca="false">ROUND(E69*Rubric!$B$4+F69*Rubric!$B$5+G69*Rubric!$B$6+H69*Rubric!$B$7+I69*Rubric!$B$8+J69*Rubric!$B$9+K69*Rubric!$B$10-IF(OR(G69&lt;Rubric!$B$12,J69&lt;Rubric!$B$12),Rubric!$B$13,0),2)</f>
        <v>8</v>
      </c>
      <c r="M69" s="4" t="n">
        <f aca="false">SUMIFS('Revision Log'!$M:$M,'Revision Log'!$N:$N,O69,'Revision Log'!$C:$C,0)</f>
        <v>8</v>
      </c>
      <c r="N69" s="16" t="n">
        <f aca="false">L69-M69</f>
        <v>0</v>
      </c>
      <c r="O69" s="14" t="n">
        <v>132</v>
      </c>
    </row>
    <row r="70" customFormat="false" ht="23.85" hidden="false" customHeight="false" outlineLevel="0" collapsed="false">
      <c r="A70" s="2" t="s">
        <v>74</v>
      </c>
      <c r="B70" s="2" t="s">
        <v>75</v>
      </c>
      <c r="C70" s="14" t="n">
        <v>4</v>
      </c>
      <c r="D70" s="2" t="s">
        <v>425</v>
      </c>
      <c r="E70" s="15" t="n">
        <v>8</v>
      </c>
      <c r="F70" s="15" t="n">
        <v>8</v>
      </c>
      <c r="G70" s="15" t="n">
        <v>8</v>
      </c>
      <c r="H70" s="15" t="n">
        <v>3</v>
      </c>
      <c r="I70" s="15" t="n">
        <v>8</v>
      </c>
      <c r="J70" s="15" t="n">
        <v>8</v>
      </c>
      <c r="K70" s="15" t="n">
        <v>7</v>
      </c>
      <c r="L70" s="4" t="n">
        <f aca="false">ROUND(E70*Rubric!$B$4+F70*Rubric!$B$5+G70*Rubric!$B$6+H70*Rubric!$B$7+I70*Rubric!$B$8+J70*Rubric!$B$9+K70*Rubric!$B$10-IF(OR(G70&lt;Rubric!$B$12,J70&lt;Rubric!$B$12),Rubric!$B$13,0),2)</f>
        <v>7.4</v>
      </c>
      <c r="M70" s="4" t="n">
        <f aca="false">SUMIFS('Revision Log'!$M:$M,'Revision Log'!$N:$N,O70,'Revision Log'!$C:$C,0)</f>
        <v>7.3</v>
      </c>
      <c r="N70" s="16" t="n">
        <f aca="false">L70-M70</f>
        <v>0.100000000000001</v>
      </c>
      <c r="O70" s="14" t="n">
        <v>133</v>
      </c>
    </row>
    <row r="71" customFormat="false" ht="23.85" hidden="false" customHeight="false" outlineLevel="0" collapsed="false">
      <c r="A71" s="2" t="s">
        <v>74</v>
      </c>
      <c r="B71" s="2" t="s">
        <v>75</v>
      </c>
      <c r="C71" s="14" t="n">
        <v>5</v>
      </c>
      <c r="D71" s="2" t="s">
        <v>426</v>
      </c>
      <c r="E71" s="15" t="n">
        <v>8</v>
      </c>
      <c r="F71" s="15" t="n">
        <v>8</v>
      </c>
      <c r="G71" s="15" t="n">
        <v>7</v>
      </c>
      <c r="H71" s="15" t="n">
        <v>9</v>
      </c>
      <c r="I71" s="15" t="n">
        <v>8</v>
      </c>
      <c r="J71" s="15" t="n">
        <v>8</v>
      </c>
      <c r="K71" s="15" t="n">
        <v>9</v>
      </c>
      <c r="L71" s="4" t="n">
        <f aca="false">ROUND(E71*Rubric!$B$4+F71*Rubric!$B$5+G71*Rubric!$B$6+H71*Rubric!$B$7+I71*Rubric!$B$8+J71*Rubric!$B$9+K71*Rubric!$B$10-IF(OR(G71&lt;Rubric!$B$12,J71&lt;Rubric!$B$12),Rubric!$B$13,0),2)</f>
        <v>8.1</v>
      </c>
      <c r="M71" s="4" t="n">
        <f aca="false">SUMIFS('Revision Log'!$M:$M,'Revision Log'!$N:$N,O71,'Revision Log'!$C:$C,0)</f>
        <v>8.1</v>
      </c>
      <c r="N71" s="16" t="n">
        <f aca="false">L71-M71</f>
        <v>0</v>
      </c>
      <c r="O71" s="14" t="n">
        <v>134</v>
      </c>
    </row>
    <row r="72" customFormat="false" ht="23.85" hidden="false" customHeight="false" outlineLevel="0" collapsed="false">
      <c r="A72" s="2" t="s">
        <v>79</v>
      </c>
      <c r="B72" s="2" t="s">
        <v>80</v>
      </c>
      <c r="C72" s="14" t="n">
        <v>1</v>
      </c>
      <c r="D72" s="2" t="s">
        <v>427</v>
      </c>
      <c r="E72" s="15" t="n">
        <v>7</v>
      </c>
      <c r="F72" s="15" t="n">
        <v>8</v>
      </c>
      <c r="G72" s="15" t="n">
        <v>8</v>
      </c>
      <c r="H72" s="15" t="n">
        <v>3</v>
      </c>
      <c r="I72" s="15" t="n">
        <v>9</v>
      </c>
      <c r="J72" s="15" t="n">
        <v>8</v>
      </c>
      <c r="K72" s="15" t="n">
        <v>7</v>
      </c>
      <c r="L72" s="4" t="n">
        <f aca="false">ROUND(E72*Rubric!$B$4+F72*Rubric!$B$5+G72*Rubric!$B$6+H72*Rubric!$B$7+I72*Rubric!$B$8+J72*Rubric!$B$9+K72*Rubric!$B$10-IF(OR(G72&lt;Rubric!$B$12,J72&lt;Rubric!$B$12),Rubric!$B$13,0),2)</f>
        <v>7.75</v>
      </c>
      <c r="M72" s="4" t="n">
        <f aca="false">SUMIFS('Revision Log'!$M:$M,'Revision Log'!$N:$N,O72,'Revision Log'!$C:$C,0)</f>
        <v>8.3</v>
      </c>
      <c r="N72" s="16" t="n">
        <f aca="false">L72-M72</f>
        <v>-0.550000000000001</v>
      </c>
      <c r="O72" s="14" t="n">
        <v>1000</v>
      </c>
    </row>
    <row r="73" customFormat="false" ht="15" hidden="false" customHeight="false" outlineLevel="0" collapsed="false">
      <c r="A73" s="2" t="s">
        <v>79</v>
      </c>
      <c r="B73" s="2" t="s">
        <v>80</v>
      </c>
      <c r="C73" s="14" t="n">
        <v>2</v>
      </c>
      <c r="D73" s="2" t="s">
        <v>428</v>
      </c>
      <c r="E73" s="15" t="n">
        <v>9</v>
      </c>
      <c r="F73" s="15" t="n">
        <v>9</v>
      </c>
      <c r="G73" s="15" t="n">
        <v>8</v>
      </c>
      <c r="H73" s="15" t="n">
        <v>3</v>
      </c>
      <c r="I73" s="15" t="n">
        <v>9</v>
      </c>
      <c r="J73" s="15" t="n">
        <v>9</v>
      </c>
      <c r="K73" s="15" t="n">
        <v>9</v>
      </c>
      <c r="L73" s="4" t="n">
        <f aca="false">ROUND(E73*Rubric!$B$4+F73*Rubric!$B$5+G73*Rubric!$B$6+H73*Rubric!$B$7+I73*Rubric!$B$8+J73*Rubric!$B$9+K73*Rubric!$B$10-IF(OR(G73&lt;Rubric!$B$12,J73&lt;Rubric!$B$12),Rubric!$B$13,0),2)</f>
        <v>8.3</v>
      </c>
      <c r="M73" s="4" t="n">
        <f aca="false">SUMIFS('Revision Log'!$M:$M,'Revision Log'!$N:$N,O73,'Revision Log'!$C:$C,0)</f>
        <v>8.3</v>
      </c>
      <c r="N73" s="16" t="n">
        <f aca="false">L73-M73</f>
        <v>0</v>
      </c>
      <c r="O73" s="14" t="n">
        <v>1001</v>
      </c>
    </row>
    <row r="74" customFormat="false" ht="15" hidden="false" customHeight="false" outlineLevel="0" collapsed="false">
      <c r="A74" s="2" t="s">
        <v>79</v>
      </c>
      <c r="B74" s="2" t="s">
        <v>80</v>
      </c>
      <c r="C74" s="14" t="n">
        <v>3</v>
      </c>
      <c r="D74" s="2" t="s">
        <v>429</v>
      </c>
      <c r="E74" s="15" t="n">
        <v>9</v>
      </c>
      <c r="F74" s="15" t="n">
        <v>9</v>
      </c>
      <c r="G74" s="15" t="n">
        <v>8</v>
      </c>
      <c r="H74" s="15" t="n">
        <v>3</v>
      </c>
      <c r="I74" s="15" t="n">
        <v>8</v>
      </c>
      <c r="J74" s="15" t="n">
        <v>9</v>
      </c>
      <c r="K74" s="15" t="n">
        <v>8</v>
      </c>
      <c r="L74" s="4" t="n">
        <f aca="false">ROUND(E74*Rubric!$B$4+F74*Rubric!$B$5+G74*Rubric!$B$6+H74*Rubric!$B$7+I74*Rubric!$B$8+J74*Rubric!$B$9+K74*Rubric!$B$10-IF(OR(G74&lt;Rubric!$B$12,J74&lt;Rubric!$B$12),Rubric!$B$13,0),2)</f>
        <v>7.8</v>
      </c>
      <c r="M74" s="4" t="n">
        <f aca="false">SUMIFS('Revision Log'!$M:$M,'Revision Log'!$N:$N,O74,'Revision Log'!$C:$C,0)</f>
        <v>7.8</v>
      </c>
      <c r="N74" s="16" t="n">
        <f aca="false">L74-M74</f>
        <v>0</v>
      </c>
      <c r="O74" s="14" t="n">
        <v>1002</v>
      </c>
    </row>
    <row r="75" customFormat="false" ht="23.85" hidden="false" customHeight="false" outlineLevel="0" collapsed="false">
      <c r="A75" s="2" t="s">
        <v>79</v>
      </c>
      <c r="B75" s="2" t="s">
        <v>80</v>
      </c>
      <c r="C75" s="14" t="n">
        <v>4</v>
      </c>
      <c r="D75" s="2" t="s">
        <v>430</v>
      </c>
      <c r="E75" s="15" t="n">
        <v>8</v>
      </c>
      <c r="F75" s="15" t="n">
        <v>9</v>
      </c>
      <c r="G75" s="15" t="n">
        <v>7</v>
      </c>
      <c r="H75" s="15" t="n">
        <v>3</v>
      </c>
      <c r="I75" s="15" t="n">
        <v>9</v>
      </c>
      <c r="J75" s="15" t="n">
        <v>9</v>
      </c>
      <c r="K75" s="15" t="n">
        <v>9</v>
      </c>
      <c r="L75" s="4" t="n">
        <f aca="false">ROUND(E75*Rubric!$B$4+F75*Rubric!$B$5+G75*Rubric!$B$6+H75*Rubric!$B$7+I75*Rubric!$B$8+J75*Rubric!$B$9+K75*Rubric!$B$10-IF(OR(G75&lt;Rubric!$B$12,J75&lt;Rubric!$B$12),Rubric!$B$13,0),2)</f>
        <v>8.15</v>
      </c>
      <c r="M75" s="4" t="n">
        <f aca="false">SUMIFS('Revision Log'!$M:$M,'Revision Log'!$N:$N,O75,'Revision Log'!$C:$C,0)</f>
        <v>7.95</v>
      </c>
      <c r="N75" s="16" t="n">
        <f aca="false">L75-M75</f>
        <v>0.2</v>
      </c>
      <c r="O75" s="14" t="n">
        <v>1003</v>
      </c>
    </row>
    <row r="76" customFormat="false" ht="23.85" hidden="false" customHeight="false" outlineLevel="0" collapsed="false">
      <c r="A76" s="2" t="s">
        <v>79</v>
      </c>
      <c r="B76" s="2" t="s">
        <v>80</v>
      </c>
      <c r="C76" s="14" t="n">
        <v>5</v>
      </c>
      <c r="D76" s="2" t="s">
        <v>365</v>
      </c>
      <c r="E76" s="15" t="n">
        <v>8</v>
      </c>
      <c r="F76" s="15" t="n">
        <v>8</v>
      </c>
      <c r="G76" s="15" t="n">
        <v>8</v>
      </c>
      <c r="H76" s="15" t="n">
        <v>3</v>
      </c>
      <c r="I76" s="15" t="n">
        <v>9</v>
      </c>
      <c r="J76" s="15" t="n">
        <v>8</v>
      </c>
      <c r="K76" s="15" t="n">
        <v>8</v>
      </c>
      <c r="L76" s="4" t="n">
        <f aca="false">ROUND(E76*Rubric!$B$4+F76*Rubric!$B$5+G76*Rubric!$B$6+H76*Rubric!$B$7+I76*Rubric!$B$8+J76*Rubric!$B$9+K76*Rubric!$B$10-IF(OR(G76&lt;Rubric!$B$12,J76&lt;Rubric!$B$12),Rubric!$B$13,0),2)</f>
        <v>7.9</v>
      </c>
      <c r="M76" s="4" t="n">
        <f aca="false">SUMIFS('Revision Log'!$M:$M,'Revision Log'!$N:$N,O76,'Revision Log'!$C:$C,0)</f>
        <v>7.3</v>
      </c>
      <c r="N76" s="16" t="n">
        <f aca="false">L76-M76</f>
        <v>0.600000000000001</v>
      </c>
      <c r="O76" s="14" t="n">
        <v>1004</v>
      </c>
    </row>
    <row r="77" customFormat="false" ht="23.85" hidden="false" customHeight="false" outlineLevel="0" collapsed="false">
      <c r="A77" s="2" t="s">
        <v>86</v>
      </c>
      <c r="B77" s="2" t="s">
        <v>87</v>
      </c>
      <c r="C77" s="14" t="n">
        <v>1</v>
      </c>
      <c r="D77" s="2" t="s">
        <v>431</v>
      </c>
      <c r="E77" s="15" t="n">
        <v>7</v>
      </c>
      <c r="F77" s="15" t="n">
        <v>8</v>
      </c>
      <c r="G77" s="15" t="n">
        <v>7</v>
      </c>
      <c r="H77" s="15" t="n">
        <v>10</v>
      </c>
      <c r="I77" s="15" t="n">
        <v>10</v>
      </c>
      <c r="J77" s="15" t="n">
        <v>8</v>
      </c>
      <c r="K77" s="15" t="n">
        <v>9</v>
      </c>
      <c r="L77" s="4" t="n">
        <f aca="false">ROUND(E77*Rubric!$B$4+F77*Rubric!$B$5+G77*Rubric!$B$6+H77*Rubric!$B$7+I77*Rubric!$B$8+J77*Rubric!$B$9+K77*Rubric!$B$10-IF(OR(G77&lt;Rubric!$B$12,J77&lt;Rubric!$B$12),Rubric!$B$13,0),2)</f>
        <v>8.95</v>
      </c>
      <c r="M77" s="4" t="n">
        <f aca="false">SUMIFS('Revision Log'!$M:$M,'Revision Log'!$N:$N,O77,'Revision Log'!$C:$C,0)</f>
        <v>8.1</v>
      </c>
      <c r="N77" s="16" t="n">
        <f aca="false">L77-M77</f>
        <v>0.85</v>
      </c>
      <c r="O77" s="14" t="n">
        <v>1010</v>
      </c>
    </row>
    <row r="78" customFormat="false" ht="23.85" hidden="false" customHeight="false" outlineLevel="0" collapsed="false">
      <c r="A78" s="2" t="s">
        <v>86</v>
      </c>
      <c r="B78" s="2" t="s">
        <v>87</v>
      </c>
      <c r="C78" s="14" t="n">
        <v>2</v>
      </c>
      <c r="D78" s="2" t="s">
        <v>432</v>
      </c>
      <c r="E78" s="15" t="n">
        <v>9</v>
      </c>
      <c r="F78" s="15" t="n">
        <v>8</v>
      </c>
      <c r="G78" s="15" t="n">
        <v>8</v>
      </c>
      <c r="H78" s="15" t="n">
        <v>10</v>
      </c>
      <c r="I78" s="15" t="n">
        <v>9</v>
      </c>
      <c r="J78" s="15" t="n">
        <v>8</v>
      </c>
      <c r="K78" s="15" t="n">
        <v>9</v>
      </c>
      <c r="L78" s="4" t="n">
        <f aca="false">ROUND(E78*Rubric!$B$4+F78*Rubric!$B$5+G78*Rubric!$B$6+H78*Rubric!$B$7+I78*Rubric!$B$8+J78*Rubric!$B$9+K78*Rubric!$B$10-IF(OR(G78&lt;Rubric!$B$12,J78&lt;Rubric!$B$12),Rubric!$B$13,0),2)</f>
        <v>8.75</v>
      </c>
      <c r="M78" s="4" t="n">
        <f aca="false">SUMIFS('Revision Log'!$M:$M,'Revision Log'!$N:$N,O78,'Revision Log'!$C:$C,0)</f>
        <v>8.75</v>
      </c>
      <c r="N78" s="16" t="n">
        <f aca="false">L78-M78</f>
        <v>0</v>
      </c>
      <c r="O78" s="14" t="n">
        <v>1011</v>
      </c>
    </row>
    <row r="79" customFormat="false" ht="23.85" hidden="false" customHeight="false" outlineLevel="0" collapsed="false">
      <c r="A79" s="2" t="s">
        <v>86</v>
      </c>
      <c r="B79" s="2" t="s">
        <v>87</v>
      </c>
      <c r="C79" s="14" t="n">
        <v>3</v>
      </c>
      <c r="D79" s="2" t="s">
        <v>433</v>
      </c>
      <c r="E79" s="15" t="n">
        <v>6</v>
      </c>
      <c r="F79" s="15" t="n">
        <v>9</v>
      </c>
      <c r="G79" s="15" t="n">
        <v>7</v>
      </c>
      <c r="H79" s="15" t="n">
        <v>10</v>
      </c>
      <c r="I79" s="15" t="n">
        <v>9</v>
      </c>
      <c r="J79" s="15" t="n">
        <v>7</v>
      </c>
      <c r="K79" s="15" t="n">
        <v>9</v>
      </c>
      <c r="L79" s="4" t="n">
        <f aca="false">ROUND(E79*Rubric!$B$4+F79*Rubric!$B$5+G79*Rubric!$B$6+H79*Rubric!$B$7+I79*Rubric!$B$8+J79*Rubric!$B$9+K79*Rubric!$B$10-IF(OR(G79&lt;Rubric!$B$12,J79&lt;Rubric!$B$12),Rubric!$B$13,0),2)</f>
        <v>8.55</v>
      </c>
      <c r="M79" s="4" t="n">
        <f aca="false">SUMIFS('Revision Log'!$M:$M,'Revision Log'!$N:$N,O79,'Revision Log'!$C:$C,0)</f>
        <v>8.25</v>
      </c>
      <c r="N79" s="16" t="n">
        <f aca="false">L79-M79</f>
        <v>0.300000000000001</v>
      </c>
      <c r="O79" s="14" t="n">
        <v>1012</v>
      </c>
    </row>
    <row r="80" customFormat="false" ht="23.85" hidden="false" customHeight="false" outlineLevel="0" collapsed="false">
      <c r="A80" s="2" t="s">
        <v>86</v>
      </c>
      <c r="B80" s="2" t="s">
        <v>87</v>
      </c>
      <c r="C80" s="14" t="n">
        <v>4</v>
      </c>
      <c r="D80" s="2" t="s">
        <v>434</v>
      </c>
      <c r="E80" s="15" t="n">
        <v>8</v>
      </c>
      <c r="F80" s="15" t="n">
        <v>8</v>
      </c>
      <c r="G80" s="15" t="n">
        <v>7</v>
      </c>
      <c r="H80" s="15" t="n">
        <v>10</v>
      </c>
      <c r="I80" s="15" t="n">
        <v>8</v>
      </c>
      <c r="J80" s="15" t="n">
        <v>7</v>
      </c>
      <c r="K80" s="15" t="n">
        <v>8</v>
      </c>
      <c r="L80" s="4" t="n">
        <f aca="false">ROUND(E80*Rubric!$B$4+F80*Rubric!$B$5+G80*Rubric!$B$6+H80*Rubric!$B$7+I80*Rubric!$B$8+J80*Rubric!$B$9+K80*Rubric!$B$10-IF(OR(G80&lt;Rubric!$B$12,J80&lt;Rubric!$B$12),Rubric!$B$13,0),2)</f>
        <v>8</v>
      </c>
      <c r="M80" s="4" t="n">
        <f aca="false">SUMIFS('Revision Log'!$M:$M,'Revision Log'!$N:$N,O80,'Revision Log'!$C:$C,0)</f>
        <v>8.5</v>
      </c>
      <c r="N80" s="16" t="n">
        <f aca="false">L80-M80</f>
        <v>-0.5</v>
      </c>
      <c r="O80" s="14" t="n">
        <v>1013</v>
      </c>
    </row>
    <row r="81" customFormat="false" ht="23.85" hidden="false" customHeight="false" outlineLevel="0" collapsed="false">
      <c r="A81" s="2" t="s">
        <v>86</v>
      </c>
      <c r="B81" s="2" t="s">
        <v>87</v>
      </c>
      <c r="C81" s="14" t="n">
        <v>5</v>
      </c>
      <c r="D81" s="2" t="s">
        <v>435</v>
      </c>
      <c r="E81" s="15" t="n">
        <v>9</v>
      </c>
      <c r="F81" s="15" t="n">
        <v>8</v>
      </c>
      <c r="G81" s="15" t="n">
        <v>7</v>
      </c>
      <c r="H81" s="15" t="n">
        <v>10</v>
      </c>
      <c r="I81" s="15" t="n">
        <v>8</v>
      </c>
      <c r="J81" s="15" t="n">
        <v>7</v>
      </c>
      <c r="K81" s="15" t="n">
        <v>9</v>
      </c>
      <c r="L81" s="4" t="n">
        <f aca="false">ROUND(E81*Rubric!$B$4+F81*Rubric!$B$5+G81*Rubric!$B$6+H81*Rubric!$B$7+I81*Rubric!$B$8+J81*Rubric!$B$9+K81*Rubric!$B$10-IF(OR(G81&lt;Rubric!$B$12,J81&lt;Rubric!$B$12),Rubric!$B$13,0),2)</f>
        <v>8.15</v>
      </c>
      <c r="M81" s="4" t="n">
        <f aca="false">SUMIFS('Revision Log'!$M:$M,'Revision Log'!$N:$N,O81,'Revision Log'!$C:$C,0)</f>
        <v>7.7</v>
      </c>
      <c r="N81" s="16" t="n">
        <f aca="false">L81-M81</f>
        <v>0.45</v>
      </c>
      <c r="O81" s="14" t="n">
        <v>1014</v>
      </c>
    </row>
    <row r="82" customFormat="false" ht="23.85" hidden="false" customHeight="false" outlineLevel="0" collapsed="false">
      <c r="A82" s="2" t="s">
        <v>92</v>
      </c>
      <c r="B82" s="2" t="s">
        <v>93</v>
      </c>
      <c r="C82" s="14" t="n">
        <v>1</v>
      </c>
      <c r="D82" s="2" t="s">
        <v>436</v>
      </c>
      <c r="E82" s="15" t="n">
        <v>7</v>
      </c>
      <c r="F82" s="15" t="n">
        <v>8</v>
      </c>
      <c r="G82" s="15" t="n">
        <v>7</v>
      </c>
      <c r="H82" s="15" t="n">
        <v>10</v>
      </c>
      <c r="I82" s="15" t="n">
        <v>10</v>
      </c>
      <c r="J82" s="15" t="n">
        <v>7</v>
      </c>
      <c r="K82" s="15" t="n">
        <v>9</v>
      </c>
      <c r="L82" s="4" t="n">
        <f aca="false">ROUND(E82*Rubric!$B$4+F82*Rubric!$B$5+G82*Rubric!$B$6+H82*Rubric!$B$7+I82*Rubric!$B$8+J82*Rubric!$B$9+K82*Rubric!$B$10-IF(OR(G82&lt;Rubric!$B$12,J82&lt;Rubric!$B$12),Rubric!$B$13,0),2)</f>
        <v>8.85</v>
      </c>
      <c r="M82" s="4" t="n">
        <f aca="false">SUMIFS('Revision Log'!$M:$M,'Revision Log'!$N:$N,O82,'Revision Log'!$C:$C,0)</f>
        <v>8.5</v>
      </c>
      <c r="N82" s="16" t="n">
        <f aca="false">L82-M82</f>
        <v>0.35</v>
      </c>
      <c r="O82" s="14" t="n">
        <v>1020</v>
      </c>
    </row>
    <row r="83" customFormat="false" ht="15" hidden="false" customHeight="false" outlineLevel="0" collapsed="false">
      <c r="A83" s="2" t="s">
        <v>92</v>
      </c>
      <c r="B83" s="2" t="s">
        <v>93</v>
      </c>
      <c r="C83" s="14" t="n">
        <v>2</v>
      </c>
      <c r="D83" s="2" t="s">
        <v>437</v>
      </c>
      <c r="E83" s="15" t="n">
        <v>9</v>
      </c>
      <c r="F83" s="15" t="n">
        <v>8</v>
      </c>
      <c r="G83" s="15" t="n">
        <v>7</v>
      </c>
      <c r="H83" s="15" t="n">
        <v>10</v>
      </c>
      <c r="I83" s="15" t="n">
        <v>9</v>
      </c>
      <c r="J83" s="15" t="n">
        <v>7</v>
      </c>
      <c r="K83" s="15" t="n">
        <v>9</v>
      </c>
      <c r="L83" s="4" t="n">
        <f aca="false">ROUND(E83*Rubric!$B$4+F83*Rubric!$B$5+G83*Rubric!$B$6+H83*Rubric!$B$7+I83*Rubric!$B$8+J83*Rubric!$B$9+K83*Rubric!$B$10-IF(OR(G83&lt;Rubric!$B$12,J83&lt;Rubric!$B$12),Rubric!$B$13,0),2)</f>
        <v>8.55</v>
      </c>
      <c r="M83" s="4" t="n">
        <f aca="false">SUMIFS('Revision Log'!$M:$M,'Revision Log'!$N:$N,O83,'Revision Log'!$C:$C,0)</f>
        <v>8.35</v>
      </c>
      <c r="N83" s="16" t="n">
        <f aca="false">L83-M83</f>
        <v>0.200000000000001</v>
      </c>
      <c r="O83" s="14" t="n">
        <v>1021</v>
      </c>
    </row>
    <row r="84" customFormat="false" ht="23.85" hidden="false" customHeight="false" outlineLevel="0" collapsed="false">
      <c r="A84" s="2" t="s">
        <v>92</v>
      </c>
      <c r="B84" s="2" t="s">
        <v>93</v>
      </c>
      <c r="C84" s="14" t="n">
        <v>3</v>
      </c>
      <c r="D84" s="2" t="s">
        <v>438</v>
      </c>
      <c r="E84" s="15" t="n">
        <v>7</v>
      </c>
      <c r="F84" s="15" t="n">
        <v>9</v>
      </c>
      <c r="G84" s="15" t="n">
        <v>7</v>
      </c>
      <c r="H84" s="15" t="n">
        <v>5</v>
      </c>
      <c r="I84" s="15" t="n">
        <v>9</v>
      </c>
      <c r="J84" s="15" t="n">
        <v>8</v>
      </c>
      <c r="K84" s="15" t="n">
        <v>8</v>
      </c>
      <c r="L84" s="4" t="n">
        <f aca="false">ROUND(E84*Rubric!$B$4+F84*Rubric!$B$5+G84*Rubric!$B$6+H84*Rubric!$B$7+I84*Rubric!$B$8+J84*Rubric!$B$9+K84*Rubric!$B$10-IF(OR(G84&lt;Rubric!$B$12,J84&lt;Rubric!$B$12),Rubric!$B$13,0),2)</f>
        <v>8.1</v>
      </c>
      <c r="M84" s="4" t="n">
        <f aca="false">SUMIFS('Revision Log'!$M:$M,'Revision Log'!$N:$N,O84,'Revision Log'!$C:$C,0)</f>
        <v>8.5</v>
      </c>
      <c r="N84" s="16" t="n">
        <f aca="false">L84-M84</f>
        <v>-0.4</v>
      </c>
      <c r="O84" s="14" t="n">
        <v>1022</v>
      </c>
    </row>
    <row r="85" customFormat="false" ht="23.85" hidden="false" customHeight="false" outlineLevel="0" collapsed="false">
      <c r="A85" s="2" t="s">
        <v>92</v>
      </c>
      <c r="B85" s="2" t="s">
        <v>93</v>
      </c>
      <c r="C85" s="14" t="n">
        <v>4</v>
      </c>
      <c r="D85" s="2" t="s">
        <v>439</v>
      </c>
      <c r="E85" s="15" t="n">
        <v>8</v>
      </c>
      <c r="F85" s="15" t="n">
        <v>9</v>
      </c>
      <c r="G85" s="15" t="n">
        <v>7</v>
      </c>
      <c r="H85" s="15" t="n">
        <v>10</v>
      </c>
      <c r="I85" s="15" t="n">
        <v>10</v>
      </c>
      <c r="J85" s="15" t="n">
        <v>7</v>
      </c>
      <c r="K85" s="15" t="n">
        <v>10</v>
      </c>
      <c r="L85" s="4" t="n">
        <f aca="false">ROUND(E85*Rubric!$B$4+F85*Rubric!$B$5+G85*Rubric!$B$6+H85*Rubric!$B$7+I85*Rubric!$B$8+J85*Rubric!$B$9+K85*Rubric!$B$10-IF(OR(G85&lt;Rubric!$B$12,J85&lt;Rubric!$B$12),Rubric!$B$13,0),2)</f>
        <v>9.15</v>
      </c>
      <c r="M85" s="4" t="n">
        <f aca="false">SUMIFS('Revision Log'!$M:$M,'Revision Log'!$N:$N,O85,'Revision Log'!$C:$C,0)</f>
        <v>7.3</v>
      </c>
      <c r="N85" s="16" t="n">
        <f aca="false">L85-M85</f>
        <v>1.85</v>
      </c>
      <c r="O85" s="14" t="n">
        <v>1023</v>
      </c>
    </row>
    <row r="86" customFormat="false" ht="23.85" hidden="false" customHeight="false" outlineLevel="0" collapsed="false">
      <c r="A86" s="2" t="s">
        <v>92</v>
      </c>
      <c r="B86" s="2" t="s">
        <v>93</v>
      </c>
      <c r="C86" s="14" t="n">
        <v>5</v>
      </c>
      <c r="D86" s="2" t="s">
        <v>440</v>
      </c>
      <c r="E86" s="15" t="n">
        <v>9</v>
      </c>
      <c r="F86" s="15" t="n">
        <v>9</v>
      </c>
      <c r="G86" s="15" t="n">
        <v>7</v>
      </c>
      <c r="H86" s="15" t="n">
        <v>10</v>
      </c>
      <c r="I86" s="15" t="n">
        <v>9</v>
      </c>
      <c r="J86" s="15" t="n">
        <v>8</v>
      </c>
      <c r="K86" s="15" t="n">
        <v>10</v>
      </c>
      <c r="L86" s="4" t="n">
        <f aca="false">ROUND(E86*Rubric!$B$4+F86*Rubric!$B$5+G86*Rubric!$B$6+H86*Rubric!$B$7+I86*Rubric!$B$8+J86*Rubric!$B$9+K86*Rubric!$B$10-IF(OR(G86&lt;Rubric!$B$12,J86&lt;Rubric!$B$12),Rubric!$B$13,0),2)</f>
        <v>8.9</v>
      </c>
      <c r="M86" s="4" t="n">
        <f aca="false">SUMIFS('Revision Log'!$M:$M,'Revision Log'!$N:$N,O86,'Revision Log'!$C:$C,0)</f>
        <v>8.6</v>
      </c>
      <c r="N86" s="16" t="n">
        <f aca="false">L86-M86</f>
        <v>0.300000000000001</v>
      </c>
      <c r="O86" s="14" t="n">
        <v>1024</v>
      </c>
    </row>
    <row r="87" customFormat="false" ht="23.85" hidden="false" customHeight="false" outlineLevel="0" collapsed="false">
      <c r="A87" s="2" t="s">
        <v>98</v>
      </c>
      <c r="B87" s="2" t="s">
        <v>99</v>
      </c>
      <c r="C87" s="14" t="n">
        <v>1</v>
      </c>
      <c r="D87" s="2" t="s">
        <v>441</v>
      </c>
      <c r="E87" s="15" t="n">
        <v>6</v>
      </c>
      <c r="F87" s="15" t="n">
        <v>8</v>
      </c>
      <c r="G87" s="15" t="n">
        <v>7</v>
      </c>
      <c r="H87" s="15" t="n">
        <v>9</v>
      </c>
      <c r="I87" s="15" t="n">
        <v>10</v>
      </c>
      <c r="J87" s="15" t="n">
        <v>7</v>
      </c>
      <c r="K87" s="15" t="n">
        <v>9</v>
      </c>
      <c r="L87" s="4" t="n">
        <f aca="false">ROUND(E87*Rubric!$B$4+F87*Rubric!$B$5+G87*Rubric!$B$6+H87*Rubric!$B$7+I87*Rubric!$B$8+J87*Rubric!$B$9+K87*Rubric!$B$10-IF(OR(G87&lt;Rubric!$B$12,J87&lt;Rubric!$B$12),Rubric!$B$13,0),2)</f>
        <v>8.7</v>
      </c>
      <c r="M87" s="4" t="n">
        <f aca="false">SUMIFS('Revision Log'!$M:$M,'Revision Log'!$N:$N,O87,'Revision Log'!$C:$C,0)</f>
        <v>8.1</v>
      </c>
      <c r="N87" s="16" t="n">
        <f aca="false">L87-M87</f>
        <v>0.6</v>
      </c>
      <c r="O87" s="14" t="n">
        <v>1030</v>
      </c>
    </row>
    <row r="88" customFormat="false" ht="23.85" hidden="false" customHeight="false" outlineLevel="0" collapsed="false">
      <c r="A88" s="2" t="s">
        <v>98</v>
      </c>
      <c r="B88" s="2" t="s">
        <v>99</v>
      </c>
      <c r="C88" s="14" t="n">
        <v>2</v>
      </c>
      <c r="D88" s="2" t="s">
        <v>365</v>
      </c>
      <c r="E88" s="15" t="n">
        <v>9</v>
      </c>
      <c r="F88" s="15" t="n">
        <v>8</v>
      </c>
      <c r="G88" s="15" t="n">
        <v>8</v>
      </c>
      <c r="H88" s="15" t="n">
        <v>3</v>
      </c>
      <c r="I88" s="15" t="n">
        <v>10</v>
      </c>
      <c r="J88" s="15" t="n">
        <v>8</v>
      </c>
      <c r="K88" s="15" t="n">
        <v>8</v>
      </c>
      <c r="L88" s="4" t="n">
        <f aca="false">ROUND(E88*Rubric!$B$4+F88*Rubric!$B$5+G88*Rubric!$B$6+H88*Rubric!$B$7+I88*Rubric!$B$8+J88*Rubric!$B$9+K88*Rubric!$B$10-IF(OR(G88&lt;Rubric!$B$12,J88&lt;Rubric!$B$12),Rubric!$B$13,0),2)</f>
        <v>8.35</v>
      </c>
      <c r="M88" s="4" t="n">
        <f aca="false">SUMIFS('Revision Log'!$M:$M,'Revision Log'!$N:$N,O88,'Revision Log'!$C:$C,0)</f>
        <v>7.6</v>
      </c>
      <c r="N88" s="16" t="n">
        <f aca="false">L88-M88</f>
        <v>0.75</v>
      </c>
      <c r="O88" s="14" t="n">
        <v>1031</v>
      </c>
    </row>
    <row r="89" customFormat="false" ht="23.85" hidden="false" customHeight="false" outlineLevel="0" collapsed="false">
      <c r="A89" s="2" t="s">
        <v>98</v>
      </c>
      <c r="B89" s="2" t="s">
        <v>99</v>
      </c>
      <c r="C89" s="14" t="n">
        <v>3</v>
      </c>
      <c r="D89" s="2" t="s">
        <v>442</v>
      </c>
      <c r="E89" s="15" t="n">
        <v>8</v>
      </c>
      <c r="F89" s="15" t="n">
        <v>8</v>
      </c>
      <c r="G89" s="15" t="n">
        <v>7</v>
      </c>
      <c r="H89" s="15" t="n">
        <v>10</v>
      </c>
      <c r="I89" s="15" t="n">
        <v>9</v>
      </c>
      <c r="J89" s="15" t="n">
        <v>7</v>
      </c>
      <c r="K89" s="15" t="n">
        <v>9</v>
      </c>
      <c r="L89" s="4" t="n">
        <f aca="false">ROUND(E89*Rubric!$B$4+F89*Rubric!$B$5+G89*Rubric!$B$6+H89*Rubric!$B$7+I89*Rubric!$B$8+J89*Rubric!$B$9+K89*Rubric!$B$10-IF(OR(G89&lt;Rubric!$B$12,J89&lt;Rubric!$B$12),Rubric!$B$13,0),2)</f>
        <v>8.5</v>
      </c>
      <c r="M89" s="4" t="n">
        <f aca="false">SUMIFS('Revision Log'!$M:$M,'Revision Log'!$N:$N,O89,'Revision Log'!$C:$C,0)</f>
        <v>8.5</v>
      </c>
      <c r="N89" s="16" t="n">
        <f aca="false">L89-M89</f>
        <v>0</v>
      </c>
      <c r="O89" s="14" t="n">
        <v>1032</v>
      </c>
    </row>
    <row r="90" customFormat="false" ht="23.85" hidden="false" customHeight="false" outlineLevel="0" collapsed="false">
      <c r="A90" s="2" t="s">
        <v>98</v>
      </c>
      <c r="B90" s="2" t="s">
        <v>99</v>
      </c>
      <c r="C90" s="14" t="n">
        <v>4</v>
      </c>
      <c r="D90" s="2" t="s">
        <v>443</v>
      </c>
      <c r="E90" s="15" t="n">
        <v>6</v>
      </c>
      <c r="F90" s="15" t="n">
        <v>8</v>
      </c>
      <c r="G90" s="15" t="n">
        <v>8</v>
      </c>
      <c r="H90" s="15" t="n">
        <v>3</v>
      </c>
      <c r="I90" s="15" t="n">
        <v>9</v>
      </c>
      <c r="J90" s="15" t="n">
        <v>8</v>
      </c>
      <c r="K90" s="15" t="n">
        <v>7</v>
      </c>
      <c r="L90" s="4" t="n">
        <f aca="false">ROUND(E90*Rubric!$B$4+F90*Rubric!$B$5+G90*Rubric!$B$6+H90*Rubric!$B$7+I90*Rubric!$B$8+J90*Rubric!$B$9+K90*Rubric!$B$10-IF(OR(G90&lt;Rubric!$B$12,J90&lt;Rubric!$B$12),Rubric!$B$13,0),2)</f>
        <v>7.7</v>
      </c>
      <c r="M90" s="4" t="n">
        <f aca="false">SUMIFS('Revision Log'!$M:$M,'Revision Log'!$N:$N,O90,'Revision Log'!$C:$C,0)</f>
        <v>8.1</v>
      </c>
      <c r="N90" s="16" t="n">
        <f aca="false">L90-M90</f>
        <v>-0.399999999999999</v>
      </c>
      <c r="O90" s="14" t="n">
        <v>1033</v>
      </c>
    </row>
    <row r="91" customFormat="false" ht="23.85" hidden="false" customHeight="false" outlineLevel="0" collapsed="false">
      <c r="A91" s="2" t="s">
        <v>98</v>
      </c>
      <c r="B91" s="2" t="s">
        <v>99</v>
      </c>
      <c r="C91" s="14" t="n">
        <v>5</v>
      </c>
      <c r="D91" s="2" t="s">
        <v>440</v>
      </c>
      <c r="E91" s="15" t="n">
        <v>9</v>
      </c>
      <c r="F91" s="15" t="n">
        <v>9</v>
      </c>
      <c r="G91" s="15" t="n">
        <v>7</v>
      </c>
      <c r="H91" s="15" t="n">
        <v>10</v>
      </c>
      <c r="I91" s="15" t="n">
        <v>9</v>
      </c>
      <c r="J91" s="15" t="n">
        <v>8</v>
      </c>
      <c r="K91" s="15" t="n">
        <v>10</v>
      </c>
      <c r="L91" s="4" t="n">
        <f aca="false">ROUND(E91*Rubric!$B$4+F91*Rubric!$B$5+G91*Rubric!$B$6+H91*Rubric!$B$7+I91*Rubric!$B$8+J91*Rubric!$B$9+K91*Rubric!$B$10-IF(OR(G91&lt;Rubric!$B$12,J91&lt;Rubric!$B$12),Rubric!$B$13,0),2)</f>
        <v>8.9</v>
      </c>
      <c r="M91" s="4" t="n">
        <f aca="false">SUMIFS('Revision Log'!$M:$M,'Revision Log'!$N:$N,O91,'Revision Log'!$C:$C,0)</f>
        <v>6.6</v>
      </c>
      <c r="N91" s="16" t="n">
        <f aca="false">L91-M91</f>
        <v>2.3</v>
      </c>
      <c r="O91" s="14" t="n">
        <v>1034</v>
      </c>
    </row>
    <row r="92" customFormat="false" ht="23.85" hidden="false" customHeight="false" outlineLevel="0" collapsed="false">
      <c r="A92" s="2" t="s">
        <v>104</v>
      </c>
      <c r="B92" s="2" t="s">
        <v>105</v>
      </c>
      <c r="C92" s="14" t="n">
        <v>1</v>
      </c>
      <c r="D92" s="2" t="s">
        <v>444</v>
      </c>
      <c r="E92" s="15" t="n">
        <v>9</v>
      </c>
      <c r="F92" s="15" t="n">
        <v>8</v>
      </c>
      <c r="G92" s="15" t="n">
        <v>8</v>
      </c>
      <c r="H92" s="15" t="n">
        <v>3</v>
      </c>
      <c r="I92" s="15" t="n">
        <v>9</v>
      </c>
      <c r="J92" s="15" t="n">
        <v>8</v>
      </c>
      <c r="K92" s="15" t="n">
        <v>7</v>
      </c>
      <c r="L92" s="4" t="n">
        <f aca="false">ROUND(E92*Rubric!$B$4+F92*Rubric!$B$5+G92*Rubric!$B$6+H92*Rubric!$B$7+I92*Rubric!$B$8+J92*Rubric!$B$9+K92*Rubric!$B$10-IF(OR(G92&lt;Rubric!$B$12,J92&lt;Rubric!$B$12),Rubric!$B$13,0),2)</f>
        <v>7.85</v>
      </c>
      <c r="M92" s="4" t="n">
        <f aca="false">SUMIFS('Revision Log'!$M:$M,'Revision Log'!$N:$N,O92,'Revision Log'!$C:$C,0)</f>
        <v>7.45</v>
      </c>
      <c r="N92" s="16" t="n">
        <f aca="false">L92-M92</f>
        <v>0.399999999999999</v>
      </c>
      <c r="O92" s="14" t="n">
        <v>1040</v>
      </c>
    </row>
    <row r="93" customFormat="false" ht="23.85" hidden="false" customHeight="false" outlineLevel="0" collapsed="false">
      <c r="A93" s="2" t="s">
        <v>104</v>
      </c>
      <c r="B93" s="2" t="s">
        <v>105</v>
      </c>
      <c r="C93" s="14" t="n">
        <v>2</v>
      </c>
      <c r="D93" s="2" t="s">
        <v>445</v>
      </c>
      <c r="E93" s="15" t="n">
        <v>7</v>
      </c>
      <c r="F93" s="15" t="n">
        <v>8</v>
      </c>
      <c r="G93" s="15" t="n">
        <v>7</v>
      </c>
      <c r="H93" s="15" t="n">
        <v>9</v>
      </c>
      <c r="I93" s="15" t="n">
        <v>10</v>
      </c>
      <c r="J93" s="15" t="n">
        <v>8</v>
      </c>
      <c r="K93" s="15" t="n">
        <v>9</v>
      </c>
      <c r="L93" s="4" t="n">
        <f aca="false">ROUND(E93*Rubric!$B$4+F93*Rubric!$B$5+G93*Rubric!$B$6+H93*Rubric!$B$7+I93*Rubric!$B$8+J93*Rubric!$B$9+K93*Rubric!$B$10-IF(OR(G93&lt;Rubric!$B$12,J93&lt;Rubric!$B$12),Rubric!$B$13,0),2)</f>
        <v>8.85</v>
      </c>
      <c r="M93" s="4" t="n">
        <f aca="false">SUMIFS('Revision Log'!$M:$M,'Revision Log'!$N:$N,O93,'Revision Log'!$C:$C,0)</f>
        <v>7.7</v>
      </c>
      <c r="N93" s="16" t="n">
        <f aca="false">L93-M93</f>
        <v>1.15</v>
      </c>
      <c r="O93" s="14" t="n">
        <v>1041</v>
      </c>
    </row>
    <row r="94" customFormat="false" ht="23.85" hidden="false" customHeight="false" outlineLevel="0" collapsed="false">
      <c r="A94" s="2" t="s">
        <v>104</v>
      </c>
      <c r="B94" s="2" t="s">
        <v>105</v>
      </c>
      <c r="C94" s="14" t="n">
        <v>3</v>
      </c>
      <c r="D94" s="2" t="s">
        <v>446</v>
      </c>
      <c r="E94" s="15" t="n">
        <v>8</v>
      </c>
      <c r="F94" s="15" t="n">
        <v>8</v>
      </c>
      <c r="G94" s="15" t="n">
        <v>8</v>
      </c>
      <c r="H94" s="15" t="n">
        <v>4</v>
      </c>
      <c r="I94" s="15" t="n">
        <v>9</v>
      </c>
      <c r="J94" s="15" t="n">
        <v>8</v>
      </c>
      <c r="K94" s="15" t="n">
        <v>7</v>
      </c>
      <c r="L94" s="4" t="n">
        <f aca="false">ROUND(E94*Rubric!$B$4+F94*Rubric!$B$5+G94*Rubric!$B$6+H94*Rubric!$B$7+I94*Rubric!$B$8+J94*Rubric!$B$9+K94*Rubric!$B$10-IF(OR(G94&lt;Rubric!$B$12,J94&lt;Rubric!$B$12),Rubric!$B$13,0),2)</f>
        <v>7.9</v>
      </c>
      <c r="M94" s="4" t="n">
        <f aca="false">SUMIFS('Revision Log'!$M:$M,'Revision Log'!$N:$N,O94,'Revision Log'!$C:$C,0)</f>
        <v>8.75</v>
      </c>
      <c r="N94" s="16" t="n">
        <f aca="false">L94-M94</f>
        <v>-0.85</v>
      </c>
      <c r="O94" s="14" t="n">
        <v>1042</v>
      </c>
    </row>
    <row r="95" customFormat="false" ht="23.85" hidden="false" customHeight="false" outlineLevel="0" collapsed="false">
      <c r="A95" s="2" t="s">
        <v>104</v>
      </c>
      <c r="B95" s="2" t="s">
        <v>105</v>
      </c>
      <c r="C95" s="14" t="n">
        <v>4</v>
      </c>
      <c r="D95" s="2" t="s">
        <v>447</v>
      </c>
      <c r="E95" s="15" t="n">
        <v>9</v>
      </c>
      <c r="F95" s="15" t="n">
        <v>8</v>
      </c>
      <c r="G95" s="15" t="n">
        <v>8</v>
      </c>
      <c r="H95" s="15" t="n">
        <v>10</v>
      </c>
      <c r="I95" s="15" t="n">
        <v>9</v>
      </c>
      <c r="J95" s="15" t="n">
        <v>8</v>
      </c>
      <c r="K95" s="15" t="n">
        <v>9</v>
      </c>
      <c r="L95" s="4" t="n">
        <f aca="false">ROUND(E95*Rubric!$B$4+F95*Rubric!$B$5+G95*Rubric!$B$6+H95*Rubric!$B$7+I95*Rubric!$B$8+J95*Rubric!$B$9+K95*Rubric!$B$10-IF(OR(G95&lt;Rubric!$B$12,J95&lt;Rubric!$B$12),Rubric!$B$13,0),2)</f>
        <v>8.75</v>
      </c>
      <c r="M95" s="4" t="n">
        <f aca="false">SUMIFS('Revision Log'!$M:$M,'Revision Log'!$N:$N,O95,'Revision Log'!$C:$C,0)</f>
        <v>6.55</v>
      </c>
      <c r="N95" s="16" t="n">
        <f aca="false">L95-M95</f>
        <v>2.2</v>
      </c>
      <c r="O95" s="14" t="n">
        <v>1043</v>
      </c>
    </row>
    <row r="96" customFormat="false" ht="23.85" hidden="false" customHeight="false" outlineLevel="0" collapsed="false">
      <c r="A96" s="2" t="s">
        <v>104</v>
      </c>
      <c r="B96" s="2" t="s">
        <v>105</v>
      </c>
      <c r="C96" s="14" t="n">
        <v>5</v>
      </c>
      <c r="D96" s="2" t="s">
        <v>448</v>
      </c>
      <c r="E96" s="15" t="n">
        <v>9</v>
      </c>
      <c r="F96" s="15" t="n">
        <v>8</v>
      </c>
      <c r="G96" s="15" t="n">
        <v>7</v>
      </c>
      <c r="H96" s="15" t="n">
        <v>10</v>
      </c>
      <c r="I96" s="15" t="n">
        <v>9</v>
      </c>
      <c r="J96" s="15" t="n">
        <v>7</v>
      </c>
      <c r="K96" s="15" t="n">
        <v>9</v>
      </c>
      <c r="L96" s="4" t="n">
        <f aca="false">ROUND(E96*Rubric!$B$4+F96*Rubric!$B$5+G96*Rubric!$B$6+H96*Rubric!$B$7+I96*Rubric!$B$8+J96*Rubric!$B$9+K96*Rubric!$B$10-IF(OR(G96&lt;Rubric!$B$12,J96&lt;Rubric!$B$12),Rubric!$B$13,0),2)</f>
        <v>8.55</v>
      </c>
      <c r="M96" s="4" t="n">
        <f aca="false">SUMIFS('Revision Log'!$M:$M,'Revision Log'!$N:$N,O96,'Revision Log'!$C:$C,0)</f>
        <v>8.1</v>
      </c>
      <c r="N96" s="16" t="n">
        <f aca="false">L96-M96</f>
        <v>0.450000000000001</v>
      </c>
      <c r="O96" s="14" t="n">
        <v>1044</v>
      </c>
    </row>
    <row r="97" customFormat="false" ht="15" hidden="false" customHeight="false" outlineLevel="0" collapsed="false">
      <c r="A97" s="2" t="s">
        <v>110</v>
      </c>
      <c r="B97" s="2" t="s">
        <v>111</v>
      </c>
      <c r="C97" s="14" t="n">
        <v>1</v>
      </c>
      <c r="D97" s="2" t="s">
        <v>449</v>
      </c>
      <c r="E97" s="15" t="n">
        <v>9</v>
      </c>
      <c r="F97" s="15" t="n">
        <v>9</v>
      </c>
      <c r="G97" s="15" t="n">
        <v>8</v>
      </c>
      <c r="H97" s="15" t="n">
        <v>4</v>
      </c>
      <c r="I97" s="15" t="n">
        <v>10</v>
      </c>
      <c r="J97" s="15" t="n">
        <v>8</v>
      </c>
      <c r="K97" s="15" t="n">
        <v>8</v>
      </c>
      <c r="L97" s="4" t="n">
        <f aca="false">ROUND(E97*Rubric!$B$4+F97*Rubric!$B$5+G97*Rubric!$B$6+H97*Rubric!$B$7+I97*Rubric!$B$8+J97*Rubric!$B$9+K97*Rubric!$B$10-IF(OR(G97&lt;Rubric!$B$12,J97&lt;Rubric!$B$12),Rubric!$B$13,0),2)</f>
        <v>8.6</v>
      </c>
      <c r="M97" s="4" t="n">
        <f aca="false">SUMIFS('Revision Log'!$M:$M,'Revision Log'!$N:$N,O97,'Revision Log'!$C:$C,0)</f>
        <v>7.15</v>
      </c>
      <c r="N97" s="16" t="n">
        <f aca="false">L97-M97</f>
        <v>1.45</v>
      </c>
      <c r="O97" s="14" t="n">
        <v>1050</v>
      </c>
    </row>
    <row r="98" customFormat="false" ht="23.85" hidden="false" customHeight="false" outlineLevel="0" collapsed="false">
      <c r="A98" s="2" t="s">
        <v>110</v>
      </c>
      <c r="B98" s="2" t="s">
        <v>111</v>
      </c>
      <c r="C98" s="14" t="n">
        <v>2</v>
      </c>
      <c r="D98" s="2" t="s">
        <v>450</v>
      </c>
      <c r="E98" s="15" t="n">
        <v>7</v>
      </c>
      <c r="F98" s="15" t="n">
        <v>8</v>
      </c>
      <c r="G98" s="15" t="n">
        <v>8</v>
      </c>
      <c r="H98" s="15" t="n">
        <v>3</v>
      </c>
      <c r="I98" s="15" t="n">
        <v>9</v>
      </c>
      <c r="J98" s="15" t="n">
        <v>8</v>
      </c>
      <c r="K98" s="15" t="n">
        <v>8</v>
      </c>
      <c r="L98" s="4" t="n">
        <f aca="false">ROUND(E98*Rubric!$B$4+F98*Rubric!$B$5+G98*Rubric!$B$6+H98*Rubric!$B$7+I98*Rubric!$B$8+J98*Rubric!$B$9+K98*Rubric!$B$10-IF(OR(G98&lt;Rubric!$B$12,J98&lt;Rubric!$B$12),Rubric!$B$13,0),2)</f>
        <v>7.85</v>
      </c>
      <c r="M98" s="4" t="n">
        <f aca="false">SUMIFS('Revision Log'!$M:$M,'Revision Log'!$N:$N,O98,'Revision Log'!$C:$C,0)</f>
        <v>7.2</v>
      </c>
      <c r="N98" s="16" t="n">
        <f aca="false">L98-M98</f>
        <v>0.65</v>
      </c>
      <c r="O98" s="14" t="n">
        <v>1051</v>
      </c>
    </row>
    <row r="99" customFormat="false" ht="15" hidden="false" customHeight="false" outlineLevel="0" collapsed="false">
      <c r="A99" s="2" t="s">
        <v>110</v>
      </c>
      <c r="B99" s="2" t="s">
        <v>111</v>
      </c>
      <c r="C99" s="14" t="n">
        <v>3</v>
      </c>
      <c r="D99" s="2" t="s">
        <v>451</v>
      </c>
      <c r="E99" s="15" t="n">
        <v>9</v>
      </c>
      <c r="F99" s="15" t="n">
        <v>8</v>
      </c>
      <c r="G99" s="15" t="n">
        <v>8</v>
      </c>
      <c r="H99" s="15" t="n">
        <v>3</v>
      </c>
      <c r="I99" s="15" t="n">
        <v>9</v>
      </c>
      <c r="J99" s="15" t="n">
        <v>8</v>
      </c>
      <c r="K99" s="15" t="n">
        <v>7</v>
      </c>
      <c r="L99" s="4" t="n">
        <f aca="false">ROUND(E99*Rubric!$B$4+F99*Rubric!$B$5+G99*Rubric!$B$6+H99*Rubric!$B$7+I99*Rubric!$B$8+J99*Rubric!$B$9+K99*Rubric!$B$10-IF(OR(G99&lt;Rubric!$B$12,J99&lt;Rubric!$B$12),Rubric!$B$13,0),2)</f>
        <v>7.85</v>
      </c>
      <c r="M99" s="4" t="n">
        <f aca="false">SUMIFS('Revision Log'!$M:$M,'Revision Log'!$N:$N,O99,'Revision Log'!$C:$C,0)</f>
        <v>7</v>
      </c>
      <c r="N99" s="16" t="n">
        <f aca="false">L99-M99</f>
        <v>0.85</v>
      </c>
      <c r="O99" s="14" t="n">
        <v>1052</v>
      </c>
    </row>
    <row r="100" customFormat="false" ht="15" hidden="false" customHeight="false" outlineLevel="0" collapsed="false">
      <c r="A100" s="2" t="s">
        <v>110</v>
      </c>
      <c r="B100" s="2" t="s">
        <v>111</v>
      </c>
      <c r="C100" s="14" t="n">
        <v>4</v>
      </c>
      <c r="D100" s="2" t="s">
        <v>452</v>
      </c>
      <c r="E100" s="15" t="n">
        <v>8</v>
      </c>
      <c r="F100" s="15" t="n">
        <v>8</v>
      </c>
      <c r="G100" s="15" t="n">
        <v>7</v>
      </c>
      <c r="H100" s="15" t="n">
        <v>9</v>
      </c>
      <c r="I100" s="15" t="n">
        <v>9</v>
      </c>
      <c r="J100" s="15" t="n">
        <v>8</v>
      </c>
      <c r="K100" s="15" t="n">
        <v>9</v>
      </c>
      <c r="L100" s="4" t="n">
        <f aca="false">ROUND(E100*Rubric!$B$4+F100*Rubric!$B$5+G100*Rubric!$B$6+H100*Rubric!$B$7+I100*Rubric!$B$8+J100*Rubric!$B$9+K100*Rubric!$B$10-IF(OR(G100&lt;Rubric!$B$12,J100&lt;Rubric!$B$12),Rubric!$B$13,0),2)</f>
        <v>8.5</v>
      </c>
      <c r="M100" s="4" t="n">
        <f aca="false">SUMIFS('Revision Log'!$M:$M,'Revision Log'!$N:$N,O100,'Revision Log'!$C:$C,0)</f>
        <v>7.1</v>
      </c>
      <c r="N100" s="16" t="n">
        <f aca="false">L100-M100</f>
        <v>1.4</v>
      </c>
      <c r="O100" s="14" t="n">
        <v>1053</v>
      </c>
    </row>
    <row r="101" customFormat="false" ht="15" hidden="false" customHeight="false" outlineLevel="0" collapsed="false">
      <c r="A101" s="2" t="s">
        <v>110</v>
      </c>
      <c r="B101" s="2" t="s">
        <v>111</v>
      </c>
      <c r="C101" s="14" t="n">
        <v>5</v>
      </c>
      <c r="D101" s="2" t="s">
        <v>453</v>
      </c>
      <c r="E101" s="15" t="n">
        <v>8</v>
      </c>
      <c r="F101" s="15" t="n">
        <v>9</v>
      </c>
      <c r="G101" s="15" t="n">
        <v>8</v>
      </c>
      <c r="H101" s="15" t="n">
        <v>3</v>
      </c>
      <c r="I101" s="15" t="n">
        <v>9</v>
      </c>
      <c r="J101" s="15" t="n">
        <v>9</v>
      </c>
      <c r="K101" s="15" t="n">
        <v>9</v>
      </c>
      <c r="L101" s="4" t="n">
        <f aca="false">ROUND(E101*Rubric!$B$4+F101*Rubric!$B$5+G101*Rubric!$B$6+H101*Rubric!$B$7+I101*Rubric!$B$8+J101*Rubric!$B$9+K101*Rubric!$B$10-IF(OR(G101&lt;Rubric!$B$12,J101&lt;Rubric!$B$12),Rubric!$B$13,0),2)</f>
        <v>8.25</v>
      </c>
      <c r="M101" s="4" t="n">
        <f aca="false">SUMIFS('Revision Log'!$M:$M,'Revision Log'!$N:$N,O101,'Revision Log'!$C:$C,0)</f>
        <v>7.1</v>
      </c>
      <c r="N101" s="16" t="n">
        <f aca="false">L101-M101</f>
        <v>1.15</v>
      </c>
      <c r="O101" s="14" t="n">
        <v>1054</v>
      </c>
    </row>
    <row r="102" customFormat="false" ht="23.85" hidden="false" customHeight="false" outlineLevel="0" collapsed="false">
      <c r="A102" s="2" t="s">
        <v>116</v>
      </c>
      <c r="B102" s="2" t="s">
        <v>117</v>
      </c>
      <c r="C102" s="14" t="n">
        <v>1</v>
      </c>
      <c r="D102" s="2" t="s">
        <v>441</v>
      </c>
      <c r="E102" s="15" t="n">
        <v>6</v>
      </c>
      <c r="F102" s="15" t="n">
        <v>8</v>
      </c>
      <c r="G102" s="15" t="n">
        <v>7</v>
      </c>
      <c r="H102" s="15" t="n">
        <v>9</v>
      </c>
      <c r="I102" s="15" t="n">
        <v>10</v>
      </c>
      <c r="J102" s="15" t="n">
        <v>7</v>
      </c>
      <c r="K102" s="15" t="n">
        <v>9</v>
      </c>
      <c r="L102" s="4" t="n">
        <f aca="false">ROUND(E102*Rubric!$B$4+F102*Rubric!$B$5+G102*Rubric!$B$6+H102*Rubric!$B$7+I102*Rubric!$B$8+J102*Rubric!$B$9+K102*Rubric!$B$10-IF(OR(G102&lt;Rubric!$B$12,J102&lt;Rubric!$B$12),Rubric!$B$13,0),2)</f>
        <v>8.7</v>
      </c>
      <c r="M102" s="4" t="n">
        <f aca="false">SUMIFS('Revision Log'!$M:$M,'Revision Log'!$N:$N,O102,'Revision Log'!$C:$C,0)</f>
        <v>7</v>
      </c>
      <c r="N102" s="16" t="n">
        <f aca="false">L102-M102</f>
        <v>1.7</v>
      </c>
      <c r="O102" s="14" t="n">
        <v>1060</v>
      </c>
    </row>
    <row r="103" customFormat="false" ht="15" hidden="false" customHeight="false" outlineLevel="0" collapsed="false">
      <c r="A103" s="2" t="s">
        <v>116</v>
      </c>
      <c r="B103" s="2" t="s">
        <v>117</v>
      </c>
      <c r="C103" s="14" t="n">
        <v>2</v>
      </c>
      <c r="D103" s="2" t="s">
        <v>454</v>
      </c>
      <c r="E103" s="15" t="n">
        <v>9</v>
      </c>
      <c r="F103" s="15" t="n">
        <v>8</v>
      </c>
      <c r="G103" s="15" t="n">
        <v>8</v>
      </c>
      <c r="H103" s="15" t="n">
        <v>3</v>
      </c>
      <c r="I103" s="15" t="n">
        <v>9</v>
      </c>
      <c r="J103" s="15" t="n">
        <v>8</v>
      </c>
      <c r="K103" s="15" t="n">
        <v>6</v>
      </c>
      <c r="L103" s="4" t="n">
        <f aca="false">ROUND(E103*Rubric!$B$4+F103*Rubric!$B$5+G103*Rubric!$B$6+H103*Rubric!$B$7+I103*Rubric!$B$8+J103*Rubric!$B$9+K103*Rubric!$B$10-IF(OR(G103&lt;Rubric!$B$12,J103&lt;Rubric!$B$12),Rubric!$B$13,0),2)</f>
        <v>7.75</v>
      </c>
      <c r="M103" s="4" t="n">
        <f aca="false">SUMIFS('Revision Log'!$M:$M,'Revision Log'!$N:$N,O103,'Revision Log'!$C:$C,0)</f>
        <v>7.4</v>
      </c>
      <c r="N103" s="16" t="n">
        <f aca="false">L103-M103</f>
        <v>0.35</v>
      </c>
      <c r="O103" s="14" t="n">
        <v>1061</v>
      </c>
    </row>
    <row r="104" customFormat="false" ht="23.85" hidden="false" customHeight="false" outlineLevel="0" collapsed="false">
      <c r="A104" s="2" t="s">
        <v>116</v>
      </c>
      <c r="B104" s="2" t="s">
        <v>117</v>
      </c>
      <c r="C104" s="14" t="n">
        <v>3</v>
      </c>
      <c r="D104" s="2" t="s">
        <v>455</v>
      </c>
      <c r="E104" s="15" t="n">
        <v>7</v>
      </c>
      <c r="F104" s="15" t="n">
        <v>8</v>
      </c>
      <c r="G104" s="15" t="n">
        <v>7</v>
      </c>
      <c r="H104" s="15" t="n">
        <v>3</v>
      </c>
      <c r="I104" s="15" t="n">
        <v>9</v>
      </c>
      <c r="J104" s="15" t="n">
        <v>7</v>
      </c>
      <c r="K104" s="15" t="n">
        <v>8</v>
      </c>
      <c r="L104" s="4" t="n">
        <f aca="false">ROUND(E104*Rubric!$B$4+F104*Rubric!$B$5+G104*Rubric!$B$6+H104*Rubric!$B$7+I104*Rubric!$B$8+J104*Rubric!$B$9+K104*Rubric!$B$10-IF(OR(G104&lt;Rubric!$B$12,J104&lt;Rubric!$B$12),Rubric!$B$13,0),2)</f>
        <v>7.65</v>
      </c>
      <c r="M104" s="4" t="n">
        <f aca="false">SUMIFS('Revision Log'!$M:$M,'Revision Log'!$N:$N,O104,'Revision Log'!$C:$C,0)</f>
        <v>7.15</v>
      </c>
      <c r="N104" s="16" t="n">
        <f aca="false">L104-M104</f>
        <v>0.5</v>
      </c>
      <c r="O104" s="14" t="n">
        <v>1062</v>
      </c>
    </row>
    <row r="105" customFormat="false" ht="23.85" hidden="false" customHeight="false" outlineLevel="0" collapsed="false">
      <c r="A105" s="2" t="s">
        <v>116</v>
      </c>
      <c r="B105" s="2" t="s">
        <v>117</v>
      </c>
      <c r="C105" s="14" t="n">
        <v>4</v>
      </c>
      <c r="D105" s="2" t="s">
        <v>373</v>
      </c>
      <c r="E105" s="15" t="n">
        <v>7</v>
      </c>
      <c r="F105" s="15" t="n">
        <v>9</v>
      </c>
      <c r="G105" s="15" t="n">
        <v>7</v>
      </c>
      <c r="H105" s="15" t="n">
        <v>3</v>
      </c>
      <c r="I105" s="15" t="n">
        <v>9</v>
      </c>
      <c r="J105" s="15" t="n">
        <v>8</v>
      </c>
      <c r="K105" s="15" t="n">
        <v>8</v>
      </c>
      <c r="L105" s="4" t="n">
        <f aca="false">ROUND(E105*Rubric!$B$4+F105*Rubric!$B$5+G105*Rubric!$B$6+H105*Rubric!$B$7+I105*Rubric!$B$8+J105*Rubric!$B$9+K105*Rubric!$B$10-IF(OR(G105&lt;Rubric!$B$12,J105&lt;Rubric!$B$12),Rubric!$B$13,0),2)</f>
        <v>7.9</v>
      </c>
      <c r="M105" s="4" t="n">
        <f aca="false">SUMIFS('Revision Log'!$M:$M,'Revision Log'!$N:$N,O105,'Revision Log'!$C:$C,0)</f>
        <v>7.05</v>
      </c>
      <c r="N105" s="16" t="n">
        <f aca="false">L105-M105</f>
        <v>0.850000000000001</v>
      </c>
      <c r="O105" s="14" t="n">
        <v>1063</v>
      </c>
    </row>
    <row r="106" customFormat="false" ht="23.85" hidden="false" customHeight="false" outlineLevel="0" collapsed="false">
      <c r="A106" s="2" t="s">
        <v>116</v>
      </c>
      <c r="B106" s="2" t="s">
        <v>117</v>
      </c>
      <c r="C106" s="14" t="n">
        <v>5</v>
      </c>
      <c r="D106" s="2" t="s">
        <v>456</v>
      </c>
      <c r="E106" s="15" t="n">
        <v>7</v>
      </c>
      <c r="F106" s="15" t="n">
        <v>8</v>
      </c>
      <c r="G106" s="15" t="n">
        <v>8</v>
      </c>
      <c r="H106" s="15" t="n">
        <v>3</v>
      </c>
      <c r="I106" s="15" t="n">
        <v>9</v>
      </c>
      <c r="J106" s="15" t="n">
        <v>8</v>
      </c>
      <c r="K106" s="15" t="n">
        <v>7</v>
      </c>
      <c r="L106" s="4" t="n">
        <f aca="false">ROUND(E106*Rubric!$B$4+F106*Rubric!$B$5+G106*Rubric!$B$6+H106*Rubric!$B$7+I106*Rubric!$B$8+J106*Rubric!$B$9+K106*Rubric!$B$10-IF(OR(G106&lt;Rubric!$B$12,J106&lt;Rubric!$B$12),Rubric!$B$13,0),2)</f>
        <v>7.75</v>
      </c>
      <c r="M106" s="4" t="n">
        <f aca="false">SUMIFS('Revision Log'!$M:$M,'Revision Log'!$N:$N,O106,'Revision Log'!$C:$C,0)</f>
        <v>8.1</v>
      </c>
      <c r="N106" s="16" t="n">
        <f aca="false">L106-M106</f>
        <v>-0.35</v>
      </c>
      <c r="O106" s="14" t="n">
        <v>1064</v>
      </c>
    </row>
    <row r="107" customFormat="false" ht="15" hidden="false" customHeight="false" outlineLevel="0" collapsed="false">
      <c r="A107" s="2" t="s">
        <v>122</v>
      </c>
      <c r="B107" s="2" t="s">
        <v>123</v>
      </c>
      <c r="C107" s="14" t="n">
        <v>1</v>
      </c>
      <c r="D107" s="2" t="s">
        <v>457</v>
      </c>
      <c r="E107" s="15" t="n">
        <v>9</v>
      </c>
      <c r="F107" s="15" t="n">
        <v>9</v>
      </c>
      <c r="G107" s="15" t="n">
        <v>7</v>
      </c>
      <c r="H107" s="15" t="n">
        <v>10</v>
      </c>
      <c r="I107" s="15" t="n">
        <v>10</v>
      </c>
      <c r="J107" s="15" t="n">
        <v>8</v>
      </c>
      <c r="K107" s="15" t="n">
        <v>10</v>
      </c>
      <c r="L107" s="4" t="n">
        <f aca="false">ROUND(E107*Rubric!$B$4+F107*Rubric!$B$5+G107*Rubric!$B$6+H107*Rubric!$B$7+I107*Rubric!$B$8+J107*Rubric!$B$9+K107*Rubric!$B$10-IF(OR(G107&lt;Rubric!$B$12,J107&lt;Rubric!$B$12),Rubric!$B$13,0),2)</f>
        <v>9.3</v>
      </c>
      <c r="M107" s="4" t="n">
        <f aca="false">SUMIFS('Revision Log'!$M:$M,'Revision Log'!$N:$N,O107,'Revision Log'!$C:$C,0)</f>
        <v>8.5</v>
      </c>
      <c r="N107" s="16" t="n">
        <f aca="false">L107-M107</f>
        <v>0.800000000000001</v>
      </c>
      <c r="O107" s="14" t="n">
        <v>1070</v>
      </c>
    </row>
    <row r="108" customFormat="false" ht="23.85" hidden="false" customHeight="false" outlineLevel="0" collapsed="false">
      <c r="A108" s="2" t="s">
        <v>122</v>
      </c>
      <c r="B108" s="2" t="s">
        <v>123</v>
      </c>
      <c r="C108" s="14" t="n">
        <v>2</v>
      </c>
      <c r="D108" s="2" t="s">
        <v>434</v>
      </c>
      <c r="E108" s="15" t="n">
        <v>7</v>
      </c>
      <c r="F108" s="15" t="n">
        <v>8</v>
      </c>
      <c r="G108" s="15" t="n">
        <v>7</v>
      </c>
      <c r="H108" s="15" t="n">
        <v>10</v>
      </c>
      <c r="I108" s="15" t="n">
        <v>10</v>
      </c>
      <c r="J108" s="15" t="n">
        <v>7</v>
      </c>
      <c r="K108" s="15" t="n">
        <v>9</v>
      </c>
      <c r="L108" s="4" t="n">
        <f aca="false">ROUND(E108*Rubric!$B$4+F108*Rubric!$B$5+G108*Rubric!$B$6+H108*Rubric!$B$7+I108*Rubric!$B$8+J108*Rubric!$B$9+K108*Rubric!$B$10-IF(OR(G108&lt;Rubric!$B$12,J108&lt;Rubric!$B$12),Rubric!$B$13,0),2)</f>
        <v>8.85</v>
      </c>
      <c r="M108" s="4" t="n">
        <f aca="false">SUMIFS('Revision Log'!$M:$M,'Revision Log'!$N:$N,O108,'Revision Log'!$C:$C,0)</f>
        <v>8.35</v>
      </c>
      <c r="N108" s="16" t="n">
        <f aca="false">L108-M108</f>
        <v>0.5</v>
      </c>
      <c r="O108" s="14" t="n">
        <v>1071</v>
      </c>
    </row>
    <row r="109" customFormat="false" ht="23.85" hidden="false" customHeight="false" outlineLevel="0" collapsed="false">
      <c r="A109" s="2" t="s">
        <v>122</v>
      </c>
      <c r="B109" s="2" t="s">
        <v>123</v>
      </c>
      <c r="C109" s="14" t="n">
        <v>3</v>
      </c>
      <c r="D109" s="2" t="s">
        <v>458</v>
      </c>
      <c r="E109" s="15" t="n">
        <v>6</v>
      </c>
      <c r="F109" s="15" t="n">
        <v>8</v>
      </c>
      <c r="G109" s="15" t="n">
        <v>8</v>
      </c>
      <c r="H109" s="15" t="n">
        <v>5</v>
      </c>
      <c r="I109" s="15" t="n">
        <v>8</v>
      </c>
      <c r="J109" s="15" t="n">
        <v>7</v>
      </c>
      <c r="K109" s="15" t="n">
        <v>9</v>
      </c>
      <c r="L109" s="4" t="n">
        <f aca="false">ROUND(E109*Rubric!$B$4+F109*Rubric!$B$5+G109*Rubric!$B$6+H109*Rubric!$B$7+I109*Rubric!$B$8+J109*Rubric!$B$9+K109*Rubric!$B$10-IF(OR(G109&lt;Rubric!$B$12,J109&lt;Rubric!$B$12),Rubric!$B$13,0),2)</f>
        <v>7.6</v>
      </c>
      <c r="M109" s="4" t="n">
        <f aca="false">SUMIFS('Revision Log'!$M:$M,'Revision Log'!$N:$N,O109,'Revision Log'!$C:$C,0)</f>
        <v>7.7</v>
      </c>
      <c r="N109" s="16" t="n">
        <f aca="false">L109-M109</f>
        <v>-0.100000000000001</v>
      </c>
      <c r="O109" s="14" t="n">
        <v>1072</v>
      </c>
    </row>
    <row r="110" customFormat="false" ht="23.85" hidden="false" customHeight="false" outlineLevel="0" collapsed="false">
      <c r="A110" s="2" t="s">
        <v>122</v>
      </c>
      <c r="B110" s="2" t="s">
        <v>123</v>
      </c>
      <c r="C110" s="14" t="n">
        <v>4</v>
      </c>
      <c r="D110" s="2" t="s">
        <v>381</v>
      </c>
      <c r="E110" s="15" t="n">
        <v>7</v>
      </c>
      <c r="F110" s="15" t="n">
        <v>8</v>
      </c>
      <c r="G110" s="15" t="n">
        <v>8</v>
      </c>
      <c r="H110" s="15" t="n">
        <v>9</v>
      </c>
      <c r="I110" s="15" t="n">
        <v>9</v>
      </c>
      <c r="J110" s="15" t="n">
        <v>7</v>
      </c>
      <c r="K110" s="15" t="n">
        <v>8</v>
      </c>
      <c r="L110" s="4" t="n">
        <f aca="false">ROUND(E110*Rubric!$B$4+F110*Rubric!$B$5+G110*Rubric!$B$6+H110*Rubric!$B$7+I110*Rubric!$B$8+J110*Rubric!$B$9+K110*Rubric!$B$10-IF(OR(G110&lt;Rubric!$B$12,J110&lt;Rubric!$B$12),Rubric!$B$13,0),2)</f>
        <v>8.35</v>
      </c>
      <c r="M110" s="4" t="n">
        <f aca="false">SUMIFS('Revision Log'!$M:$M,'Revision Log'!$N:$N,O110,'Revision Log'!$C:$C,0)</f>
        <v>7.3</v>
      </c>
      <c r="N110" s="16" t="n">
        <f aca="false">L110-M110</f>
        <v>1.05</v>
      </c>
      <c r="O110" s="14" t="n">
        <v>1073</v>
      </c>
    </row>
    <row r="111" customFormat="false" ht="23.85" hidden="false" customHeight="false" outlineLevel="0" collapsed="false">
      <c r="A111" s="2" t="s">
        <v>122</v>
      </c>
      <c r="B111" s="2" t="s">
        <v>123</v>
      </c>
      <c r="C111" s="14" t="n">
        <v>5</v>
      </c>
      <c r="D111" s="2" t="s">
        <v>459</v>
      </c>
      <c r="E111" s="15" t="n">
        <v>7</v>
      </c>
      <c r="F111" s="15" t="n">
        <v>8</v>
      </c>
      <c r="G111" s="15" t="n">
        <v>7</v>
      </c>
      <c r="H111" s="15" t="n">
        <v>10</v>
      </c>
      <c r="I111" s="15" t="n">
        <v>9</v>
      </c>
      <c r="J111" s="15" t="n">
        <v>7</v>
      </c>
      <c r="K111" s="15" t="n">
        <v>9</v>
      </c>
      <c r="L111" s="4" t="n">
        <f aca="false">ROUND(E111*Rubric!$B$4+F111*Rubric!$B$5+G111*Rubric!$B$6+H111*Rubric!$B$7+I111*Rubric!$B$8+J111*Rubric!$B$9+K111*Rubric!$B$10-IF(OR(G111&lt;Rubric!$B$12,J111&lt;Rubric!$B$12),Rubric!$B$13,0),2)</f>
        <v>8.45</v>
      </c>
      <c r="M111" s="4" t="n">
        <f aca="false">SUMIFS('Revision Log'!$M:$M,'Revision Log'!$N:$N,O111,'Revision Log'!$C:$C,0)</f>
        <v>7.8</v>
      </c>
      <c r="N111" s="16" t="n">
        <f aca="false">L111-M111</f>
        <v>0.65</v>
      </c>
      <c r="O111" s="14" t="n">
        <v>1074</v>
      </c>
    </row>
    <row r="112" customFormat="false" ht="23.85" hidden="false" customHeight="false" outlineLevel="0" collapsed="false">
      <c r="A112" s="2" t="s">
        <v>128</v>
      </c>
      <c r="B112" s="2" t="s">
        <v>129</v>
      </c>
      <c r="C112" s="14" t="n">
        <v>1</v>
      </c>
      <c r="D112" s="2" t="s">
        <v>460</v>
      </c>
      <c r="E112" s="15" t="n">
        <v>7</v>
      </c>
      <c r="F112" s="15" t="n">
        <v>8</v>
      </c>
      <c r="G112" s="15" t="n">
        <v>7</v>
      </c>
      <c r="H112" s="15" t="n">
        <v>10</v>
      </c>
      <c r="I112" s="15" t="n">
        <v>10</v>
      </c>
      <c r="J112" s="15" t="n">
        <v>7</v>
      </c>
      <c r="K112" s="15" t="n">
        <v>9</v>
      </c>
      <c r="L112" s="4" t="n">
        <f aca="false">ROUND(E112*Rubric!$B$4+F112*Rubric!$B$5+G112*Rubric!$B$6+H112*Rubric!$B$7+I112*Rubric!$B$8+J112*Rubric!$B$9+K112*Rubric!$B$10-IF(OR(G112&lt;Rubric!$B$12,J112&lt;Rubric!$B$12),Rubric!$B$13,0),2)</f>
        <v>8.85</v>
      </c>
      <c r="M112" s="4" t="n">
        <f aca="false">SUMIFS('Revision Log'!$M:$M,'Revision Log'!$N:$N,O112,'Revision Log'!$C:$C,0)</f>
        <v>8.1</v>
      </c>
      <c r="N112" s="16" t="n">
        <f aca="false">L112-M112</f>
        <v>0.75</v>
      </c>
      <c r="O112" s="14" t="n">
        <v>1080</v>
      </c>
    </row>
    <row r="113" customFormat="false" ht="23.85" hidden="false" customHeight="false" outlineLevel="0" collapsed="false">
      <c r="A113" s="2" t="s">
        <v>128</v>
      </c>
      <c r="B113" s="2" t="s">
        <v>129</v>
      </c>
      <c r="C113" s="14" t="n">
        <v>2</v>
      </c>
      <c r="D113" s="2" t="s">
        <v>461</v>
      </c>
      <c r="E113" s="15" t="n">
        <v>9</v>
      </c>
      <c r="F113" s="15" t="n">
        <v>8</v>
      </c>
      <c r="G113" s="15" t="n">
        <v>8</v>
      </c>
      <c r="H113" s="15" t="n">
        <v>10</v>
      </c>
      <c r="I113" s="15" t="n">
        <v>9</v>
      </c>
      <c r="J113" s="15" t="n">
        <v>8</v>
      </c>
      <c r="K113" s="15" t="n">
        <v>9</v>
      </c>
      <c r="L113" s="4" t="n">
        <f aca="false">ROUND(E113*Rubric!$B$4+F113*Rubric!$B$5+G113*Rubric!$B$6+H113*Rubric!$B$7+I113*Rubric!$B$8+J113*Rubric!$B$9+K113*Rubric!$B$10-IF(OR(G113&lt;Rubric!$B$12,J113&lt;Rubric!$B$12),Rubric!$B$13,0),2)</f>
        <v>8.75</v>
      </c>
      <c r="M113" s="4" t="n">
        <f aca="false">SUMIFS('Revision Log'!$M:$M,'Revision Log'!$N:$N,O113,'Revision Log'!$C:$C,0)</f>
        <v>8.35</v>
      </c>
      <c r="N113" s="16" t="n">
        <f aca="false">L113-M113</f>
        <v>0.4</v>
      </c>
      <c r="O113" s="14" t="n">
        <v>1081</v>
      </c>
    </row>
    <row r="114" customFormat="false" ht="23.85" hidden="false" customHeight="false" outlineLevel="0" collapsed="false">
      <c r="A114" s="2" t="s">
        <v>128</v>
      </c>
      <c r="B114" s="2" t="s">
        <v>129</v>
      </c>
      <c r="C114" s="14" t="n">
        <v>3</v>
      </c>
      <c r="D114" s="2" t="s">
        <v>462</v>
      </c>
      <c r="E114" s="15" t="n">
        <v>9</v>
      </c>
      <c r="F114" s="15" t="n">
        <v>8</v>
      </c>
      <c r="G114" s="15" t="n">
        <v>7</v>
      </c>
      <c r="H114" s="15" t="n">
        <v>9</v>
      </c>
      <c r="I114" s="15" t="n">
        <v>9</v>
      </c>
      <c r="J114" s="15" t="n">
        <v>8</v>
      </c>
      <c r="K114" s="15" t="n">
        <v>9</v>
      </c>
      <c r="L114" s="4" t="n">
        <f aca="false">ROUND(E114*Rubric!$B$4+F114*Rubric!$B$5+G114*Rubric!$B$6+H114*Rubric!$B$7+I114*Rubric!$B$8+J114*Rubric!$B$9+K114*Rubric!$B$10-IF(OR(G114&lt;Rubric!$B$12,J114&lt;Rubric!$B$12),Rubric!$B$13,0),2)</f>
        <v>8.55</v>
      </c>
      <c r="M114" s="4" t="n">
        <f aca="false">SUMIFS('Revision Log'!$M:$M,'Revision Log'!$N:$N,O114,'Revision Log'!$C:$C,0)</f>
        <v>7.85</v>
      </c>
      <c r="N114" s="16" t="n">
        <f aca="false">L114-M114</f>
        <v>0.700000000000001</v>
      </c>
      <c r="O114" s="14" t="n">
        <v>1082</v>
      </c>
    </row>
    <row r="115" customFormat="false" ht="23.85" hidden="false" customHeight="false" outlineLevel="0" collapsed="false">
      <c r="A115" s="2" t="s">
        <v>128</v>
      </c>
      <c r="B115" s="2" t="s">
        <v>129</v>
      </c>
      <c r="C115" s="14" t="n">
        <v>4</v>
      </c>
      <c r="D115" s="2" t="s">
        <v>463</v>
      </c>
      <c r="E115" s="15" t="n">
        <v>8</v>
      </c>
      <c r="F115" s="15" t="n">
        <v>9</v>
      </c>
      <c r="G115" s="15" t="n">
        <v>8</v>
      </c>
      <c r="H115" s="15" t="n">
        <v>5</v>
      </c>
      <c r="I115" s="15" t="n">
        <v>9</v>
      </c>
      <c r="J115" s="15" t="n">
        <v>9</v>
      </c>
      <c r="K115" s="15" t="n">
        <v>8</v>
      </c>
      <c r="L115" s="4" t="n">
        <f aca="false">ROUND(E115*Rubric!$B$4+F115*Rubric!$B$5+G115*Rubric!$B$6+H115*Rubric!$B$7+I115*Rubric!$B$8+J115*Rubric!$B$9+K115*Rubric!$B$10-IF(OR(G115&lt;Rubric!$B$12,J115&lt;Rubric!$B$12),Rubric!$B$13,0),2)</f>
        <v>8.35</v>
      </c>
      <c r="M115" s="4" t="n">
        <f aca="false">SUMIFS('Revision Log'!$M:$M,'Revision Log'!$N:$N,O115,'Revision Log'!$C:$C,0)</f>
        <v>7.3</v>
      </c>
      <c r="N115" s="16" t="n">
        <f aca="false">L115-M115</f>
        <v>1.05</v>
      </c>
      <c r="O115" s="14" t="n">
        <v>1083</v>
      </c>
    </row>
    <row r="116" customFormat="false" ht="23.85" hidden="false" customHeight="false" outlineLevel="0" collapsed="false">
      <c r="A116" s="2" t="s">
        <v>128</v>
      </c>
      <c r="B116" s="2" t="s">
        <v>129</v>
      </c>
      <c r="C116" s="14" t="n">
        <v>5</v>
      </c>
      <c r="D116" s="2" t="s">
        <v>435</v>
      </c>
      <c r="E116" s="15" t="n">
        <v>9</v>
      </c>
      <c r="F116" s="15" t="n">
        <v>8</v>
      </c>
      <c r="G116" s="15" t="n">
        <v>7</v>
      </c>
      <c r="H116" s="15" t="n">
        <v>10</v>
      </c>
      <c r="I116" s="15" t="n">
        <v>9</v>
      </c>
      <c r="J116" s="15" t="n">
        <v>7</v>
      </c>
      <c r="K116" s="15" t="n">
        <v>9</v>
      </c>
      <c r="L116" s="4" t="n">
        <f aca="false">ROUND(E116*Rubric!$B$4+F116*Rubric!$B$5+G116*Rubric!$B$6+H116*Rubric!$B$7+I116*Rubric!$B$8+J116*Rubric!$B$9+K116*Rubric!$B$10-IF(OR(G116&lt;Rubric!$B$12,J116&lt;Rubric!$B$12),Rubric!$B$13,0),2)</f>
        <v>8.55</v>
      </c>
      <c r="M116" s="4" t="n">
        <f aca="false">SUMIFS('Revision Log'!$M:$M,'Revision Log'!$N:$N,O116,'Revision Log'!$C:$C,0)</f>
        <v>7.7</v>
      </c>
      <c r="N116" s="16" t="n">
        <f aca="false">L116-M116</f>
        <v>0.850000000000001</v>
      </c>
      <c r="O116" s="14" t="n">
        <v>1084</v>
      </c>
    </row>
    <row r="117" customFormat="false" ht="23.85" hidden="false" customHeight="false" outlineLevel="0" collapsed="false">
      <c r="A117" s="2" t="s">
        <v>134</v>
      </c>
      <c r="B117" s="2" t="s">
        <v>135</v>
      </c>
      <c r="C117" s="14" t="n">
        <v>1</v>
      </c>
      <c r="D117" s="2" t="s">
        <v>464</v>
      </c>
      <c r="E117" s="15" t="n">
        <v>7</v>
      </c>
      <c r="F117" s="15" t="n">
        <v>8</v>
      </c>
      <c r="G117" s="15" t="n">
        <v>8</v>
      </c>
      <c r="H117" s="15" t="n">
        <v>4</v>
      </c>
      <c r="I117" s="15" t="n">
        <v>10</v>
      </c>
      <c r="J117" s="15" t="n">
        <v>8</v>
      </c>
      <c r="K117" s="15" t="n">
        <v>7</v>
      </c>
      <c r="L117" s="4" t="n">
        <f aca="false">ROUND(E117*Rubric!$B$4+F117*Rubric!$B$5+G117*Rubric!$B$6+H117*Rubric!$B$7+I117*Rubric!$B$8+J117*Rubric!$B$9+K117*Rubric!$B$10-IF(OR(G117&lt;Rubric!$B$12,J117&lt;Rubric!$B$12),Rubric!$B$13,0),2)</f>
        <v>8.25</v>
      </c>
      <c r="M117" s="4" t="n">
        <f aca="false">SUMIFS('Revision Log'!$M:$M,'Revision Log'!$N:$N,O117,'Revision Log'!$C:$C,0)</f>
        <v>7.6</v>
      </c>
      <c r="N117" s="16" t="n">
        <f aca="false">L117-M117</f>
        <v>0.65</v>
      </c>
      <c r="O117" s="14" t="n">
        <v>1090</v>
      </c>
    </row>
    <row r="118" customFormat="false" ht="23.85" hidden="false" customHeight="false" outlineLevel="0" collapsed="false">
      <c r="A118" s="2" t="s">
        <v>134</v>
      </c>
      <c r="B118" s="2" t="s">
        <v>135</v>
      </c>
      <c r="C118" s="14" t="n">
        <v>2</v>
      </c>
      <c r="D118" s="2" t="s">
        <v>429</v>
      </c>
      <c r="E118" s="15" t="n">
        <v>9</v>
      </c>
      <c r="F118" s="15" t="n">
        <v>9</v>
      </c>
      <c r="G118" s="15" t="n">
        <v>8</v>
      </c>
      <c r="H118" s="15" t="n">
        <v>3</v>
      </c>
      <c r="I118" s="15" t="n">
        <v>9</v>
      </c>
      <c r="J118" s="15" t="n">
        <v>9</v>
      </c>
      <c r="K118" s="15" t="n">
        <v>8</v>
      </c>
      <c r="L118" s="4" t="n">
        <f aca="false">ROUND(E118*Rubric!$B$4+F118*Rubric!$B$5+G118*Rubric!$B$6+H118*Rubric!$B$7+I118*Rubric!$B$8+J118*Rubric!$B$9+K118*Rubric!$B$10-IF(OR(G118&lt;Rubric!$B$12,J118&lt;Rubric!$B$12),Rubric!$B$13,0),2)</f>
        <v>8.2</v>
      </c>
      <c r="M118" s="4" t="n">
        <f aca="false">SUMIFS('Revision Log'!$M:$M,'Revision Log'!$N:$N,O118,'Revision Log'!$C:$C,0)</f>
        <v>7.9</v>
      </c>
      <c r="N118" s="16" t="n">
        <f aca="false">L118-M118</f>
        <v>0.299999999999999</v>
      </c>
      <c r="O118" s="14" t="n">
        <v>1091</v>
      </c>
    </row>
    <row r="119" customFormat="false" ht="23.85" hidden="false" customHeight="false" outlineLevel="0" collapsed="false">
      <c r="A119" s="2" t="s">
        <v>134</v>
      </c>
      <c r="B119" s="2" t="s">
        <v>135</v>
      </c>
      <c r="C119" s="14" t="n">
        <v>3</v>
      </c>
      <c r="D119" s="2" t="s">
        <v>465</v>
      </c>
      <c r="E119" s="15" t="n">
        <v>7</v>
      </c>
      <c r="F119" s="15" t="n">
        <v>8</v>
      </c>
      <c r="G119" s="15" t="n">
        <v>8</v>
      </c>
      <c r="H119" s="15" t="n">
        <v>3</v>
      </c>
      <c r="I119" s="15" t="n">
        <v>9</v>
      </c>
      <c r="J119" s="15" t="n">
        <v>7</v>
      </c>
      <c r="K119" s="15" t="n">
        <v>7</v>
      </c>
      <c r="L119" s="4" t="n">
        <f aca="false">ROUND(E119*Rubric!$B$4+F119*Rubric!$B$5+G119*Rubric!$B$6+H119*Rubric!$B$7+I119*Rubric!$B$8+J119*Rubric!$B$9+K119*Rubric!$B$10-IF(OR(G119&lt;Rubric!$B$12,J119&lt;Rubric!$B$12),Rubric!$B$13,0),2)</f>
        <v>7.65</v>
      </c>
      <c r="M119" s="4" t="n">
        <f aca="false">SUMIFS('Revision Log'!$M:$M,'Revision Log'!$N:$N,O119,'Revision Log'!$C:$C,0)</f>
        <v>7.05</v>
      </c>
      <c r="N119" s="16" t="n">
        <f aca="false">L119-M119</f>
        <v>0.600000000000001</v>
      </c>
      <c r="O119" s="14" t="n">
        <v>1092</v>
      </c>
    </row>
    <row r="120" customFormat="false" ht="23.85" hidden="false" customHeight="false" outlineLevel="0" collapsed="false">
      <c r="A120" s="2" t="s">
        <v>134</v>
      </c>
      <c r="B120" s="2" t="s">
        <v>135</v>
      </c>
      <c r="C120" s="14" t="n">
        <v>4</v>
      </c>
      <c r="D120" s="2" t="s">
        <v>466</v>
      </c>
      <c r="E120" s="15" t="n">
        <v>8</v>
      </c>
      <c r="F120" s="15" t="n">
        <v>8</v>
      </c>
      <c r="G120" s="15" t="n">
        <v>8</v>
      </c>
      <c r="H120" s="15" t="n">
        <v>3</v>
      </c>
      <c r="I120" s="15" t="n">
        <v>9</v>
      </c>
      <c r="J120" s="15" t="n">
        <v>8</v>
      </c>
      <c r="K120" s="15" t="n">
        <v>7</v>
      </c>
      <c r="L120" s="4" t="n">
        <f aca="false">ROUND(E120*Rubric!$B$4+F120*Rubric!$B$5+G120*Rubric!$B$6+H120*Rubric!$B$7+I120*Rubric!$B$8+J120*Rubric!$B$9+K120*Rubric!$B$10-IF(OR(G120&lt;Rubric!$B$12,J120&lt;Rubric!$B$12),Rubric!$B$13,0),2)</f>
        <v>7.8</v>
      </c>
      <c r="M120" s="4" t="n">
        <f aca="false">SUMIFS('Revision Log'!$M:$M,'Revision Log'!$N:$N,O120,'Revision Log'!$C:$C,0)</f>
        <v>7.95</v>
      </c>
      <c r="N120" s="16" t="n">
        <f aca="false">L120-M120</f>
        <v>-0.15</v>
      </c>
      <c r="O120" s="14" t="n">
        <v>1093</v>
      </c>
    </row>
    <row r="121" customFormat="false" ht="23.85" hidden="false" customHeight="false" outlineLevel="0" collapsed="false">
      <c r="A121" s="2" t="s">
        <v>134</v>
      </c>
      <c r="B121" s="2" t="s">
        <v>135</v>
      </c>
      <c r="C121" s="14" t="n">
        <v>5</v>
      </c>
      <c r="D121" s="2" t="s">
        <v>467</v>
      </c>
      <c r="E121" s="15" t="n">
        <v>8</v>
      </c>
      <c r="F121" s="15" t="n">
        <v>8</v>
      </c>
      <c r="G121" s="15" t="n">
        <v>8</v>
      </c>
      <c r="H121" s="15" t="n">
        <v>3</v>
      </c>
      <c r="I121" s="15" t="n">
        <v>9</v>
      </c>
      <c r="J121" s="15" t="n">
        <v>8</v>
      </c>
      <c r="K121" s="15" t="n">
        <v>7</v>
      </c>
      <c r="L121" s="4" t="n">
        <f aca="false">ROUND(E121*Rubric!$B$4+F121*Rubric!$B$5+G121*Rubric!$B$6+H121*Rubric!$B$7+I121*Rubric!$B$8+J121*Rubric!$B$9+K121*Rubric!$B$10-IF(OR(G121&lt;Rubric!$B$12,J121&lt;Rubric!$B$12),Rubric!$B$13,0),2)</f>
        <v>7.8</v>
      </c>
      <c r="M121" s="4" t="n">
        <f aca="false">SUMIFS('Revision Log'!$M:$M,'Revision Log'!$N:$N,O121,'Revision Log'!$C:$C,0)</f>
        <v>6.9</v>
      </c>
      <c r="N121" s="16" t="n">
        <f aca="false">L121-M121</f>
        <v>0.9</v>
      </c>
      <c r="O121" s="14" t="n">
        <v>1094</v>
      </c>
    </row>
    <row r="122" customFormat="false" ht="23.85" hidden="false" customHeight="false" outlineLevel="0" collapsed="false">
      <c r="A122" s="2" t="s">
        <v>140</v>
      </c>
      <c r="B122" s="2" t="s">
        <v>141</v>
      </c>
      <c r="C122" s="14" t="n">
        <v>1</v>
      </c>
      <c r="D122" s="2" t="s">
        <v>468</v>
      </c>
      <c r="E122" s="15" t="n">
        <v>8</v>
      </c>
      <c r="F122" s="15" t="n">
        <v>8</v>
      </c>
      <c r="G122" s="15" t="n">
        <v>8</v>
      </c>
      <c r="H122" s="15" t="n">
        <v>3</v>
      </c>
      <c r="I122" s="15" t="n">
        <v>10</v>
      </c>
      <c r="J122" s="15" t="n">
        <v>8</v>
      </c>
      <c r="K122" s="15" t="n">
        <v>6</v>
      </c>
      <c r="L122" s="4" t="n">
        <f aca="false">ROUND(E122*Rubric!$B$4+F122*Rubric!$B$5+G122*Rubric!$B$6+H122*Rubric!$B$7+I122*Rubric!$B$8+J122*Rubric!$B$9+K122*Rubric!$B$10-IF(OR(G122&lt;Rubric!$B$12,J122&lt;Rubric!$B$12),Rubric!$B$13,0),2)</f>
        <v>8.1</v>
      </c>
      <c r="M122" s="4" t="n">
        <f aca="false">SUMIFS('Revision Log'!$M:$M,'Revision Log'!$N:$N,O122,'Revision Log'!$C:$C,0)</f>
        <v>7</v>
      </c>
      <c r="N122" s="16" t="n">
        <f aca="false">L122-M122</f>
        <v>1.1</v>
      </c>
      <c r="O122" s="14" t="n">
        <v>1100</v>
      </c>
    </row>
    <row r="123" customFormat="false" ht="23.85" hidden="false" customHeight="false" outlineLevel="0" collapsed="false">
      <c r="A123" s="2" t="s">
        <v>140</v>
      </c>
      <c r="B123" s="2" t="s">
        <v>141</v>
      </c>
      <c r="C123" s="14" t="n">
        <v>2</v>
      </c>
      <c r="D123" s="2" t="s">
        <v>469</v>
      </c>
      <c r="E123" s="15" t="n">
        <v>7</v>
      </c>
      <c r="F123" s="15" t="n">
        <v>8</v>
      </c>
      <c r="G123" s="15" t="n">
        <v>8</v>
      </c>
      <c r="H123" s="15" t="n">
        <v>3</v>
      </c>
      <c r="I123" s="15" t="n">
        <v>9</v>
      </c>
      <c r="J123" s="15" t="n">
        <v>8</v>
      </c>
      <c r="K123" s="15" t="n">
        <v>8</v>
      </c>
      <c r="L123" s="4" t="n">
        <f aca="false">ROUND(E123*Rubric!$B$4+F123*Rubric!$B$5+G123*Rubric!$B$6+H123*Rubric!$B$7+I123*Rubric!$B$8+J123*Rubric!$B$9+K123*Rubric!$B$10-IF(OR(G123&lt;Rubric!$B$12,J123&lt;Rubric!$B$12),Rubric!$B$13,0),2)</f>
        <v>7.85</v>
      </c>
      <c r="M123" s="4" t="n">
        <f aca="false">SUMIFS('Revision Log'!$M:$M,'Revision Log'!$N:$N,O123,'Revision Log'!$C:$C,0)</f>
        <v>7.4</v>
      </c>
      <c r="N123" s="16" t="n">
        <f aca="false">L123-M123</f>
        <v>0.449999999999999</v>
      </c>
      <c r="O123" s="14" t="n">
        <v>1101</v>
      </c>
    </row>
    <row r="124" customFormat="false" ht="23.85" hidden="false" customHeight="false" outlineLevel="0" collapsed="false">
      <c r="A124" s="2" t="s">
        <v>140</v>
      </c>
      <c r="B124" s="2" t="s">
        <v>141</v>
      </c>
      <c r="C124" s="14" t="n">
        <v>3</v>
      </c>
      <c r="D124" s="2" t="s">
        <v>470</v>
      </c>
      <c r="E124" s="15" t="n">
        <v>8</v>
      </c>
      <c r="F124" s="15" t="n">
        <v>8</v>
      </c>
      <c r="G124" s="15" t="n">
        <v>8</v>
      </c>
      <c r="H124" s="15" t="n">
        <v>3</v>
      </c>
      <c r="I124" s="15" t="n">
        <v>9</v>
      </c>
      <c r="J124" s="15" t="n">
        <v>8</v>
      </c>
      <c r="K124" s="15" t="n">
        <v>7</v>
      </c>
      <c r="L124" s="4" t="n">
        <f aca="false">ROUND(E124*Rubric!$B$4+F124*Rubric!$B$5+G124*Rubric!$B$6+H124*Rubric!$B$7+I124*Rubric!$B$8+J124*Rubric!$B$9+K124*Rubric!$B$10-IF(OR(G124&lt;Rubric!$B$12,J124&lt;Rubric!$B$12),Rubric!$B$13,0),2)</f>
        <v>7.8</v>
      </c>
      <c r="M124" s="4" t="n">
        <f aca="false">SUMIFS('Revision Log'!$M:$M,'Revision Log'!$N:$N,O124,'Revision Log'!$C:$C,0)</f>
        <v>6.75</v>
      </c>
      <c r="N124" s="16" t="n">
        <f aca="false">L124-M124</f>
        <v>1.05</v>
      </c>
      <c r="O124" s="14" t="n">
        <v>1102</v>
      </c>
    </row>
    <row r="125" customFormat="false" ht="23.85" hidden="false" customHeight="false" outlineLevel="0" collapsed="false">
      <c r="A125" s="2" t="s">
        <v>140</v>
      </c>
      <c r="B125" s="2" t="s">
        <v>141</v>
      </c>
      <c r="C125" s="14" t="n">
        <v>4</v>
      </c>
      <c r="D125" s="2" t="s">
        <v>471</v>
      </c>
      <c r="E125" s="15" t="n">
        <v>7</v>
      </c>
      <c r="F125" s="15" t="n">
        <v>8</v>
      </c>
      <c r="G125" s="15" t="n">
        <v>8</v>
      </c>
      <c r="H125" s="15" t="n">
        <v>4</v>
      </c>
      <c r="I125" s="15" t="n">
        <v>9</v>
      </c>
      <c r="J125" s="15" t="n">
        <v>8</v>
      </c>
      <c r="K125" s="15" t="n">
        <v>7</v>
      </c>
      <c r="L125" s="4" t="n">
        <f aca="false">ROUND(E125*Rubric!$B$4+F125*Rubric!$B$5+G125*Rubric!$B$6+H125*Rubric!$B$7+I125*Rubric!$B$8+J125*Rubric!$B$9+K125*Rubric!$B$10-IF(OR(G125&lt;Rubric!$B$12,J125&lt;Rubric!$B$12),Rubric!$B$13,0),2)</f>
        <v>7.85</v>
      </c>
      <c r="M125" s="4" t="n">
        <f aca="false">SUMIFS('Revision Log'!$M:$M,'Revision Log'!$N:$N,O125,'Revision Log'!$C:$C,0)</f>
        <v>6.65</v>
      </c>
      <c r="N125" s="16" t="n">
        <f aca="false">L125-M125</f>
        <v>1.2</v>
      </c>
      <c r="O125" s="14" t="n">
        <v>1103</v>
      </c>
    </row>
    <row r="126" customFormat="false" ht="15" hidden="false" customHeight="false" outlineLevel="0" collapsed="false">
      <c r="A126" s="2" t="s">
        <v>140</v>
      </c>
      <c r="B126" s="2" t="s">
        <v>141</v>
      </c>
      <c r="C126" s="14" t="n">
        <v>5</v>
      </c>
      <c r="D126" s="2" t="s">
        <v>472</v>
      </c>
      <c r="E126" s="15" t="n">
        <v>8</v>
      </c>
      <c r="F126" s="15" t="n">
        <v>8</v>
      </c>
      <c r="G126" s="15" t="n">
        <v>8</v>
      </c>
      <c r="H126" s="15" t="n">
        <v>3</v>
      </c>
      <c r="I126" s="15" t="n">
        <v>9</v>
      </c>
      <c r="J126" s="15" t="n">
        <v>8</v>
      </c>
      <c r="K126" s="15" t="n">
        <v>7</v>
      </c>
      <c r="L126" s="4" t="n">
        <f aca="false">ROUND(E126*Rubric!$B$4+F126*Rubric!$B$5+G126*Rubric!$B$6+H126*Rubric!$B$7+I126*Rubric!$B$8+J126*Rubric!$B$9+K126*Rubric!$B$10-IF(OR(G126&lt;Rubric!$B$12,J126&lt;Rubric!$B$12),Rubric!$B$13,0),2)</f>
        <v>7.8</v>
      </c>
      <c r="M126" s="4" t="n">
        <f aca="false">SUMIFS('Revision Log'!$M:$M,'Revision Log'!$N:$N,O126,'Revision Log'!$C:$C,0)</f>
        <v>7.3</v>
      </c>
      <c r="N126" s="16" t="n">
        <f aca="false">L126-M126</f>
        <v>0.5</v>
      </c>
      <c r="O126" s="14" t="n">
        <v>1104</v>
      </c>
    </row>
    <row r="127" customFormat="false" ht="23.85" hidden="false" customHeight="false" outlineLevel="0" collapsed="false">
      <c r="A127" s="2" t="s">
        <v>146</v>
      </c>
      <c r="B127" s="2" t="s">
        <v>147</v>
      </c>
      <c r="C127" s="14" t="n">
        <v>1</v>
      </c>
      <c r="D127" s="2" t="s">
        <v>473</v>
      </c>
      <c r="E127" s="15" t="n">
        <v>8</v>
      </c>
      <c r="F127" s="15" t="n">
        <v>8</v>
      </c>
      <c r="G127" s="15" t="n">
        <v>8</v>
      </c>
      <c r="H127" s="15" t="n">
        <v>3</v>
      </c>
      <c r="I127" s="15" t="n">
        <v>8</v>
      </c>
      <c r="J127" s="15" t="n">
        <v>8</v>
      </c>
      <c r="K127" s="15" t="n">
        <v>7</v>
      </c>
      <c r="L127" s="4" t="n">
        <f aca="false">ROUND(E127*Rubric!$B$4+F127*Rubric!$B$5+G127*Rubric!$B$6+H127*Rubric!$B$7+I127*Rubric!$B$8+J127*Rubric!$B$9+K127*Rubric!$B$10-IF(OR(G127&lt;Rubric!$B$12,J127&lt;Rubric!$B$12),Rubric!$B$13,0),2)</f>
        <v>7.4</v>
      </c>
      <c r="M127" s="4" t="n">
        <f aca="false">SUMIFS('Revision Log'!$M:$M,'Revision Log'!$N:$N,O127,'Revision Log'!$C:$C,0)</f>
        <v>6.25</v>
      </c>
      <c r="N127" s="16" t="n">
        <f aca="false">L127-M127</f>
        <v>1.15</v>
      </c>
      <c r="O127" s="14" t="n">
        <v>1110</v>
      </c>
    </row>
    <row r="128" customFormat="false" ht="15" hidden="false" customHeight="false" outlineLevel="0" collapsed="false">
      <c r="A128" s="2" t="s">
        <v>146</v>
      </c>
      <c r="B128" s="2" t="s">
        <v>147</v>
      </c>
      <c r="C128" s="14" t="n">
        <v>2</v>
      </c>
      <c r="D128" s="2" t="s">
        <v>474</v>
      </c>
      <c r="E128" s="15" t="n">
        <v>9</v>
      </c>
      <c r="F128" s="15" t="n">
        <v>9</v>
      </c>
      <c r="G128" s="15" t="n">
        <v>8</v>
      </c>
      <c r="H128" s="15" t="n">
        <v>3</v>
      </c>
      <c r="I128" s="15" t="n">
        <v>8</v>
      </c>
      <c r="J128" s="15" t="n">
        <v>9</v>
      </c>
      <c r="K128" s="15" t="n">
        <v>8</v>
      </c>
      <c r="L128" s="4" t="n">
        <f aca="false">ROUND(E128*Rubric!$B$4+F128*Rubric!$B$5+G128*Rubric!$B$6+H128*Rubric!$B$7+I128*Rubric!$B$8+J128*Rubric!$B$9+K128*Rubric!$B$10-IF(OR(G128&lt;Rubric!$B$12,J128&lt;Rubric!$B$12),Rubric!$B$13,0),2)</f>
        <v>7.8</v>
      </c>
      <c r="M128" s="4" t="n">
        <f aca="false">SUMIFS('Revision Log'!$M:$M,'Revision Log'!$N:$N,O128,'Revision Log'!$C:$C,0)</f>
        <v>6.6</v>
      </c>
      <c r="N128" s="16" t="n">
        <f aca="false">L128-M128</f>
        <v>1.2</v>
      </c>
      <c r="O128" s="14" t="n">
        <v>1111</v>
      </c>
    </row>
    <row r="129" customFormat="false" ht="23.85" hidden="false" customHeight="false" outlineLevel="0" collapsed="false">
      <c r="A129" s="2" t="s">
        <v>146</v>
      </c>
      <c r="B129" s="2" t="s">
        <v>147</v>
      </c>
      <c r="C129" s="14" t="n">
        <v>3</v>
      </c>
      <c r="D129" s="2" t="s">
        <v>475</v>
      </c>
      <c r="E129" s="15" t="n">
        <v>7</v>
      </c>
      <c r="F129" s="15" t="n">
        <v>9</v>
      </c>
      <c r="G129" s="15" t="n">
        <v>7</v>
      </c>
      <c r="H129" s="15" t="n">
        <v>4</v>
      </c>
      <c r="I129" s="15" t="n">
        <v>9</v>
      </c>
      <c r="J129" s="15" t="n">
        <v>7</v>
      </c>
      <c r="K129" s="15" t="n">
        <v>8</v>
      </c>
      <c r="L129" s="4" t="n">
        <f aca="false">ROUND(E129*Rubric!$B$4+F129*Rubric!$B$5+G129*Rubric!$B$6+H129*Rubric!$B$7+I129*Rubric!$B$8+J129*Rubric!$B$9+K129*Rubric!$B$10-IF(OR(G129&lt;Rubric!$B$12,J129&lt;Rubric!$B$12),Rubric!$B$13,0),2)</f>
        <v>7.9</v>
      </c>
      <c r="M129" s="4" t="n">
        <f aca="false">SUMIFS('Revision Log'!$M:$M,'Revision Log'!$N:$N,O129,'Revision Log'!$C:$C,0)</f>
        <v>6.4</v>
      </c>
      <c r="N129" s="16" t="n">
        <f aca="false">L129-M129</f>
        <v>1.5</v>
      </c>
      <c r="O129" s="14" t="n">
        <v>1112</v>
      </c>
    </row>
    <row r="130" customFormat="false" ht="23.85" hidden="false" customHeight="false" outlineLevel="0" collapsed="false">
      <c r="A130" s="2" t="s">
        <v>146</v>
      </c>
      <c r="B130" s="2" t="s">
        <v>147</v>
      </c>
      <c r="C130" s="14" t="n">
        <v>4</v>
      </c>
      <c r="D130" s="2" t="s">
        <v>476</v>
      </c>
      <c r="E130" s="15" t="n">
        <v>7</v>
      </c>
      <c r="F130" s="15" t="n">
        <v>8</v>
      </c>
      <c r="G130" s="15" t="n">
        <v>8</v>
      </c>
      <c r="H130" s="15" t="n">
        <v>4</v>
      </c>
      <c r="I130" s="15" t="n">
        <v>8</v>
      </c>
      <c r="J130" s="15" t="n">
        <v>8</v>
      </c>
      <c r="K130" s="15" t="n">
        <v>7</v>
      </c>
      <c r="L130" s="4" t="n">
        <f aca="false">ROUND(E130*Rubric!$B$4+F130*Rubric!$B$5+G130*Rubric!$B$6+H130*Rubric!$B$7+I130*Rubric!$B$8+J130*Rubric!$B$9+K130*Rubric!$B$10-IF(OR(G130&lt;Rubric!$B$12,J130&lt;Rubric!$B$12),Rubric!$B$13,0),2)</f>
        <v>7.45</v>
      </c>
      <c r="M130" s="4" t="n">
        <f aca="false">SUMIFS('Revision Log'!$M:$M,'Revision Log'!$N:$N,O130,'Revision Log'!$C:$C,0)</f>
        <v>6.15</v>
      </c>
      <c r="N130" s="16" t="n">
        <f aca="false">L130-M130</f>
        <v>1.3</v>
      </c>
      <c r="O130" s="14" t="n">
        <v>1113</v>
      </c>
    </row>
    <row r="131" customFormat="false" ht="23.85" hidden="false" customHeight="false" outlineLevel="0" collapsed="false">
      <c r="A131" s="2" t="s">
        <v>146</v>
      </c>
      <c r="B131" s="2" t="s">
        <v>147</v>
      </c>
      <c r="C131" s="14" t="n">
        <v>5</v>
      </c>
      <c r="D131" s="2" t="s">
        <v>477</v>
      </c>
      <c r="E131" s="15" t="n">
        <v>8</v>
      </c>
      <c r="F131" s="15" t="n">
        <v>8</v>
      </c>
      <c r="G131" s="15" t="n">
        <v>7</v>
      </c>
      <c r="H131" s="15" t="n">
        <v>9</v>
      </c>
      <c r="I131" s="15" t="n">
        <v>8</v>
      </c>
      <c r="J131" s="15" t="n">
        <v>8</v>
      </c>
      <c r="K131" s="15" t="n">
        <v>9</v>
      </c>
      <c r="L131" s="4" t="n">
        <f aca="false">ROUND(E131*Rubric!$B$4+F131*Rubric!$B$5+G131*Rubric!$B$6+H131*Rubric!$B$7+I131*Rubric!$B$8+J131*Rubric!$B$9+K131*Rubric!$B$10-IF(OR(G131&lt;Rubric!$B$12,J131&lt;Rubric!$B$12),Rubric!$B$13,0),2)</f>
        <v>8.1</v>
      </c>
      <c r="M131" s="4" t="n">
        <f aca="false">SUMIFS('Revision Log'!$M:$M,'Revision Log'!$N:$N,O131,'Revision Log'!$C:$C,0)</f>
        <v>6.5</v>
      </c>
      <c r="N131" s="16" t="n">
        <f aca="false">L131-M131</f>
        <v>1.6</v>
      </c>
      <c r="O131" s="14" t="n">
        <v>1114</v>
      </c>
    </row>
    <row r="132" customFormat="false" ht="15" hidden="false" customHeight="false" outlineLevel="0" collapsed="false">
      <c r="A132" s="2" t="s">
        <v>152</v>
      </c>
      <c r="B132" s="2" t="s">
        <v>153</v>
      </c>
      <c r="C132" s="14" t="n">
        <v>1</v>
      </c>
      <c r="D132" s="2" t="s">
        <v>478</v>
      </c>
      <c r="E132" s="15" t="n">
        <v>9</v>
      </c>
      <c r="F132" s="15" t="n">
        <v>8</v>
      </c>
      <c r="G132" s="15" t="n">
        <v>8</v>
      </c>
      <c r="H132" s="15" t="n">
        <v>3</v>
      </c>
      <c r="I132" s="15" t="n">
        <v>9</v>
      </c>
      <c r="J132" s="15" t="n">
        <v>8</v>
      </c>
      <c r="K132" s="15" t="n">
        <v>7</v>
      </c>
      <c r="L132" s="4" t="n">
        <f aca="false">ROUND(E132*Rubric!$B$4+F132*Rubric!$B$5+G132*Rubric!$B$6+H132*Rubric!$B$7+I132*Rubric!$B$8+J132*Rubric!$B$9+K132*Rubric!$B$10-IF(OR(G132&lt;Rubric!$B$12,J132&lt;Rubric!$B$12),Rubric!$B$13,0),2)</f>
        <v>7.85</v>
      </c>
      <c r="M132" s="4" t="n">
        <f aca="false">SUMIFS('Revision Log'!$M:$M,'Revision Log'!$N:$N,O132,'Revision Log'!$C:$C,0)</f>
        <v>6.75</v>
      </c>
      <c r="N132" s="16" t="n">
        <f aca="false">L132-M132</f>
        <v>1.1</v>
      </c>
      <c r="O132" s="14" t="n">
        <v>1120</v>
      </c>
    </row>
    <row r="133" customFormat="false" ht="23.85" hidden="false" customHeight="false" outlineLevel="0" collapsed="false">
      <c r="A133" s="2" t="s">
        <v>152</v>
      </c>
      <c r="B133" s="2" t="s">
        <v>153</v>
      </c>
      <c r="C133" s="14" t="n">
        <v>2</v>
      </c>
      <c r="D133" s="2" t="s">
        <v>479</v>
      </c>
      <c r="E133" s="15" t="n">
        <v>7</v>
      </c>
      <c r="F133" s="15" t="n">
        <v>9</v>
      </c>
      <c r="G133" s="15" t="n">
        <v>7</v>
      </c>
      <c r="H133" s="15" t="n">
        <v>3</v>
      </c>
      <c r="I133" s="15" t="n">
        <v>9</v>
      </c>
      <c r="J133" s="15" t="n">
        <v>8</v>
      </c>
      <c r="K133" s="15" t="n">
        <v>8</v>
      </c>
      <c r="L133" s="4" t="n">
        <f aca="false">ROUND(E133*Rubric!$B$4+F133*Rubric!$B$5+G133*Rubric!$B$6+H133*Rubric!$B$7+I133*Rubric!$B$8+J133*Rubric!$B$9+K133*Rubric!$B$10-IF(OR(G133&lt;Rubric!$B$12,J133&lt;Rubric!$B$12),Rubric!$B$13,0),2)</f>
        <v>7.9</v>
      </c>
      <c r="M133" s="4" t="n">
        <f aca="false">SUMIFS('Revision Log'!$M:$M,'Revision Log'!$N:$N,O133,'Revision Log'!$C:$C,0)</f>
        <v>6.8</v>
      </c>
      <c r="N133" s="16" t="n">
        <f aca="false">L133-M133</f>
        <v>1.1</v>
      </c>
      <c r="O133" s="14" t="n">
        <v>1121</v>
      </c>
    </row>
    <row r="134" customFormat="false" ht="23.85" hidden="false" customHeight="false" outlineLevel="0" collapsed="false">
      <c r="A134" s="2" t="s">
        <v>152</v>
      </c>
      <c r="B134" s="2" t="s">
        <v>153</v>
      </c>
      <c r="C134" s="14" t="n">
        <v>3</v>
      </c>
      <c r="D134" s="2" t="s">
        <v>480</v>
      </c>
      <c r="E134" s="15" t="n">
        <v>7</v>
      </c>
      <c r="F134" s="15" t="n">
        <v>8</v>
      </c>
      <c r="G134" s="15" t="n">
        <v>8</v>
      </c>
      <c r="H134" s="15" t="n">
        <v>3</v>
      </c>
      <c r="I134" s="15" t="n">
        <v>9</v>
      </c>
      <c r="J134" s="15" t="n">
        <v>8</v>
      </c>
      <c r="K134" s="15" t="n">
        <v>7</v>
      </c>
      <c r="L134" s="4" t="n">
        <f aca="false">ROUND(E134*Rubric!$B$4+F134*Rubric!$B$5+G134*Rubric!$B$6+H134*Rubric!$B$7+I134*Rubric!$B$8+J134*Rubric!$B$9+K134*Rubric!$B$10-IF(OR(G134&lt;Rubric!$B$12,J134&lt;Rubric!$B$12),Rubric!$B$13,0),2)</f>
        <v>7.75</v>
      </c>
      <c r="M134" s="4" t="n">
        <f aca="false">SUMIFS('Revision Log'!$M:$M,'Revision Log'!$N:$N,O134,'Revision Log'!$C:$C,0)</f>
        <v>6.6</v>
      </c>
      <c r="N134" s="16" t="n">
        <f aca="false">L134-M134</f>
        <v>1.15</v>
      </c>
      <c r="O134" s="14" t="n">
        <v>1122</v>
      </c>
    </row>
    <row r="135" customFormat="false" ht="23.85" hidden="false" customHeight="false" outlineLevel="0" collapsed="false">
      <c r="A135" s="2" t="s">
        <v>152</v>
      </c>
      <c r="B135" s="2" t="s">
        <v>153</v>
      </c>
      <c r="C135" s="14" t="n">
        <v>4</v>
      </c>
      <c r="D135" s="2" t="s">
        <v>481</v>
      </c>
      <c r="E135" s="15" t="n">
        <v>8</v>
      </c>
      <c r="F135" s="15" t="n">
        <v>8</v>
      </c>
      <c r="G135" s="15" t="n">
        <v>8</v>
      </c>
      <c r="H135" s="15" t="n">
        <v>3</v>
      </c>
      <c r="I135" s="15" t="n">
        <v>8</v>
      </c>
      <c r="J135" s="15" t="n">
        <v>8</v>
      </c>
      <c r="K135" s="15" t="n">
        <v>8</v>
      </c>
      <c r="L135" s="4" t="n">
        <f aca="false">ROUND(E135*Rubric!$B$4+F135*Rubric!$B$5+G135*Rubric!$B$6+H135*Rubric!$B$7+I135*Rubric!$B$8+J135*Rubric!$B$9+K135*Rubric!$B$10-IF(OR(G135&lt;Rubric!$B$12,J135&lt;Rubric!$B$12),Rubric!$B$13,0),2)</f>
        <v>7.5</v>
      </c>
      <c r="M135" s="4" t="n">
        <f aca="false">SUMIFS('Revision Log'!$M:$M,'Revision Log'!$N:$N,O135,'Revision Log'!$C:$C,0)</f>
        <v>6.7</v>
      </c>
      <c r="N135" s="16" t="n">
        <f aca="false">L135-M135</f>
        <v>0.8</v>
      </c>
      <c r="O135" s="14" t="n">
        <v>1123</v>
      </c>
    </row>
    <row r="136" customFormat="false" ht="15" hidden="false" customHeight="false" outlineLevel="0" collapsed="false">
      <c r="A136" s="2" t="s">
        <v>152</v>
      </c>
      <c r="B136" s="2" t="s">
        <v>153</v>
      </c>
      <c r="C136" s="14" t="n">
        <v>5</v>
      </c>
      <c r="D136" s="2" t="s">
        <v>482</v>
      </c>
      <c r="E136" s="15" t="n">
        <v>9</v>
      </c>
      <c r="F136" s="15" t="n">
        <v>8</v>
      </c>
      <c r="G136" s="15" t="n">
        <v>8</v>
      </c>
      <c r="H136" s="15" t="n">
        <v>3</v>
      </c>
      <c r="I136" s="15" t="n">
        <v>9</v>
      </c>
      <c r="J136" s="15" t="n">
        <v>8</v>
      </c>
      <c r="K136" s="15" t="n">
        <v>7</v>
      </c>
      <c r="L136" s="4" t="n">
        <f aca="false">ROUND(E136*Rubric!$B$4+F136*Rubric!$B$5+G136*Rubric!$B$6+H136*Rubric!$B$7+I136*Rubric!$B$8+J136*Rubric!$B$9+K136*Rubric!$B$10-IF(OR(G136&lt;Rubric!$B$12,J136&lt;Rubric!$B$12),Rubric!$B$13,0),2)</f>
        <v>7.85</v>
      </c>
      <c r="M136" s="4" t="n">
        <f aca="false">SUMIFS('Revision Log'!$M:$M,'Revision Log'!$N:$N,O136,'Revision Log'!$C:$C,0)</f>
        <v>6.7</v>
      </c>
      <c r="N136" s="16" t="n">
        <f aca="false">L136-M136</f>
        <v>1.15</v>
      </c>
      <c r="O136" s="14" t="n">
        <v>1124</v>
      </c>
    </row>
    <row r="137" customFormat="false" ht="23.85" hidden="false" customHeight="false" outlineLevel="0" collapsed="false">
      <c r="A137" s="2" t="s">
        <v>158</v>
      </c>
      <c r="B137" s="2" t="s">
        <v>159</v>
      </c>
      <c r="C137" s="14" t="n">
        <v>1</v>
      </c>
      <c r="D137" s="2" t="s">
        <v>483</v>
      </c>
      <c r="E137" s="15" t="n">
        <v>7</v>
      </c>
      <c r="F137" s="15" t="n">
        <v>8</v>
      </c>
      <c r="G137" s="15" t="n">
        <v>8</v>
      </c>
      <c r="H137" s="15" t="n">
        <v>2</v>
      </c>
      <c r="I137" s="15" t="n">
        <v>9</v>
      </c>
      <c r="J137" s="15" t="n">
        <v>8</v>
      </c>
      <c r="K137" s="15" t="n">
        <v>8</v>
      </c>
      <c r="L137" s="4" t="n">
        <f aca="false">ROUND(E137*Rubric!$B$4+F137*Rubric!$B$5+G137*Rubric!$B$6+H137*Rubric!$B$7+I137*Rubric!$B$8+J137*Rubric!$B$9+K137*Rubric!$B$10-IF(OR(G137&lt;Rubric!$B$12,J137&lt;Rubric!$B$12),Rubric!$B$13,0),2)</f>
        <v>7.75</v>
      </c>
      <c r="M137" s="4" t="n">
        <f aca="false">SUMIFS('Revision Log'!$M:$M,'Revision Log'!$N:$N,O137,'Revision Log'!$C:$C,0)</f>
        <v>7.8</v>
      </c>
      <c r="N137" s="16" t="n">
        <f aca="false">L137-M137</f>
        <v>-0.0499999999999998</v>
      </c>
      <c r="O137" s="14" t="n">
        <v>1130</v>
      </c>
    </row>
    <row r="138" customFormat="false" ht="23.85" hidden="false" customHeight="false" outlineLevel="0" collapsed="false">
      <c r="A138" s="2" t="s">
        <v>158</v>
      </c>
      <c r="B138" s="2" t="s">
        <v>159</v>
      </c>
      <c r="C138" s="14" t="n">
        <v>2</v>
      </c>
      <c r="D138" s="2" t="s">
        <v>484</v>
      </c>
      <c r="E138" s="15" t="n">
        <v>8</v>
      </c>
      <c r="F138" s="15" t="n">
        <v>8</v>
      </c>
      <c r="G138" s="15" t="n">
        <v>8</v>
      </c>
      <c r="H138" s="15" t="n">
        <v>3</v>
      </c>
      <c r="I138" s="15" t="n">
        <v>10</v>
      </c>
      <c r="J138" s="15" t="n">
        <v>8</v>
      </c>
      <c r="K138" s="15" t="n">
        <v>7</v>
      </c>
      <c r="L138" s="4" t="n">
        <f aca="false">ROUND(E138*Rubric!$B$4+F138*Rubric!$B$5+G138*Rubric!$B$6+H138*Rubric!$B$7+I138*Rubric!$B$8+J138*Rubric!$B$9+K138*Rubric!$B$10-IF(OR(G138&lt;Rubric!$B$12,J138&lt;Rubric!$B$12),Rubric!$B$13,0),2)</f>
        <v>8.2</v>
      </c>
      <c r="M138" s="4" t="n">
        <f aca="false">SUMIFS('Revision Log'!$M:$M,'Revision Log'!$N:$N,O138,'Revision Log'!$C:$C,0)</f>
        <v>7.9</v>
      </c>
      <c r="N138" s="16" t="n">
        <f aca="false">L138-M138</f>
        <v>0.299999999999999</v>
      </c>
      <c r="O138" s="14" t="n">
        <v>1131</v>
      </c>
    </row>
    <row r="139" customFormat="false" ht="23.85" hidden="false" customHeight="false" outlineLevel="0" collapsed="false">
      <c r="A139" s="2" t="s">
        <v>158</v>
      </c>
      <c r="B139" s="2" t="s">
        <v>159</v>
      </c>
      <c r="C139" s="14" t="n">
        <v>3</v>
      </c>
      <c r="D139" s="2" t="s">
        <v>485</v>
      </c>
      <c r="E139" s="15" t="n">
        <v>7</v>
      </c>
      <c r="F139" s="15" t="n">
        <v>8</v>
      </c>
      <c r="G139" s="15" t="n">
        <v>8</v>
      </c>
      <c r="H139" s="15" t="n">
        <v>3</v>
      </c>
      <c r="I139" s="15" t="n">
        <v>9</v>
      </c>
      <c r="J139" s="15" t="n">
        <v>8</v>
      </c>
      <c r="K139" s="15" t="n">
        <v>6</v>
      </c>
      <c r="L139" s="4" t="n">
        <f aca="false">ROUND(E139*Rubric!$B$4+F139*Rubric!$B$5+G139*Rubric!$B$6+H139*Rubric!$B$7+I139*Rubric!$B$8+J139*Rubric!$B$9+K139*Rubric!$B$10-IF(OR(G139&lt;Rubric!$B$12,J139&lt;Rubric!$B$12),Rubric!$B$13,0),2)</f>
        <v>7.65</v>
      </c>
      <c r="M139" s="4" t="n">
        <f aca="false">SUMIFS('Revision Log'!$M:$M,'Revision Log'!$N:$N,O139,'Revision Log'!$C:$C,0)</f>
        <v>6.75</v>
      </c>
      <c r="N139" s="16" t="n">
        <f aca="false">L139-M139</f>
        <v>0.9</v>
      </c>
      <c r="O139" s="14" t="n">
        <v>1132</v>
      </c>
    </row>
    <row r="140" customFormat="false" ht="15" hidden="false" customHeight="false" outlineLevel="0" collapsed="false">
      <c r="A140" s="2" t="s">
        <v>158</v>
      </c>
      <c r="B140" s="2" t="s">
        <v>159</v>
      </c>
      <c r="C140" s="14" t="n">
        <v>4</v>
      </c>
      <c r="D140" s="2" t="s">
        <v>486</v>
      </c>
      <c r="E140" s="15" t="n">
        <v>8</v>
      </c>
      <c r="F140" s="15" t="n">
        <v>8</v>
      </c>
      <c r="G140" s="15" t="n">
        <v>8</v>
      </c>
      <c r="H140" s="15" t="n">
        <v>3</v>
      </c>
      <c r="I140" s="15" t="n">
        <v>9</v>
      </c>
      <c r="J140" s="15" t="n">
        <v>8</v>
      </c>
      <c r="K140" s="15" t="n">
        <v>6</v>
      </c>
      <c r="L140" s="4" t="n">
        <f aca="false">ROUND(E140*Rubric!$B$4+F140*Rubric!$B$5+G140*Rubric!$B$6+H140*Rubric!$B$7+I140*Rubric!$B$8+J140*Rubric!$B$9+K140*Rubric!$B$10-IF(OR(G140&lt;Rubric!$B$12,J140&lt;Rubric!$B$12),Rubric!$B$13,0),2)</f>
        <v>7.7</v>
      </c>
      <c r="M140" s="4" t="n">
        <f aca="false">SUMIFS('Revision Log'!$M:$M,'Revision Log'!$N:$N,O140,'Revision Log'!$C:$C,0)</f>
        <v>6.95</v>
      </c>
      <c r="N140" s="16" t="n">
        <f aca="false">L140-M140</f>
        <v>0.75</v>
      </c>
      <c r="O140" s="14" t="n">
        <v>1133</v>
      </c>
    </row>
    <row r="141" customFormat="false" ht="23.85" hidden="false" customHeight="false" outlineLevel="0" collapsed="false">
      <c r="A141" s="2" t="s">
        <v>158</v>
      </c>
      <c r="B141" s="2" t="s">
        <v>159</v>
      </c>
      <c r="C141" s="14" t="n">
        <v>5</v>
      </c>
      <c r="D141" s="2" t="s">
        <v>487</v>
      </c>
      <c r="E141" s="15" t="n">
        <v>8</v>
      </c>
      <c r="F141" s="15" t="n">
        <v>7</v>
      </c>
      <c r="G141" s="15" t="n">
        <v>8</v>
      </c>
      <c r="H141" s="15" t="n">
        <v>8</v>
      </c>
      <c r="I141" s="15" t="n">
        <v>8</v>
      </c>
      <c r="J141" s="15" t="n">
        <v>8</v>
      </c>
      <c r="K141" s="15" t="n">
        <v>7</v>
      </c>
      <c r="L141" s="4" t="n">
        <f aca="false">ROUND(E141*Rubric!$B$4+F141*Rubric!$B$5+G141*Rubric!$B$6+H141*Rubric!$B$7+I141*Rubric!$B$8+J141*Rubric!$B$9+K141*Rubric!$B$10-IF(OR(G141&lt;Rubric!$B$12,J141&lt;Rubric!$B$12),Rubric!$B$13,0),2)</f>
        <v>7.75</v>
      </c>
      <c r="M141" s="4" t="n">
        <f aca="false">SUMIFS('Revision Log'!$M:$M,'Revision Log'!$N:$N,O141,'Revision Log'!$C:$C,0)</f>
        <v>7</v>
      </c>
      <c r="N141" s="16" t="n">
        <f aca="false">L141-M141</f>
        <v>0.75</v>
      </c>
      <c r="O141" s="14" t="n">
        <v>1134</v>
      </c>
    </row>
    <row r="142" customFormat="false" ht="23.85" hidden="false" customHeight="false" outlineLevel="0" collapsed="false">
      <c r="A142" s="2" t="s">
        <v>163</v>
      </c>
      <c r="B142" s="2" t="s">
        <v>164</v>
      </c>
      <c r="C142" s="14" t="n">
        <v>1</v>
      </c>
      <c r="D142" s="2" t="s">
        <v>488</v>
      </c>
      <c r="E142" s="15" t="n">
        <v>9</v>
      </c>
      <c r="F142" s="15" t="n">
        <v>8</v>
      </c>
      <c r="G142" s="15" t="n">
        <v>8</v>
      </c>
      <c r="H142" s="15" t="n">
        <v>3</v>
      </c>
      <c r="I142" s="15" t="n">
        <v>10</v>
      </c>
      <c r="J142" s="15" t="n">
        <v>8</v>
      </c>
      <c r="K142" s="15" t="n">
        <v>7</v>
      </c>
      <c r="L142" s="4" t="n">
        <f aca="false">ROUND(E142*Rubric!$B$4+F142*Rubric!$B$5+G142*Rubric!$B$6+H142*Rubric!$B$7+I142*Rubric!$B$8+J142*Rubric!$B$9+K142*Rubric!$B$10-IF(OR(G142&lt;Rubric!$B$12,J142&lt;Rubric!$B$12),Rubric!$B$13,0),2)</f>
        <v>8.25</v>
      </c>
      <c r="M142" s="4" t="n">
        <f aca="false">SUMIFS('Revision Log'!$M:$M,'Revision Log'!$N:$N,O142,'Revision Log'!$C:$C,0)</f>
        <v>7.55</v>
      </c>
      <c r="N142" s="16" t="n">
        <f aca="false">L142-M142</f>
        <v>0.7</v>
      </c>
      <c r="O142" s="14" t="n">
        <v>1140</v>
      </c>
    </row>
    <row r="143" customFormat="false" ht="23.85" hidden="false" customHeight="false" outlineLevel="0" collapsed="false">
      <c r="A143" s="2" t="s">
        <v>163</v>
      </c>
      <c r="B143" s="2" t="s">
        <v>164</v>
      </c>
      <c r="C143" s="14" t="n">
        <v>2</v>
      </c>
      <c r="D143" s="2" t="s">
        <v>489</v>
      </c>
      <c r="E143" s="15" t="n">
        <v>7</v>
      </c>
      <c r="F143" s="15" t="n">
        <v>8</v>
      </c>
      <c r="G143" s="15" t="n">
        <v>8</v>
      </c>
      <c r="H143" s="15" t="n">
        <v>3</v>
      </c>
      <c r="I143" s="15" t="n">
        <v>10</v>
      </c>
      <c r="J143" s="15" t="n">
        <v>8</v>
      </c>
      <c r="K143" s="15" t="n">
        <v>7</v>
      </c>
      <c r="L143" s="4" t="n">
        <f aca="false">ROUND(E143*Rubric!$B$4+F143*Rubric!$B$5+G143*Rubric!$B$6+H143*Rubric!$B$7+I143*Rubric!$B$8+J143*Rubric!$B$9+K143*Rubric!$B$10-IF(OR(G143&lt;Rubric!$B$12,J143&lt;Rubric!$B$12),Rubric!$B$13,0),2)</f>
        <v>8.15</v>
      </c>
      <c r="M143" s="4" t="n">
        <f aca="false">SUMIFS('Revision Log'!$M:$M,'Revision Log'!$N:$N,O143,'Revision Log'!$C:$C,0)</f>
        <v>7.85</v>
      </c>
      <c r="N143" s="16" t="n">
        <f aca="false">L143-M143</f>
        <v>0.300000000000001</v>
      </c>
      <c r="O143" s="14" t="n">
        <v>1141</v>
      </c>
    </row>
    <row r="144" customFormat="false" ht="23.85" hidden="false" customHeight="false" outlineLevel="0" collapsed="false">
      <c r="A144" s="2" t="s">
        <v>163</v>
      </c>
      <c r="B144" s="2" t="s">
        <v>164</v>
      </c>
      <c r="C144" s="14" t="n">
        <v>3</v>
      </c>
      <c r="D144" s="2" t="s">
        <v>490</v>
      </c>
      <c r="E144" s="15" t="n">
        <v>7</v>
      </c>
      <c r="F144" s="15" t="n">
        <v>8</v>
      </c>
      <c r="G144" s="15" t="n">
        <v>8</v>
      </c>
      <c r="H144" s="15" t="n">
        <v>3</v>
      </c>
      <c r="I144" s="15" t="n">
        <v>9</v>
      </c>
      <c r="J144" s="15" t="n">
        <v>8</v>
      </c>
      <c r="K144" s="15" t="n">
        <v>7</v>
      </c>
      <c r="L144" s="4" t="n">
        <f aca="false">ROUND(E144*Rubric!$B$4+F144*Rubric!$B$5+G144*Rubric!$B$6+H144*Rubric!$B$7+I144*Rubric!$B$8+J144*Rubric!$B$9+K144*Rubric!$B$10-IF(OR(G144&lt;Rubric!$B$12,J144&lt;Rubric!$B$12),Rubric!$B$13,0),2)</f>
        <v>7.75</v>
      </c>
      <c r="M144" s="4" t="n">
        <f aca="false">SUMIFS('Revision Log'!$M:$M,'Revision Log'!$N:$N,O144,'Revision Log'!$C:$C,0)</f>
        <v>7.85</v>
      </c>
      <c r="N144" s="16" t="n">
        <f aca="false">L144-M144</f>
        <v>-0.0999999999999996</v>
      </c>
      <c r="O144" s="14" t="n">
        <v>1142</v>
      </c>
    </row>
    <row r="145" customFormat="false" ht="15" hidden="false" customHeight="false" outlineLevel="0" collapsed="false">
      <c r="A145" s="2" t="s">
        <v>163</v>
      </c>
      <c r="B145" s="2" t="s">
        <v>164</v>
      </c>
      <c r="C145" s="14" t="n">
        <v>4</v>
      </c>
      <c r="D145" s="2" t="s">
        <v>491</v>
      </c>
      <c r="E145" s="15" t="n">
        <v>9</v>
      </c>
      <c r="F145" s="15" t="n">
        <v>8</v>
      </c>
      <c r="G145" s="15" t="n">
        <v>8</v>
      </c>
      <c r="H145" s="15" t="n">
        <v>3</v>
      </c>
      <c r="I145" s="15" t="n">
        <v>9</v>
      </c>
      <c r="J145" s="15" t="n">
        <v>8</v>
      </c>
      <c r="K145" s="15" t="n">
        <v>7</v>
      </c>
      <c r="L145" s="4" t="n">
        <f aca="false">ROUND(E145*Rubric!$B$4+F145*Rubric!$B$5+G145*Rubric!$B$6+H145*Rubric!$B$7+I145*Rubric!$B$8+J145*Rubric!$B$9+K145*Rubric!$B$10-IF(OR(G145&lt;Rubric!$B$12,J145&lt;Rubric!$B$12),Rubric!$B$13,0),2)</f>
        <v>7.85</v>
      </c>
      <c r="M145" s="4" t="n">
        <f aca="false">SUMIFS('Revision Log'!$M:$M,'Revision Log'!$N:$N,O145,'Revision Log'!$C:$C,0)</f>
        <v>7.55</v>
      </c>
      <c r="N145" s="16" t="n">
        <f aca="false">L145-M145</f>
        <v>0.3</v>
      </c>
      <c r="O145" s="14" t="n">
        <v>1143</v>
      </c>
    </row>
    <row r="146" customFormat="false" ht="23.85" hidden="false" customHeight="false" outlineLevel="0" collapsed="false">
      <c r="A146" s="2" t="s">
        <v>163</v>
      </c>
      <c r="B146" s="2" t="s">
        <v>164</v>
      </c>
      <c r="C146" s="14" t="n">
        <v>5</v>
      </c>
      <c r="D146" s="2" t="s">
        <v>492</v>
      </c>
      <c r="E146" s="15" t="n">
        <v>8</v>
      </c>
      <c r="F146" s="15" t="n">
        <v>8</v>
      </c>
      <c r="G146" s="15" t="n">
        <v>8</v>
      </c>
      <c r="H146" s="15" t="n">
        <v>2</v>
      </c>
      <c r="I146" s="15" t="n">
        <v>9</v>
      </c>
      <c r="J146" s="15" t="n">
        <v>8</v>
      </c>
      <c r="K146" s="15" t="n">
        <v>8</v>
      </c>
      <c r="L146" s="4" t="n">
        <f aca="false">ROUND(E146*Rubric!$B$4+F146*Rubric!$B$5+G146*Rubric!$B$6+H146*Rubric!$B$7+I146*Rubric!$B$8+J146*Rubric!$B$9+K146*Rubric!$B$10-IF(OR(G146&lt;Rubric!$B$12,J146&lt;Rubric!$B$12),Rubric!$B$13,0),2)</f>
        <v>7.8</v>
      </c>
      <c r="M146" s="4" t="n">
        <f aca="false">SUMIFS('Revision Log'!$M:$M,'Revision Log'!$N:$N,O146,'Revision Log'!$C:$C,0)</f>
        <v>7.15</v>
      </c>
      <c r="N146" s="16" t="n">
        <f aca="false">L146-M146</f>
        <v>0.65</v>
      </c>
      <c r="O146" s="14" t="n">
        <v>1144</v>
      </c>
    </row>
    <row r="147" customFormat="false" ht="23.85" hidden="false" customHeight="false" outlineLevel="0" collapsed="false">
      <c r="A147" s="2" t="s">
        <v>169</v>
      </c>
      <c r="B147" s="2" t="s">
        <v>170</v>
      </c>
      <c r="C147" s="14" t="n">
        <v>1</v>
      </c>
      <c r="D147" s="2" t="s">
        <v>493</v>
      </c>
      <c r="E147" s="15" t="n">
        <v>8</v>
      </c>
      <c r="F147" s="15" t="n">
        <v>9</v>
      </c>
      <c r="G147" s="15" t="n">
        <v>8</v>
      </c>
      <c r="H147" s="15" t="n">
        <v>3</v>
      </c>
      <c r="I147" s="15" t="n">
        <v>9</v>
      </c>
      <c r="J147" s="15" t="n">
        <v>9</v>
      </c>
      <c r="K147" s="15" t="n">
        <v>8</v>
      </c>
      <c r="L147" s="4" t="n">
        <f aca="false">ROUND(E147*Rubric!$B$4+F147*Rubric!$B$5+G147*Rubric!$B$6+H147*Rubric!$B$7+I147*Rubric!$B$8+J147*Rubric!$B$9+K147*Rubric!$B$10-IF(OR(G147&lt;Rubric!$B$12,J147&lt;Rubric!$B$12),Rubric!$B$13,0),2)</f>
        <v>8.15</v>
      </c>
      <c r="M147" s="4" t="n">
        <f aca="false">SUMIFS('Revision Log'!$M:$M,'Revision Log'!$N:$N,O147,'Revision Log'!$C:$C,0)</f>
        <v>7.1</v>
      </c>
      <c r="N147" s="16" t="n">
        <f aca="false">L147-M147</f>
        <v>1.05</v>
      </c>
      <c r="O147" s="14" t="n">
        <v>1150</v>
      </c>
    </row>
    <row r="148" customFormat="false" ht="23.85" hidden="false" customHeight="false" outlineLevel="0" collapsed="false">
      <c r="A148" s="2" t="s">
        <v>169</v>
      </c>
      <c r="B148" s="2" t="s">
        <v>170</v>
      </c>
      <c r="C148" s="14" t="n">
        <v>2</v>
      </c>
      <c r="D148" s="2" t="s">
        <v>494</v>
      </c>
      <c r="E148" s="15" t="n">
        <v>8</v>
      </c>
      <c r="F148" s="15" t="n">
        <v>9</v>
      </c>
      <c r="G148" s="15" t="n">
        <v>8</v>
      </c>
      <c r="H148" s="15" t="n">
        <v>3</v>
      </c>
      <c r="I148" s="15" t="n">
        <v>8</v>
      </c>
      <c r="J148" s="15" t="n">
        <v>9</v>
      </c>
      <c r="K148" s="15" t="n">
        <v>9</v>
      </c>
      <c r="L148" s="4" t="n">
        <f aca="false">ROUND(E148*Rubric!$B$4+F148*Rubric!$B$5+G148*Rubric!$B$6+H148*Rubric!$B$7+I148*Rubric!$B$8+J148*Rubric!$B$9+K148*Rubric!$B$10-IF(OR(G148&lt;Rubric!$B$12,J148&lt;Rubric!$B$12),Rubric!$B$13,0),2)</f>
        <v>7.85</v>
      </c>
      <c r="M148" s="4" t="n">
        <f aca="false">SUMIFS('Revision Log'!$M:$M,'Revision Log'!$N:$N,O148,'Revision Log'!$C:$C,0)</f>
        <v>7.1</v>
      </c>
      <c r="N148" s="16" t="n">
        <f aca="false">L148-M148</f>
        <v>0.75</v>
      </c>
      <c r="O148" s="14" t="n">
        <v>1151</v>
      </c>
    </row>
    <row r="149" customFormat="false" ht="23.85" hidden="false" customHeight="false" outlineLevel="0" collapsed="false">
      <c r="A149" s="2" t="s">
        <v>169</v>
      </c>
      <c r="B149" s="2" t="s">
        <v>170</v>
      </c>
      <c r="C149" s="14" t="n">
        <v>3</v>
      </c>
      <c r="D149" s="2" t="s">
        <v>495</v>
      </c>
      <c r="E149" s="15" t="n">
        <v>7</v>
      </c>
      <c r="F149" s="15" t="n">
        <v>8</v>
      </c>
      <c r="G149" s="15" t="n">
        <v>8</v>
      </c>
      <c r="H149" s="15" t="n">
        <v>4</v>
      </c>
      <c r="I149" s="15" t="n">
        <v>8</v>
      </c>
      <c r="J149" s="15" t="n">
        <v>7</v>
      </c>
      <c r="K149" s="15" t="n">
        <v>9</v>
      </c>
      <c r="L149" s="4" t="n">
        <f aca="false">ROUND(E149*Rubric!$B$4+F149*Rubric!$B$5+G149*Rubric!$B$6+H149*Rubric!$B$7+I149*Rubric!$B$8+J149*Rubric!$B$9+K149*Rubric!$B$10-IF(OR(G149&lt;Rubric!$B$12,J149&lt;Rubric!$B$12),Rubric!$B$13,0),2)</f>
        <v>7.55</v>
      </c>
      <c r="M149" s="4" t="n">
        <f aca="false">SUMIFS('Revision Log'!$M:$M,'Revision Log'!$N:$N,O149,'Revision Log'!$C:$C,0)</f>
        <v>6.6</v>
      </c>
      <c r="N149" s="16" t="n">
        <f aca="false">L149-M149</f>
        <v>0.95</v>
      </c>
      <c r="O149" s="14" t="n">
        <v>1152</v>
      </c>
    </row>
    <row r="150" customFormat="false" ht="23.85" hidden="false" customHeight="false" outlineLevel="0" collapsed="false">
      <c r="A150" s="2" t="s">
        <v>169</v>
      </c>
      <c r="B150" s="2" t="s">
        <v>170</v>
      </c>
      <c r="C150" s="14" t="n">
        <v>4</v>
      </c>
      <c r="D150" s="2" t="s">
        <v>496</v>
      </c>
      <c r="E150" s="15" t="n">
        <v>7</v>
      </c>
      <c r="F150" s="15" t="n">
        <v>7</v>
      </c>
      <c r="G150" s="15" t="n">
        <v>8</v>
      </c>
      <c r="H150" s="15" t="n">
        <v>7</v>
      </c>
      <c r="I150" s="15" t="n">
        <v>8</v>
      </c>
      <c r="J150" s="15" t="n">
        <v>8</v>
      </c>
      <c r="K150" s="15" t="n">
        <v>7</v>
      </c>
      <c r="L150" s="4" t="n">
        <f aca="false">ROUND(E150*Rubric!$B$4+F150*Rubric!$B$5+G150*Rubric!$B$6+H150*Rubric!$B$7+I150*Rubric!$B$8+J150*Rubric!$B$9+K150*Rubric!$B$10-IF(OR(G150&lt;Rubric!$B$12,J150&lt;Rubric!$B$12),Rubric!$B$13,0),2)</f>
        <v>7.6</v>
      </c>
      <c r="M150" s="4" t="n">
        <f aca="false">SUMIFS('Revision Log'!$M:$M,'Revision Log'!$N:$N,O150,'Revision Log'!$C:$C,0)</f>
        <v>6.45</v>
      </c>
      <c r="N150" s="16" t="n">
        <f aca="false">L150-M150</f>
        <v>1.15</v>
      </c>
      <c r="O150" s="14" t="n">
        <v>1153</v>
      </c>
    </row>
    <row r="151" customFormat="false" ht="23.85" hidden="false" customHeight="false" outlineLevel="0" collapsed="false">
      <c r="A151" s="2" t="s">
        <v>169</v>
      </c>
      <c r="B151" s="2" t="s">
        <v>170</v>
      </c>
      <c r="C151" s="14" t="n">
        <v>5</v>
      </c>
      <c r="D151" s="2" t="s">
        <v>497</v>
      </c>
      <c r="E151" s="15" t="n">
        <v>7</v>
      </c>
      <c r="F151" s="15" t="n">
        <v>9</v>
      </c>
      <c r="G151" s="15" t="n">
        <v>8</v>
      </c>
      <c r="H151" s="15" t="n">
        <v>3</v>
      </c>
      <c r="I151" s="15" t="n">
        <v>9</v>
      </c>
      <c r="J151" s="15" t="n">
        <v>8</v>
      </c>
      <c r="K151" s="15" t="n">
        <v>8</v>
      </c>
      <c r="L151" s="4" t="n">
        <f aca="false">ROUND(E151*Rubric!$B$4+F151*Rubric!$B$5+G151*Rubric!$B$6+H151*Rubric!$B$7+I151*Rubric!$B$8+J151*Rubric!$B$9+K151*Rubric!$B$10-IF(OR(G151&lt;Rubric!$B$12,J151&lt;Rubric!$B$12),Rubric!$B$13,0),2)</f>
        <v>8</v>
      </c>
      <c r="M151" s="4" t="n">
        <f aca="false">SUMIFS('Revision Log'!$M:$M,'Revision Log'!$N:$N,O151,'Revision Log'!$C:$C,0)</f>
        <v>5.9</v>
      </c>
      <c r="N151" s="16" t="n">
        <f aca="false">L151-M151</f>
        <v>2.1</v>
      </c>
      <c r="O151" s="14" t="n">
        <v>1154</v>
      </c>
    </row>
    <row r="152" customFormat="false" ht="23.85" hidden="false" customHeight="false" outlineLevel="0" collapsed="false">
      <c r="A152" s="2" t="s">
        <v>175</v>
      </c>
      <c r="B152" s="2" t="s">
        <v>176</v>
      </c>
      <c r="C152" s="14" t="n">
        <v>1</v>
      </c>
      <c r="D152" s="2" t="s">
        <v>498</v>
      </c>
      <c r="E152" s="15" t="n">
        <v>6</v>
      </c>
      <c r="F152" s="15" t="n">
        <v>8</v>
      </c>
      <c r="G152" s="15" t="n">
        <v>8</v>
      </c>
      <c r="H152" s="15" t="n">
        <v>4</v>
      </c>
      <c r="I152" s="15" t="n">
        <v>10</v>
      </c>
      <c r="J152" s="15" t="n">
        <v>8</v>
      </c>
      <c r="K152" s="15" t="n">
        <v>8</v>
      </c>
      <c r="L152" s="4" t="n">
        <f aca="false">ROUND(E152*Rubric!$B$4+F152*Rubric!$B$5+G152*Rubric!$B$6+H152*Rubric!$B$7+I152*Rubric!$B$8+J152*Rubric!$B$9+K152*Rubric!$B$10-IF(OR(G152&lt;Rubric!$B$12,J152&lt;Rubric!$B$12),Rubric!$B$13,0),2)</f>
        <v>8.3</v>
      </c>
      <c r="M152" s="4" t="n">
        <f aca="false">SUMIFS('Revision Log'!$M:$M,'Revision Log'!$N:$N,O152,'Revision Log'!$C:$C,0)</f>
        <v>8.3</v>
      </c>
      <c r="N152" s="16" t="n">
        <f aca="false">L152-M152</f>
        <v>0</v>
      </c>
      <c r="O152" s="14" t="n">
        <v>1160</v>
      </c>
    </row>
    <row r="153" customFormat="false" ht="23.85" hidden="false" customHeight="false" outlineLevel="0" collapsed="false">
      <c r="A153" s="2" t="s">
        <v>175</v>
      </c>
      <c r="B153" s="2" t="s">
        <v>176</v>
      </c>
      <c r="C153" s="14" t="n">
        <v>2</v>
      </c>
      <c r="D153" s="2" t="s">
        <v>381</v>
      </c>
      <c r="E153" s="15" t="n">
        <v>8</v>
      </c>
      <c r="F153" s="15" t="n">
        <v>8</v>
      </c>
      <c r="G153" s="15" t="n">
        <v>8</v>
      </c>
      <c r="H153" s="15" t="n">
        <v>9</v>
      </c>
      <c r="I153" s="15" t="n">
        <v>10</v>
      </c>
      <c r="J153" s="15" t="n">
        <v>7</v>
      </c>
      <c r="K153" s="15" t="n">
        <v>8</v>
      </c>
      <c r="L153" s="4" t="n">
        <f aca="false">ROUND(E153*Rubric!$B$4+F153*Rubric!$B$5+G153*Rubric!$B$6+H153*Rubric!$B$7+I153*Rubric!$B$8+J153*Rubric!$B$9+K153*Rubric!$B$10-IF(OR(G153&lt;Rubric!$B$12,J153&lt;Rubric!$B$12),Rubric!$B$13,0),2)</f>
        <v>8.8</v>
      </c>
      <c r="M153" s="4" t="n">
        <f aca="false">SUMIFS('Revision Log'!$M:$M,'Revision Log'!$N:$N,O153,'Revision Log'!$C:$C,0)</f>
        <v>8.1</v>
      </c>
      <c r="N153" s="16" t="n">
        <f aca="false">L153-M153</f>
        <v>0.700000000000001</v>
      </c>
      <c r="O153" s="14" t="n">
        <v>1161</v>
      </c>
    </row>
    <row r="154" customFormat="false" ht="23.85" hidden="false" customHeight="false" outlineLevel="0" collapsed="false">
      <c r="A154" s="2" t="s">
        <v>175</v>
      </c>
      <c r="B154" s="2" t="s">
        <v>176</v>
      </c>
      <c r="C154" s="14" t="n">
        <v>3</v>
      </c>
      <c r="D154" s="2" t="s">
        <v>435</v>
      </c>
      <c r="E154" s="15" t="n">
        <v>9</v>
      </c>
      <c r="F154" s="15" t="n">
        <v>8</v>
      </c>
      <c r="G154" s="15" t="n">
        <v>7</v>
      </c>
      <c r="H154" s="15" t="n">
        <v>10</v>
      </c>
      <c r="I154" s="15" t="n">
        <v>10</v>
      </c>
      <c r="J154" s="15" t="n">
        <v>7</v>
      </c>
      <c r="K154" s="15" t="n">
        <v>9</v>
      </c>
      <c r="L154" s="4" t="n">
        <f aca="false">ROUND(E154*Rubric!$B$4+F154*Rubric!$B$5+G154*Rubric!$B$6+H154*Rubric!$B$7+I154*Rubric!$B$8+J154*Rubric!$B$9+K154*Rubric!$B$10-IF(OR(G154&lt;Rubric!$B$12,J154&lt;Rubric!$B$12),Rubric!$B$13,0),2)</f>
        <v>8.95</v>
      </c>
      <c r="M154" s="4" t="n">
        <f aca="false">SUMIFS('Revision Log'!$M:$M,'Revision Log'!$N:$N,O154,'Revision Log'!$C:$C,0)</f>
        <v>7</v>
      </c>
      <c r="N154" s="16" t="n">
        <f aca="false">L154-M154</f>
        <v>1.95</v>
      </c>
      <c r="O154" s="14" t="n">
        <v>1162</v>
      </c>
    </row>
    <row r="155" customFormat="false" ht="23.85" hidden="false" customHeight="false" outlineLevel="0" collapsed="false">
      <c r="A155" s="2" t="s">
        <v>175</v>
      </c>
      <c r="B155" s="2" t="s">
        <v>176</v>
      </c>
      <c r="C155" s="14" t="n">
        <v>4</v>
      </c>
      <c r="D155" s="2" t="s">
        <v>499</v>
      </c>
      <c r="E155" s="15" t="n">
        <v>8</v>
      </c>
      <c r="F155" s="15" t="n">
        <v>8</v>
      </c>
      <c r="G155" s="15" t="n">
        <v>8</v>
      </c>
      <c r="H155" s="15" t="n">
        <v>4</v>
      </c>
      <c r="I155" s="15" t="n">
        <v>9</v>
      </c>
      <c r="J155" s="15" t="n">
        <v>7</v>
      </c>
      <c r="K155" s="15" t="n">
        <v>8</v>
      </c>
      <c r="L155" s="4" t="n">
        <f aca="false">ROUND(E155*Rubric!$B$4+F155*Rubric!$B$5+G155*Rubric!$B$6+H155*Rubric!$B$7+I155*Rubric!$B$8+J155*Rubric!$B$9+K155*Rubric!$B$10-IF(OR(G155&lt;Rubric!$B$12,J155&lt;Rubric!$B$12),Rubric!$B$13,0),2)</f>
        <v>7.9</v>
      </c>
      <c r="M155" s="4" t="n">
        <f aca="false">SUMIFS('Revision Log'!$M:$M,'Revision Log'!$N:$N,O155,'Revision Log'!$C:$C,0)</f>
        <v>6.55</v>
      </c>
      <c r="N155" s="16" t="n">
        <f aca="false">L155-M155</f>
        <v>1.35</v>
      </c>
      <c r="O155" s="14" t="n">
        <v>1163</v>
      </c>
    </row>
    <row r="156" customFormat="false" ht="23.85" hidden="false" customHeight="false" outlineLevel="0" collapsed="false">
      <c r="A156" s="2" t="s">
        <v>175</v>
      </c>
      <c r="B156" s="2" t="s">
        <v>176</v>
      </c>
      <c r="C156" s="14" t="n">
        <v>5</v>
      </c>
      <c r="D156" s="2" t="s">
        <v>500</v>
      </c>
      <c r="E156" s="15" t="n">
        <v>7</v>
      </c>
      <c r="F156" s="15" t="n">
        <v>7</v>
      </c>
      <c r="G156" s="15" t="n">
        <v>8</v>
      </c>
      <c r="H156" s="15" t="n">
        <v>4</v>
      </c>
      <c r="I156" s="15" t="n">
        <v>9</v>
      </c>
      <c r="J156" s="15" t="n">
        <v>8</v>
      </c>
      <c r="K156" s="15" t="n">
        <v>8</v>
      </c>
      <c r="L156" s="4" t="n">
        <f aca="false">ROUND(E156*Rubric!$B$4+F156*Rubric!$B$5+G156*Rubric!$B$6+H156*Rubric!$B$7+I156*Rubric!$B$8+J156*Rubric!$B$9+K156*Rubric!$B$10-IF(OR(G156&lt;Rubric!$B$12,J156&lt;Rubric!$B$12),Rubric!$B$13,0),2)</f>
        <v>7.8</v>
      </c>
      <c r="M156" s="4" t="n">
        <f aca="false">SUMIFS('Revision Log'!$M:$M,'Revision Log'!$N:$N,O156,'Revision Log'!$C:$C,0)</f>
        <v>7.8</v>
      </c>
      <c r="N156" s="16" t="n">
        <f aca="false">L156-M156</f>
        <v>0</v>
      </c>
      <c r="O156" s="14" t="n">
        <v>1164</v>
      </c>
    </row>
    <row r="157" customFormat="false" ht="23.85" hidden="false" customHeight="false" outlineLevel="0" collapsed="false">
      <c r="A157" s="2" t="s">
        <v>180</v>
      </c>
      <c r="B157" s="2" t="s">
        <v>181</v>
      </c>
      <c r="C157" s="14" t="n">
        <v>1</v>
      </c>
      <c r="D157" s="2" t="s">
        <v>501</v>
      </c>
      <c r="E157" s="15" t="n">
        <v>8</v>
      </c>
      <c r="F157" s="15" t="n">
        <v>8</v>
      </c>
      <c r="G157" s="15" t="n">
        <v>8</v>
      </c>
      <c r="H157" s="15" t="n">
        <v>3</v>
      </c>
      <c r="I157" s="15" t="n">
        <v>8</v>
      </c>
      <c r="J157" s="15" t="n">
        <v>8</v>
      </c>
      <c r="K157" s="15" t="n">
        <v>8</v>
      </c>
      <c r="L157" s="4" t="n">
        <f aca="false">ROUND(E157*Rubric!$B$4+F157*Rubric!$B$5+G157*Rubric!$B$6+H157*Rubric!$B$7+I157*Rubric!$B$8+J157*Rubric!$B$9+K157*Rubric!$B$10-IF(OR(G157&lt;Rubric!$B$12,J157&lt;Rubric!$B$12),Rubric!$B$13,0),2)</f>
        <v>7.5</v>
      </c>
      <c r="M157" s="4" t="n">
        <f aca="false">SUMIFS('Revision Log'!$M:$M,'Revision Log'!$N:$N,O157,'Revision Log'!$C:$C,0)</f>
        <v>6.75</v>
      </c>
      <c r="N157" s="16" t="n">
        <f aca="false">L157-M157</f>
        <v>0.75</v>
      </c>
      <c r="O157" s="14" t="n">
        <v>1170</v>
      </c>
    </row>
    <row r="158" customFormat="false" ht="23.85" hidden="false" customHeight="false" outlineLevel="0" collapsed="false">
      <c r="A158" s="2" t="s">
        <v>180</v>
      </c>
      <c r="B158" s="2" t="s">
        <v>181</v>
      </c>
      <c r="C158" s="14" t="n">
        <v>2</v>
      </c>
      <c r="D158" s="2" t="s">
        <v>502</v>
      </c>
      <c r="E158" s="15" t="n">
        <v>9</v>
      </c>
      <c r="F158" s="15" t="n">
        <v>9</v>
      </c>
      <c r="G158" s="15" t="n">
        <v>8</v>
      </c>
      <c r="H158" s="15" t="n">
        <v>3</v>
      </c>
      <c r="I158" s="15" t="n">
        <v>8</v>
      </c>
      <c r="J158" s="15" t="n">
        <v>9</v>
      </c>
      <c r="K158" s="15" t="n">
        <v>8</v>
      </c>
      <c r="L158" s="4" t="n">
        <f aca="false">ROUND(E158*Rubric!$B$4+F158*Rubric!$B$5+G158*Rubric!$B$6+H158*Rubric!$B$7+I158*Rubric!$B$8+J158*Rubric!$B$9+K158*Rubric!$B$10-IF(OR(G158&lt;Rubric!$B$12,J158&lt;Rubric!$B$12),Rubric!$B$13,0),2)</f>
        <v>7.8</v>
      </c>
      <c r="M158" s="4" t="n">
        <f aca="false">SUMIFS('Revision Log'!$M:$M,'Revision Log'!$N:$N,O158,'Revision Log'!$C:$C,0)</f>
        <v>7.1</v>
      </c>
      <c r="N158" s="16" t="n">
        <f aca="false">L158-M158</f>
        <v>0.7</v>
      </c>
      <c r="O158" s="14" t="n">
        <v>1171</v>
      </c>
    </row>
    <row r="159" customFormat="false" ht="23.85" hidden="false" customHeight="false" outlineLevel="0" collapsed="false">
      <c r="A159" s="2" t="s">
        <v>180</v>
      </c>
      <c r="B159" s="2" t="s">
        <v>181</v>
      </c>
      <c r="C159" s="14" t="n">
        <v>3</v>
      </c>
      <c r="D159" s="2" t="s">
        <v>359</v>
      </c>
      <c r="E159" s="15" t="n">
        <v>8</v>
      </c>
      <c r="F159" s="15" t="n">
        <v>8</v>
      </c>
      <c r="G159" s="15" t="n">
        <v>8</v>
      </c>
      <c r="H159" s="15" t="n">
        <v>4</v>
      </c>
      <c r="I159" s="15" t="n">
        <v>8</v>
      </c>
      <c r="J159" s="15" t="n">
        <v>8</v>
      </c>
      <c r="K159" s="15" t="n">
        <v>7</v>
      </c>
      <c r="L159" s="4" t="n">
        <f aca="false">ROUND(E159*Rubric!$B$4+F159*Rubric!$B$5+G159*Rubric!$B$6+H159*Rubric!$B$7+I159*Rubric!$B$8+J159*Rubric!$B$9+K159*Rubric!$B$10-IF(OR(G159&lt;Rubric!$B$12,J159&lt;Rubric!$B$12),Rubric!$B$13,0),2)</f>
        <v>7.5</v>
      </c>
      <c r="M159" s="4" t="n">
        <f aca="false">SUMIFS('Revision Log'!$M:$M,'Revision Log'!$N:$N,O159,'Revision Log'!$C:$C,0)</f>
        <v>6.6</v>
      </c>
      <c r="N159" s="16" t="n">
        <f aca="false">L159-M159</f>
        <v>0.9</v>
      </c>
      <c r="O159" s="14" t="n">
        <v>1172</v>
      </c>
    </row>
    <row r="160" customFormat="false" ht="23.85" hidden="false" customHeight="false" outlineLevel="0" collapsed="false">
      <c r="A160" s="2" t="s">
        <v>180</v>
      </c>
      <c r="B160" s="2" t="s">
        <v>181</v>
      </c>
      <c r="C160" s="14" t="n">
        <v>4</v>
      </c>
      <c r="D160" s="2" t="s">
        <v>492</v>
      </c>
      <c r="E160" s="15" t="n">
        <v>8</v>
      </c>
      <c r="F160" s="15" t="n">
        <v>8</v>
      </c>
      <c r="G160" s="15" t="n">
        <v>8</v>
      </c>
      <c r="H160" s="15" t="n">
        <v>2</v>
      </c>
      <c r="I160" s="15" t="n">
        <v>8</v>
      </c>
      <c r="J160" s="15" t="n">
        <v>8</v>
      </c>
      <c r="K160" s="15" t="n">
        <v>8</v>
      </c>
      <c r="L160" s="4" t="n">
        <f aca="false">ROUND(E160*Rubric!$B$4+F160*Rubric!$B$5+G160*Rubric!$B$6+H160*Rubric!$B$7+I160*Rubric!$B$8+J160*Rubric!$B$9+K160*Rubric!$B$10-IF(OR(G160&lt;Rubric!$B$12,J160&lt;Rubric!$B$12),Rubric!$B$13,0),2)</f>
        <v>7.4</v>
      </c>
      <c r="M160" s="4" t="n">
        <f aca="false">SUMIFS('Revision Log'!$M:$M,'Revision Log'!$N:$N,O160,'Revision Log'!$C:$C,0)</f>
        <v>6.75</v>
      </c>
      <c r="N160" s="16" t="n">
        <f aca="false">L160-M160</f>
        <v>0.65</v>
      </c>
      <c r="O160" s="14" t="n">
        <v>1173</v>
      </c>
    </row>
    <row r="161" customFormat="false" ht="23.85" hidden="false" customHeight="false" outlineLevel="0" collapsed="false">
      <c r="A161" s="2" t="s">
        <v>180</v>
      </c>
      <c r="B161" s="2" t="s">
        <v>181</v>
      </c>
      <c r="C161" s="14" t="n">
        <v>5</v>
      </c>
      <c r="D161" s="2" t="s">
        <v>503</v>
      </c>
      <c r="E161" s="15" t="n">
        <v>7</v>
      </c>
      <c r="F161" s="15" t="n">
        <v>8</v>
      </c>
      <c r="G161" s="15" t="n">
        <v>8</v>
      </c>
      <c r="H161" s="15" t="n">
        <v>4</v>
      </c>
      <c r="I161" s="15" t="n">
        <v>9</v>
      </c>
      <c r="J161" s="15" t="n">
        <v>8</v>
      </c>
      <c r="K161" s="15" t="n">
        <v>8</v>
      </c>
      <c r="L161" s="4" t="n">
        <f aca="false">ROUND(E161*Rubric!$B$4+F161*Rubric!$B$5+G161*Rubric!$B$6+H161*Rubric!$B$7+I161*Rubric!$B$8+J161*Rubric!$B$9+K161*Rubric!$B$10-IF(OR(G161&lt;Rubric!$B$12,J161&lt;Rubric!$B$12),Rubric!$B$13,0),2)</f>
        <v>7.95</v>
      </c>
      <c r="M161" s="4" t="n">
        <f aca="false">SUMIFS('Revision Log'!$M:$M,'Revision Log'!$N:$N,O161,'Revision Log'!$C:$C,0)</f>
        <v>6.6</v>
      </c>
      <c r="N161" s="16" t="n">
        <f aca="false">L161-M161</f>
        <v>1.35</v>
      </c>
      <c r="O161" s="14" t="n">
        <v>1174</v>
      </c>
    </row>
    <row r="162" customFormat="false" ht="23.85" hidden="false" customHeight="false" outlineLevel="0" collapsed="false">
      <c r="A162" s="2" t="s">
        <v>186</v>
      </c>
      <c r="B162" s="2" t="s">
        <v>187</v>
      </c>
      <c r="C162" s="14" t="n">
        <v>1</v>
      </c>
      <c r="D162" s="2" t="s">
        <v>504</v>
      </c>
      <c r="E162" s="15" t="n">
        <v>7</v>
      </c>
      <c r="F162" s="15" t="n">
        <v>8</v>
      </c>
      <c r="G162" s="15" t="n">
        <v>8</v>
      </c>
      <c r="H162" s="15" t="n">
        <v>4</v>
      </c>
      <c r="I162" s="15" t="n">
        <v>8</v>
      </c>
      <c r="J162" s="15" t="n">
        <v>7</v>
      </c>
      <c r="K162" s="15" t="n">
        <v>9</v>
      </c>
      <c r="L162" s="4" t="n">
        <f aca="false">ROUND(E162*Rubric!$B$4+F162*Rubric!$B$5+G162*Rubric!$B$6+H162*Rubric!$B$7+I162*Rubric!$B$8+J162*Rubric!$B$9+K162*Rubric!$B$10-IF(OR(G162&lt;Rubric!$B$12,J162&lt;Rubric!$B$12),Rubric!$B$13,0),2)</f>
        <v>7.55</v>
      </c>
      <c r="M162" s="4" t="n">
        <f aca="false">SUMIFS('Revision Log'!$M:$M,'Revision Log'!$N:$N,O162,'Revision Log'!$C:$C,0)</f>
        <v>6.3</v>
      </c>
      <c r="N162" s="16" t="n">
        <f aca="false">L162-M162</f>
        <v>1.25</v>
      </c>
      <c r="O162" s="14" t="n">
        <v>1180</v>
      </c>
    </row>
    <row r="163" customFormat="false" ht="23.85" hidden="false" customHeight="false" outlineLevel="0" collapsed="false">
      <c r="A163" s="2" t="s">
        <v>186</v>
      </c>
      <c r="B163" s="2" t="s">
        <v>187</v>
      </c>
      <c r="C163" s="14" t="n">
        <v>2</v>
      </c>
      <c r="D163" s="2" t="s">
        <v>505</v>
      </c>
      <c r="E163" s="15" t="n">
        <v>9</v>
      </c>
      <c r="F163" s="15" t="n">
        <v>9</v>
      </c>
      <c r="G163" s="15" t="n">
        <v>8</v>
      </c>
      <c r="H163" s="15" t="n">
        <v>3</v>
      </c>
      <c r="I163" s="15" t="n">
        <v>8</v>
      </c>
      <c r="J163" s="15" t="n">
        <v>9</v>
      </c>
      <c r="K163" s="15" t="n">
        <v>8</v>
      </c>
      <c r="L163" s="4" t="n">
        <f aca="false">ROUND(E163*Rubric!$B$4+F163*Rubric!$B$5+G163*Rubric!$B$6+H163*Rubric!$B$7+I163*Rubric!$B$8+J163*Rubric!$B$9+K163*Rubric!$B$10-IF(OR(G163&lt;Rubric!$B$12,J163&lt;Rubric!$B$12),Rubric!$B$13,0),2)</f>
        <v>7.8</v>
      </c>
      <c r="M163" s="4" t="n">
        <f aca="false">SUMIFS('Revision Log'!$M:$M,'Revision Log'!$N:$N,O163,'Revision Log'!$C:$C,0)</f>
        <v>6.7</v>
      </c>
      <c r="N163" s="16" t="n">
        <f aca="false">L163-M163</f>
        <v>1.1</v>
      </c>
      <c r="O163" s="14" t="n">
        <v>1181</v>
      </c>
    </row>
    <row r="164" customFormat="false" ht="23.85" hidden="false" customHeight="false" outlineLevel="0" collapsed="false">
      <c r="A164" s="2" t="s">
        <v>186</v>
      </c>
      <c r="B164" s="2" t="s">
        <v>187</v>
      </c>
      <c r="C164" s="14" t="n">
        <v>3</v>
      </c>
      <c r="D164" s="2" t="s">
        <v>506</v>
      </c>
      <c r="E164" s="15" t="n">
        <v>9</v>
      </c>
      <c r="F164" s="15" t="n">
        <v>9</v>
      </c>
      <c r="G164" s="15" t="n">
        <v>8</v>
      </c>
      <c r="H164" s="15" t="n">
        <v>3</v>
      </c>
      <c r="I164" s="15" t="n">
        <v>7</v>
      </c>
      <c r="J164" s="15" t="n">
        <v>9</v>
      </c>
      <c r="K164" s="15" t="n">
        <v>9</v>
      </c>
      <c r="L164" s="4" t="n">
        <f aca="false">ROUND(E164*Rubric!$B$4+F164*Rubric!$B$5+G164*Rubric!$B$6+H164*Rubric!$B$7+I164*Rubric!$B$8+J164*Rubric!$B$9+K164*Rubric!$B$10-IF(OR(G164&lt;Rubric!$B$12,J164&lt;Rubric!$B$12),Rubric!$B$13,0),2)</f>
        <v>7.5</v>
      </c>
      <c r="M164" s="4" t="n">
        <f aca="false">SUMIFS('Revision Log'!$M:$M,'Revision Log'!$N:$N,O164,'Revision Log'!$C:$C,0)</f>
        <v>6.2</v>
      </c>
      <c r="N164" s="16" t="n">
        <f aca="false">L164-M164</f>
        <v>1.3</v>
      </c>
      <c r="O164" s="14" t="n">
        <v>1182</v>
      </c>
    </row>
    <row r="165" customFormat="false" ht="23.85" hidden="false" customHeight="false" outlineLevel="0" collapsed="false">
      <c r="A165" s="2" t="s">
        <v>186</v>
      </c>
      <c r="B165" s="2" t="s">
        <v>187</v>
      </c>
      <c r="C165" s="14" t="n">
        <v>4</v>
      </c>
      <c r="D165" s="2" t="s">
        <v>507</v>
      </c>
      <c r="E165" s="15" t="n">
        <v>7</v>
      </c>
      <c r="F165" s="15" t="n">
        <v>8</v>
      </c>
      <c r="G165" s="15" t="n">
        <v>7</v>
      </c>
      <c r="H165" s="15" t="n">
        <v>10</v>
      </c>
      <c r="I165" s="15" t="n">
        <v>8</v>
      </c>
      <c r="J165" s="15" t="n">
        <v>7</v>
      </c>
      <c r="K165" s="15" t="n">
        <v>9</v>
      </c>
      <c r="L165" s="4" t="n">
        <f aca="false">ROUND(E165*Rubric!$B$4+F165*Rubric!$B$5+G165*Rubric!$B$6+H165*Rubric!$B$7+I165*Rubric!$B$8+J165*Rubric!$B$9+K165*Rubric!$B$10-IF(OR(G165&lt;Rubric!$B$12,J165&lt;Rubric!$B$12),Rubric!$B$13,0),2)</f>
        <v>8.05</v>
      </c>
      <c r="M165" s="4" t="n">
        <f aca="false">SUMIFS('Revision Log'!$M:$M,'Revision Log'!$N:$N,O165,'Revision Log'!$C:$C,0)</f>
        <v>6.05</v>
      </c>
      <c r="N165" s="16" t="n">
        <f aca="false">L165-M165</f>
        <v>2</v>
      </c>
      <c r="O165" s="14" t="n">
        <v>1183</v>
      </c>
    </row>
    <row r="166" customFormat="false" ht="23.85" hidden="false" customHeight="false" outlineLevel="0" collapsed="false">
      <c r="A166" s="2" t="s">
        <v>186</v>
      </c>
      <c r="B166" s="2" t="s">
        <v>187</v>
      </c>
      <c r="C166" s="14" t="n">
        <v>5</v>
      </c>
      <c r="D166" s="2" t="s">
        <v>508</v>
      </c>
      <c r="E166" s="15" t="n">
        <v>7</v>
      </c>
      <c r="F166" s="15" t="n">
        <v>8</v>
      </c>
      <c r="G166" s="15" t="n">
        <v>8</v>
      </c>
      <c r="H166" s="15" t="n">
        <v>5</v>
      </c>
      <c r="I166" s="15" t="n">
        <v>8</v>
      </c>
      <c r="J166" s="15" t="n">
        <v>8</v>
      </c>
      <c r="K166" s="15" t="n">
        <v>8</v>
      </c>
      <c r="L166" s="4" t="n">
        <f aca="false">ROUND(E166*Rubric!$B$4+F166*Rubric!$B$5+G166*Rubric!$B$6+H166*Rubric!$B$7+I166*Rubric!$B$8+J166*Rubric!$B$9+K166*Rubric!$B$10-IF(OR(G166&lt;Rubric!$B$12,J166&lt;Rubric!$B$12),Rubric!$B$13,0),2)</f>
        <v>7.65</v>
      </c>
      <c r="M166" s="4" t="n">
        <f aca="false">SUMIFS('Revision Log'!$M:$M,'Revision Log'!$N:$N,O166,'Revision Log'!$C:$C,0)</f>
        <v>5.9</v>
      </c>
      <c r="N166" s="16" t="n">
        <f aca="false">L166-M166</f>
        <v>1.75</v>
      </c>
      <c r="O166" s="14" t="n">
        <v>1184</v>
      </c>
    </row>
    <row r="167" customFormat="false" ht="23.85" hidden="false" customHeight="false" outlineLevel="0" collapsed="false">
      <c r="A167" s="2" t="s">
        <v>192</v>
      </c>
      <c r="B167" s="2" t="s">
        <v>193</v>
      </c>
      <c r="C167" s="14" t="n">
        <v>1</v>
      </c>
      <c r="D167" s="2" t="s">
        <v>484</v>
      </c>
      <c r="E167" s="15" t="n">
        <v>8</v>
      </c>
      <c r="F167" s="15" t="n">
        <v>8</v>
      </c>
      <c r="G167" s="15" t="n">
        <v>8</v>
      </c>
      <c r="H167" s="15" t="n">
        <v>3</v>
      </c>
      <c r="I167" s="15" t="n">
        <v>9</v>
      </c>
      <c r="J167" s="15" t="n">
        <v>8</v>
      </c>
      <c r="K167" s="15" t="n">
        <v>7</v>
      </c>
      <c r="L167" s="4" t="n">
        <f aca="false">ROUND(E167*Rubric!$B$4+F167*Rubric!$B$5+G167*Rubric!$B$6+H167*Rubric!$B$7+I167*Rubric!$B$8+J167*Rubric!$B$9+K167*Rubric!$B$10-IF(OR(G167&lt;Rubric!$B$12,J167&lt;Rubric!$B$12),Rubric!$B$13,0),2)</f>
        <v>7.8</v>
      </c>
      <c r="M167" s="4" t="n">
        <f aca="false">SUMIFS('Revision Log'!$M:$M,'Revision Log'!$N:$N,O167,'Revision Log'!$C:$C,0)</f>
        <v>6.65</v>
      </c>
      <c r="N167" s="16" t="n">
        <f aca="false">L167-M167</f>
        <v>1.15</v>
      </c>
      <c r="O167" s="14" t="n">
        <v>1190</v>
      </c>
    </row>
    <row r="168" customFormat="false" ht="23.85" hidden="false" customHeight="false" outlineLevel="0" collapsed="false">
      <c r="A168" s="2" t="s">
        <v>192</v>
      </c>
      <c r="B168" s="2" t="s">
        <v>193</v>
      </c>
      <c r="C168" s="14" t="n">
        <v>2</v>
      </c>
      <c r="D168" s="2" t="s">
        <v>509</v>
      </c>
      <c r="E168" s="15" t="n">
        <v>8</v>
      </c>
      <c r="F168" s="15" t="n">
        <v>7</v>
      </c>
      <c r="G168" s="15" t="n">
        <v>7</v>
      </c>
      <c r="H168" s="15" t="n">
        <v>3</v>
      </c>
      <c r="I168" s="15" t="n">
        <v>9</v>
      </c>
      <c r="J168" s="15" t="n">
        <v>7</v>
      </c>
      <c r="K168" s="15" t="n">
        <v>8</v>
      </c>
      <c r="L168" s="4" t="n">
        <f aca="false">ROUND(E168*Rubric!$B$4+F168*Rubric!$B$5+G168*Rubric!$B$6+H168*Rubric!$B$7+I168*Rubric!$B$8+J168*Rubric!$B$9+K168*Rubric!$B$10-IF(OR(G168&lt;Rubric!$B$12,J168&lt;Rubric!$B$12),Rubric!$B$13,0),2)</f>
        <v>7.55</v>
      </c>
      <c r="M168" s="4" t="n">
        <f aca="false">SUMIFS('Revision Log'!$M:$M,'Revision Log'!$N:$N,O168,'Revision Log'!$C:$C,0)</f>
        <v>7</v>
      </c>
      <c r="N168" s="16" t="n">
        <f aca="false">L168-M168</f>
        <v>0.55</v>
      </c>
      <c r="O168" s="14" t="n">
        <v>1191</v>
      </c>
    </row>
    <row r="169" customFormat="false" ht="15" hidden="false" customHeight="false" outlineLevel="0" collapsed="false">
      <c r="A169" s="2" t="s">
        <v>192</v>
      </c>
      <c r="B169" s="2" t="s">
        <v>193</v>
      </c>
      <c r="C169" s="14" t="n">
        <v>3</v>
      </c>
      <c r="D169" s="2" t="s">
        <v>510</v>
      </c>
      <c r="E169" s="15" t="n">
        <v>9</v>
      </c>
      <c r="F169" s="15" t="n">
        <v>9</v>
      </c>
      <c r="G169" s="15" t="n">
        <v>8</v>
      </c>
      <c r="H169" s="15" t="n">
        <v>3</v>
      </c>
      <c r="I169" s="15" t="n">
        <v>8</v>
      </c>
      <c r="J169" s="15" t="n">
        <v>8</v>
      </c>
      <c r="K169" s="15" t="n">
        <v>8</v>
      </c>
      <c r="L169" s="4" t="n">
        <f aca="false">ROUND(E169*Rubric!$B$4+F169*Rubric!$B$5+G169*Rubric!$B$6+H169*Rubric!$B$7+I169*Rubric!$B$8+J169*Rubric!$B$9+K169*Rubric!$B$10-IF(OR(G169&lt;Rubric!$B$12,J169&lt;Rubric!$B$12),Rubric!$B$13,0),2)</f>
        <v>7.7</v>
      </c>
      <c r="M169" s="4" t="n">
        <f aca="false">SUMIFS('Revision Log'!$M:$M,'Revision Log'!$N:$N,O169,'Revision Log'!$C:$C,0)</f>
        <v>6.8</v>
      </c>
      <c r="N169" s="16" t="n">
        <f aca="false">L169-M169</f>
        <v>0.9</v>
      </c>
      <c r="O169" s="14" t="n">
        <v>1192</v>
      </c>
    </row>
    <row r="170" customFormat="false" ht="15" hidden="false" customHeight="false" outlineLevel="0" collapsed="false">
      <c r="A170" s="2" t="s">
        <v>192</v>
      </c>
      <c r="B170" s="2" t="s">
        <v>193</v>
      </c>
      <c r="C170" s="14" t="n">
        <v>4</v>
      </c>
      <c r="D170" s="2" t="s">
        <v>511</v>
      </c>
      <c r="E170" s="15" t="n">
        <v>9</v>
      </c>
      <c r="F170" s="15" t="n">
        <v>9</v>
      </c>
      <c r="G170" s="15" t="n">
        <v>8</v>
      </c>
      <c r="H170" s="15" t="n">
        <v>3</v>
      </c>
      <c r="I170" s="15" t="n">
        <v>8</v>
      </c>
      <c r="J170" s="15" t="n">
        <v>9</v>
      </c>
      <c r="K170" s="15" t="n">
        <v>8</v>
      </c>
      <c r="L170" s="4" t="n">
        <f aca="false">ROUND(E170*Rubric!$B$4+F170*Rubric!$B$5+G170*Rubric!$B$6+H170*Rubric!$B$7+I170*Rubric!$B$8+J170*Rubric!$B$9+K170*Rubric!$B$10-IF(OR(G170&lt;Rubric!$B$12,J170&lt;Rubric!$B$12),Rubric!$B$13,0),2)</f>
        <v>7.8</v>
      </c>
      <c r="M170" s="4" t="n">
        <f aca="false">SUMIFS('Revision Log'!$M:$M,'Revision Log'!$N:$N,O170,'Revision Log'!$C:$C,0)</f>
        <v>6.15</v>
      </c>
      <c r="N170" s="16" t="n">
        <f aca="false">L170-M170</f>
        <v>1.65</v>
      </c>
      <c r="O170" s="14" t="n">
        <v>1193</v>
      </c>
    </row>
    <row r="171" customFormat="false" ht="23.85" hidden="false" customHeight="false" outlineLevel="0" collapsed="false">
      <c r="A171" s="2" t="s">
        <v>192</v>
      </c>
      <c r="B171" s="2" t="s">
        <v>193</v>
      </c>
      <c r="C171" s="14" t="n">
        <v>5</v>
      </c>
      <c r="D171" s="2" t="s">
        <v>512</v>
      </c>
      <c r="E171" s="15" t="n">
        <v>7</v>
      </c>
      <c r="F171" s="15" t="n">
        <v>8</v>
      </c>
      <c r="G171" s="15" t="n">
        <v>8</v>
      </c>
      <c r="H171" s="15" t="n">
        <v>3</v>
      </c>
      <c r="I171" s="15" t="n">
        <v>9</v>
      </c>
      <c r="J171" s="15" t="n">
        <v>7</v>
      </c>
      <c r="K171" s="15" t="n">
        <v>7</v>
      </c>
      <c r="L171" s="4" t="n">
        <f aca="false">ROUND(E171*Rubric!$B$4+F171*Rubric!$B$5+G171*Rubric!$B$6+H171*Rubric!$B$7+I171*Rubric!$B$8+J171*Rubric!$B$9+K171*Rubric!$B$10-IF(OR(G171&lt;Rubric!$B$12,J171&lt;Rubric!$B$12),Rubric!$B$13,0),2)</f>
        <v>7.65</v>
      </c>
      <c r="M171" s="4" t="n">
        <f aca="false">SUMIFS('Revision Log'!$M:$M,'Revision Log'!$N:$N,O171,'Revision Log'!$C:$C,0)</f>
        <v>6.9</v>
      </c>
      <c r="N171" s="16" t="n">
        <f aca="false">L171-M171</f>
        <v>0.75</v>
      </c>
      <c r="O171" s="14" t="n">
        <v>1194</v>
      </c>
    </row>
    <row r="172" customFormat="false" ht="23.85" hidden="false" customHeight="false" outlineLevel="0" collapsed="false">
      <c r="A172" s="2" t="s">
        <v>197</v>
      </c>
      <c r="B172" s="2" t="s">
        <v>198</v>
      </c>
      <c r="C172" s="14" t="n">
        <v>1</v>
      </c>
      <c r="D172" s="2" t="s">
        <v>513</v>
      </c>
      <c r="E172" s="15" t="n">
        <v>7</v>
      </c>
      <c r="F172" s="15" t="n">
        <v>8</v>
      </c>
      <c r="G172" s="15" t="n">
        <v>8</v>
      </c>
      <c r="H172" s="15" t="n">
        <v>3</v>
      </c>
      <c r="I172" s="15" t="n">
        <v>8</v>
      </c>
      <c r="J172" s="15" t="n">
        <v>8</v>
      </c>
      <c r="K172" s="15" t="n">
        <v>7</v>
      </c>
      <c r="L172" s="4" t="n">
        <f aca="false">ROUND(E172*Rubric!$B$4+F172*Rubric!$B$5+G172*Rubric!$B$6+H172*Rubric!$B$7+I172*Rubric!$B$8+J172*Rubric!$B$9+K172*Rubric!$B$10-IF(OR(G172&lt;Rubric!$B$12,J172&lt;Rubric!$B$12),Rubric!$B$13,0),2)</f>
        <v>7.35</v>
      </c>
      <c r="M172" s="4" t="n">
        <f aca="false">SUMIFS('Revision Log'!$M:$M,'Revision Log'!$N:$N,O172,'Revision Log'!$C:$C,0)</f>
        <v>5.95</v>
      </c>
      <c r="N172" s="16" t="n">
        <f aca="false">L172-M172</f>
        <v>1.4</v>
      </c>
      <c r="O172" s="14" t="n">
        <v>1200</v>
      </c>
    </row>
    <row r="173" customFormat="false" ht="23.85" hidden="false" customHeight="false" outlineLevel="0" collapsed="false">
      <c r="A173" s="2" t="s">
        <v>197</v>
      </c>
      <c r="B173" s="2" t="s">
        <v>198</v>
      </c>
      <c r="C173" s="14" t="n">
        <v>2</v>
      </c>
      <c r="D173" s="2" t="s">
        <v>514</v>
      </c>
      <c r="E173" s="15" t="n">
        <v>8</v>
      </c>
      <c r="F173" s="15" t="n">
        <v>8</v>
      </c>
      <c r="G173" s="15" t="n">
        <v>8</v>
      </c>
      <c r="H173" s="15" t="n">
        <v>4</v>
      </c>
      <c r="I173" s="15" t="n">
        <v>8</v>
      </c>
      <c r="J173" s="15" t="n">
        <v>7</v>
      </c>
      <c r="K173" s="15" t="n">
        <v>8</v>
      </c>
      <c r="L173" s="4" t="n">
        <f aca="false">ROUND(E173*Rubric!$B$4+F173*Rubric!$B$5+G173*Rubric!$B$6+H173*Rubric!$B$7+I173*Rubric!$B$8+J173*Rubric!$B$9+K173*Rubric!$B$10-IF(OR(G173&lt;Rubric!$B$12,J173&lt;Rubric!$B$12),Rubric!$B$13,0),2)</f>
        <v>7.5</v>
      </c>
      <c r="M173" s="4" t="n">
        <f aca="false">SUMIFS('Revision Log'!$M:$M,'Revision Log'!$N:$N,O173,'Revision Log'!$C:$C,0)</f>
        <v>6.2</v>
      </c>
      <c r="N173" s="16" t="n">
        <f aca="false">L173-M173</f>
        <v>1.3</v>
      </c>
      <c r="O173" s="14" t="n">
        <v>1201</v>
      </c>
    </row>
    <row r="174" customFormat="false" ht="23.85" hidden="false" customHeight="false" outlineLevel="0" collapsed="false">
      <c r="A174" s="2" t="s">
        <v>197</v>
      </c>
      <c r="B174" s="2" t="s">
        <v>198</v>
      </c>
      <c r="C174" s="14" t="n">
        <v>3</v>
      </c>
      <c r="D174" s="2" t="s">
        <v>515</v>
      </c>
      <c r="E174" s="15" t="n">
        <v>7</v>
      </c>
      <c r="F174" s="15" t="n">
        <v>9</v>
      </c>
      <c r="G174" s="15" t="n">
        <v>7</v>
      </c>
      <c r="H174" s="15" t="n">
        <v>3</v>
      </c>
      <c r="I174" s="15" t="n">
        <v>9</v>
      </c>
      <c r="J174" s="15" t="n">
        <v>9</v>
      </c>
      <c r="K174" s="15" t="n">
        <v>9</v>
      </c>
      <c r="L174" s="4" t="n">
        <f aca="false">ROUND(E174*Rubric!$B$4+F174*Rubric!$B$5+G174*Rubric!$B$6+H174*Rubric!$B$7+I174*Rubric!$B$8+J174*Rubric!$B$9+K174*Rubric!$B$10-IF(OR(G174&lt;Rubric!$B$12,J174&lt;Rubric!$B$12),Rubric!$B$13,0),2)</f>
        <v>8.1</v>
      </c>
      <c r="M174" s="4" t="n">
        <f aca="false">SUMIFS('Revision Log'!$M:$M,'Revision Log'!$N:$N,O174,'Revision Log'!$C:$C,0)</f>
        <v>6.2</v>
      </c>
      <c r="N174" s="16" t="n">
        <f aca="false">L174-M174</f>
        <v>1.9</v>
      </c>
      <c r="O174" s="14" t="n">
        <v>1202</v>
      </c>
    </row>
    <row r="175" customFormat="false" ht="23.85" hidden="false" customHeight="false" outlineLevel="0" collapsed="false">
      <c r="A175" s="2" t="s">
        <v>197</v>
      </c>
      <c r="B175" s="2" t="s">
        <v>198</v>
      </c>
      <c r="C175" s="14" t="n">
        <v>4</v>
      </c>
      <c r="D175" s="2" t="s">
        <v>516</v>
      </c>
      <c r="E175" s="15" t="n">
        <v>8</v>
      </c>
      <c r="F175" s="15" t="n">
        <v>8</v>
      </c>
      <c r="G175" s="15" t="n">
        <v>8</v>
      </c>
      <c r="H175" s="15" t="n">
        <v>3</v>
      </c>
      <c r="I175" s="15" t="n">
        <v>8</v>
      </c>
      <c r="J175" s="15" t="n">
        <v>8</v>
      </c>
      <c r="K175" s="15" t="n">
        <v>7</v>
      </c>
      <c r="L175" s="4" t="n">
        <f aca="false">ROUND(E175*Rubric!$B$4+F175*Rubric!$B$5+G175*Rubric!$B$6+H175*Rubric!$B$7+I175*Rubric!$B$8+J175*Rubric!$B$9+K175*Rubric!$B$10-IF(OR(G175&lt;Rubric!$B$12,J175&lt;Rubric!$B$12),Rubric!$B$13,0),2)</f>
        <v>7.4</v>
      </c>
      <c r="M175" s="4" t="n">
        <f aca="false">SUMIFS('Revision Log'!$M:$M,'Revision Log'!$N:$N,O175,'Revision Log'!$C:$C,0)</f>
        <v>6.3</v>
      </c>
      <c r="N175" s="16" t="n">
        <f aca="false">L175-M175</f>
        <v>1.1</v>
      </c>
      <c r="O175" s="14" t="n">
        <v>1203</v>
      </c>
    </row>
    <row r="176" customFormat="false" ht="23.85" hidden="false" customHeight="false" outlineLevel="0" collapsed="false">
      <c r="A176" s="2" t="s">
        <v>197</v>
      </c>
      <c r="B176" s="2" t="s">
        <v>198</v>
      </c>
      <c r="C176" s="14" t="n">
        <v>5</v>
      </c>
      <c r="D176" s="2" t="s">
        <v>517</v>
      </c>
      <c r="E176" s="15" t="n">
        <v>7</v>
      </c>
      <c r="F176" s="15" t="n">
        <v>8</v>
      </c>
      <c r="G176" s="15" t="n">
        <v>8</v>
      </c>
      <c r="H176" s="15" t="n">
        <v>3</v>
      </c>
      <c r="I176" s="15" t="n">
        <v>9</v>
      </c>
      <c r="J176" s="15" t="n">
        <v>8</v>
      </c>
      <c r="K176" s="15" t="n">
        <v>8</v>
      </c>
      <c r="L176" s="4" t="n">
        <f aca="false">ROUND(E176*Rubric!$B$4+F176*Rubric!$B$5+G176*Rubric!$B$6+H176*Rubric!$B$7+I176*Rubric!$B$8+J176*Rubric!$B$9+K176*Rubric!$B$10-IF(OR(G176&lt;Rubric!$B$12,J176&lt;Rubric!$B$12),Rubric!$B$13,0),2)</f>
        <v>7.85</v>
      </c>
      <c r="M176" s="4" t="n">
        <f aca="false">SUMIFS('Revision Log'!$M:$M,'Revision Log'!$N:$N,O176,'Revision Log'!$C:$C,0)</f>
        <v>6.6</v>
      </c>
      <c r="N176" s="16" t="n">
        <f aca="false">L176-M176</f>
        <v>1.25</v>
      </c>
      <c r="O176" s="14" t="n">
        <v>1204</v>
      </c>
    </row>
    <row r="177" customFormat="false" ht="23.85" hidden="false" customHeight="false" outlineLevel="0" collapsed="false">
      <c r="A177" s="2" t="s">
        <v>203</v>
      </c>
      <c r="B177" s="2" t="s">
        <v>204</v>
      </c>
      <c r="C177" s="14" t="n">
        <v>1</v>
      </c>
      <c r="D177" s="2" t="s">
        <v>513</v>
      </c>
      <c r="E177" s="15" t="n">
        <v>7</v>
      </c>
      <c r="F177" s="15" t="n">
        <v>8</v>
      </c>
      <c r="G177" s="15" t="n">
        <v>8</v>
      </c>
      <c r="H177" s="15" t="n">
        <v>3</v>
      </c>
      <c r="I177" s="15" t="n">
        <v>8</v>
      </c>
      <c r="J177" s="15" t="n">
        <v>8</v>
      </c>
      <c r="K177" s="15" t="n">
        <v>7</v>
      </c>
      <c r="L177" s="4" t="n">
        <f aca="false">ROUND(E177*Rubric!$B$4+F177*Rubric!$B$5+G177*Rubric!$B$6+H177*Rubric!$B$7+I177*Rubric!$B$8+J177*Rubric!$B$9+K177*Rubric!$B$10-IF(OR(G177&lt;Rubric!$B$12,J177&lt;Rubric!$B$12),Rubric!$B$13,0),2)</f>
        <v>7.35</v>
      </c>
      <c r="M177" s="4" t="n">
        <f aca="false">SUMIFS('Revision Log'!$M:$M,'Revision Log'!$N:$N,O177,'Revision Log'!$C:$C,0)</f>
        <v>5.95</v>
      </c>
      <c r="N177" s="16" t="n">
        <f aca="false">L177-M177</f>
        <v>1.4</v>
      </c>
      <c r="O177" s="14" t="n">
        <v>1210</v>
      </c>
    </row>
    <row r="178" customFormat="false" ht="23.85" hidden="false" customHeight="false" outlineLevel="0" collapsed="false">
      <c r="A178" s="2" t="s">
        <v>203</v>
      </c>
      <c r="B178" s="2" t="s">
        <v>204</v>
      </c>
      <c r="C178" s="14" t="n">
        <v>2</v>
      </c>
      <c r="D178" s="2" t="s">
        <v>514</v>
      </c>
      <c r="E178" s="15" t="n">
        <v>8</v>
      </c>
      <c r="F178" s="15" t="n">
        <v>8</v>
      </c>
      <c r="G178" s="15" t="n">
        <v>8</v>
      </c>
      <c r="H178" s="15" t="n">
        <v>4</v>
      </c>
      <c r="I178" s="15" t="n">
        <v>8</v>
      </c>
      <c r="J178" s="15" t="n">
        <v>7</v>
      </c>
      <c r="K178" s="15" t="n">
        <v>8</v>
      </c>
      <c r="L178" s="4" t="n">
        <f aca="false">ROUND(E178*Rubric!$B$4+F178*Rubric!$B$5+G178*Rubric!$B$6+H178*Rubric!$B$7+I178*Rubric!$B$8+J178*Rubric!$B$9+K178*Rubric!$B$10-IF(OR(G178&lt;Rubric!$B$12,J178&lt;Rubric!$B$12),Rubric!$B$13,0),2)</f>
        <v>7.5</v>
      </c>
      <c r="M178" s="4" t="n">
        <f aca="false">SUMIFS('Revision Log'!$M:$M,'Revision Log'!$N:$N,O178,'Revision Log'!$C:$C,0)</f>
        <v>6.2</v>
      </c>
      <c r="N178" s="16" t="n">
        <f aca="false">L178-M178</f>
        <v>1.3</v>
      </c>
      <c r="O178" s="14" t="n">
        <v>1211</v>
      </c>
    </row>
    <row r="179" customFormat="false" ht="23.85" hidden="false" customHeight="false" outlineLevel="0" collapsed="false">
      <c r="A179" s="2" t="s">
        <v>203</v>
      </c>
      <c r="B179" s="2" t="s">
        <v>204</v>
      </c>
      <c r="C179" s="14" t="n">
        <v>3</v>
      </c>
      <c r="D179" s="2" t="s">
        <v>515</v>
      </c>
      <c r="E179" s="15" t="n">
        <v>7</v>
      </c>
      <c r="F179" s="15" t="n">
        <v>9</v>
      </c>
      <c r="G179" s="15" t="n">
        <v>7</v>
      </c>
      <c r="H179" s="15" t="n">
        <v>3</v>
      </c>
      <c r="I179" s="15" t="n">
        <v>9</v>
      </c>
      <c r="J179" s="15" t="n">
        <v>9</v>
      </c>
      <c r="K179" s="15" t="n">
        <v>9</v>
      </c>
      <c r="L179" s="4" t="n">
        <f aca="false">ROUND(E179*Rubric!$B$4+F179*Rubric!$B$5+G179*Rubric!$B$6+H179*Rubric!$B$7+I179*Rubric!$B$8+J179*Rubric!$B$9+K179*Rubric!$B$10-IF(OR(G179&lt;Rubric!$B$12,J179&lt;Rubric!$B$12),Rubric!$B$13,0),2)</f>
        <v>8.1</v>
      </c>
      <c r="M179" s="4" t="n">
        <f aca="false">SUMIFS('Revision Log'!$M:$M,'Revision Log'!$N:$N,O179,'Revision Log'!$C:$C,0)</f>
        <v>6.2</v>
      </c>
      <c r="N179" s="16" t="n">
        <f aca="false">L179-M179</f>
        <v>1.9</v>
      </c>
      <c r="O179" s="14" t="n">
        <v>1212</v>
      </c>
    </row>
    <row r="180" customFormat="false" ht="23.85" hidden="false" customHeight="false" outlineLevel="0" collapsed="false">
      <c r="A180" s="2" t="s">
        <v>203</v>
      </c>
      <c r="B180" s="2" t="s">
        <v>204</v>
      </c>
      <c r="C180" s="14" t="n">
        <v>4</v>
      </c>
      <c r="D180" s="2" t="s">
        <v>516</v>
      </c>
      <c r="E180" s="15" t="n">
        <v>8</v>
      </c>
      <c r="F180" s="15" t="n">
        <v>8</v>
      </c>
      <c r="G180" s="15" t="n">
        <v>8</v>
      </c>
      <c r="H180" s="15" t="n">
        <v>3</v>
      </c>
      <c r="I180" s="15" t="n">
        <v>8</v>
      </c>
      <c r="J180" s="15" t="n">
        <v>8</v>
      </c>
      <c r="K180" s="15" t="n">
        <v>7</v>
      </c>
      <c r="L180" s="4" t="n">
        <f aca="false">ROUND(E180*Rubric!$B$4+F180*Rubric!$B$5+G180*Rubric!$B$6+H180*Rubric!$B$7+I180*Rubric!$B$8+J180*Rubric!$B$9+K180*Rubric!$B$10-IF(OR(G180&lt;Rubric!$B$12,J180&lt;Rubric!$B$12),Rubric!$B$13,0),2)</f>
        <v>7.4</v>
      </c>
      <c r="M180" s="4" t="n">
        <f aca="false">SUMIFS('Revision Log'!$M:$M,'Revision Log'!$N:$N,O180,'Revision Log'!$C:$C,0)</f>
        <v>6.3</v>
      </c>
      <c r="N180" s="16" t="n">
        <f aca="false">L180-M180</f>
        <v>1.1</v>
      </c>
      <c r="O180" s="14" t="n">
        <v>1213</v>
      </c>
    </row>
    <row r="181" customFormat="false" ht="23.85" hidden="false" customHeight="false" outlineLevel="0" collapsed="false">
      <c r="A181" s="2" t="s">
        <v>203</v>
      </c>
      <c r="B181" s="2" t="s">
        <v>204</v>
      </c>
      <c r="C181" s="14" t="n">
        <v>5</v>
      </c>
      <c r="D181" s="2" t="s">
        <v>517</v>
      </c>
      <c r="E181" s="15" t="n">
        <v>7</v>
      </c>
      <c r="F181" s="15" t="n">
        <v>8</v>
      </c>
      <c r="G181" s="15" t="n">
        <v>8</v>
      </c>
      <c r="H181" s="15" t="n">
        <v>3</v>
      </c>
      <c r="I181" s="15" t="n">
        <v>9</v>
      </c>
      <c r="J181" s="15" t="n">
        <v>8</v>
      </c>
      <c r="K181" s="15" t="n">
        <v>8</v>
      </c>
      <c r="L181" s="4" t="n">
        <f aca="false">ROUND(E181*Rubric!$B$4+F181*Rubric!$B$5+G181*Rubric!$B$6+H181*Rubric!$B$7+I181*Rubric!$B$8+J181*Rubric!$B$9+K181*Rubric!$B$10-IF(OR(G181&lt;Rubric!$B$12,J181&lt;Rubric!$B$12),Rubric!$B$13,0),2)</f>
        <v>7.85</v>
      </c>
      <c r="M181" s="4" t="n">
        <f aca="false">SUMIFS('Revision Log'!$M:$M,'Revision Log'!$N:$N,O181,'Revision Log'!$C:$C,0)</f>
        <v>6.6</v>
      </c>
      <c r="N181" s="16" t="n">
        <f aca="false">L181-M181</f>
        <v>1.25</v>
      </c>
      <c r="O181" s="14" t="n">
        <v>1214</v>
      </c>
    </row>
    <row r="182" customFormat="false" ht="23.85" hidden="false" customHeight="false" outlineLevel="0" collapsed="false">
      <c r="A182" s="2" t="s">
        <v>208</v>
      </c>
      <c r="B182" s="2" t="s">
        <v>209</v>
      </c>
      <c r="C182" s="14" t="n">
        <v>1</v>
      </c>
      <c r="D182" s="2" t="s">
        <v>518</v>
      </c>
      <c r="E182" s="15" t="n">
        <v>8</v>
      </c>
      <c r="F182" s="15" t="n">
        <v>9</v>
      </c>
      <c r="G182" s="15" t="n">
        <v>7</v>
      </c>
      <c r="H182" s="15" t="n">
        <v>3</v>
      </c>
      <c r="I182" s="15" t="n">
        <v>10</v>
      </c>
      <c r="J182" s="15" t="n">
        <v>9</v>
      </c>
      <c r="K182" s="15" t="n">
        <v>9</v>
      </c>
      <c r="L182" s="4" t="n">
        <f aca="false">ROUND(E182*Rubric!$B$4+F182*Rubric!$B$5+G182*Rubric!$B$6+H182*Rubric!$B$7+I182*Rubric!$B$8+J182*Rubric!$B$9+K182*Rubric!$B$10-IF(OR(G182&lt;Rubric!$B$12,J182&lt;Rubric!$B$12),Rubric!$B$13,0),2)</f>
        <v>8.55</v>
      </c>
      <c r="M182" s="4" t="n">
        <f aca="false">SUMIFS('Revision Log'!$M:$M,'Revision Log'!$N:$N,O182,'Revision Log'!$C:$C,0)</f>
        <v>7.5</v>
      </c>
      <c r="N182" s="16" t="n">
        <f aca="false">L182-M182</f>
        <v>1.05</v>
      </c>
      <c r="O182" s="14" t="n">
        <v>1220</v>
      </c>
    </row>
    <row r="183" customFormat="false" ht="23.85" hidden="false" customHeight="false" outlineLevel="0" collapsed="false">
      <c r="A183" s="2" t="s">
        <v>208</v>
      </c>
      <c r="B183" s="2" t="s">
        <v>209</v>
      </c>
      <c r="C183" s="14" t="n">
        <v>2</v>
      </c>
      <c r="D183" s="2" t="s">
        <v>420</v>
      </c>
      <c r="E183" s="15" t="n">
        <v>6</v>
      </c>
      <c r="F183" s="15" t="n">
        <v>8</v>
      </c>
      <c r="G183" s="15" t="n">
        <v>8</v>
      </c>
      <c r="H183" s="15" t="n">
        <v>3</v>
      </c>
      <c r="I183" s="15" t="n">
        <v>9</v>
      </c>
      <c r="J183" s="15" t="n">
        <v>8</v>
      </c>
      <c r="K183" s="15" t="n">
        <v>8</v>
      </c>
      <c r="L183" s="4" t="n">
        <f aca="false">ROUND(E183*Rubric!$B$4+F183*Rubric!$B$5+G183*Rubric!$B$6+H183*Rubric!$B$7+I183*Rubric!$B$8+J183*Rubric!$B$9+K183*Rubric!$B$10-IF(OR(G183&lt;Rubric!$B$12,J183&lt;Rubric!$B$12),Rubric!$B$13,0),2)</f>
        <v>7.8</v>
      </c>
      <c r="M183" s="4" t="n">
        <f aca="false">SUMIFS('Revision Log'!$M:$M,'Revision Log'!$N:$N,O183,'Revision Log'!$C:$C,0)</f>
        <v>7.55</v>
      </c>
      <c r="N183" s="16" t="n">
        <f aca="false">L183-M183</f>
        <v>0.25</v>
      </c>
      <c r="O183" s="14" t="n">
        <v>1221</v>
      </c>
    </row>
    <row r="184" customFormat="false" ht="23.85" hidden="false" customHeight="false" outlineLevel="0" collapsed="false">
      <c r="A184" s="2" t="s">
        <v>208</v>
      </c>
      <c r="B184" s="2" t="s">
        <v>209</v>
      </c>
      <c r="C184" s="14" t="n">
        <v>3</v>
      </c>
      <c r="D184" s="2" t="s">
        <v>519</v>
      </c>
      <c r="E184" s="15" t="n">
        <v>9</v>
      </c>
      <c r="F184" s="15" t="n">
        <v>9</v>
      </c>
      <c r="G184" s="15" t="n">
        <v>7</v>
      </c>
      <c r="H184" s="15" t="n">
        <v>3</v>
      </c>
      <c r="I184" s="15" t="n">
        <v>9</v>
      </c>
      <c r="J184" s="15" t="n">
        <v>7</v>
      </c>
      <c r="K184" s="15" t="n">
        <v>8</v>
      </c>
      <c r="L184" s="4" t="n">
        <f aca="false">ROUND(E184*Rubric!$B$4+F184*Rubric!$B$5+G184*Rubric!$B$6+H184*Rubric!$B$7+I184*Rubric!$B$8+J184*Rubric!$B$9+K184*Rubric!$B$10-IF(OR(G184&lt;Rubric!$B$12,J184&lt;Rubric!$B$12),Rubric!$B$13,0),2)</f>
        <v>7.9</v>
      </c>
      <c r="M184" s="4" t="n">
        <f aca="false">SUMIFS('Revision Log'!$M:$M,'Revision Log'!$N:$N,O184,'Revision Log'!$C:$C,0)</f>
        <v>7.6</v>
      </c>
      <c r="N184" s="16" t="n">
        <f aca="false">L184-M184</f>
        <v>0.300000000000001</v>
      </c>
      <c r="O184" s="14" t="n">
        <v>1222</v>
      </c>
    </row>
    <row r="185" customFormat="false" ht="23.85" hidden="false" customHeight="false" outlineLevel="0" collapsed="false">
      <c r="A185" s="2" t="s">
        <v>208</v>
      </c>
      <c r="B185" s="2" t="s">
        <v>209</v>
      </c>
      <c r="C185" s="14" t="n">
        <v>4</v>
      </c>
      <c r="D185" s="2" t="s">
        <v>417</v>
      </c>
      <c r="E185" s="15" t="n">
        <v>7</v>
      </c>
      <c r="F185" s="15" t="n">
        <v>8</v>
      </c>
      <c r="G185" s="15" t="n">
        <v>8</v>
      </c>
      <c r="H185" s="15" t="n">
        <v>3</v>
      </c>
      <c r="I185" s="15" t="n">
        <v>10</v>
      </c>
      <c r="J185" s="15" t="n">
        <v>8</v>
      </c>
      <c r="K185" s="15" t="n">
        <v>9</v>
      </c>
      <c r="L185" s="4" t="n">
        <f aca="false">ROUND(E185*Rubric!$B$4+F185*Rubric!$B$5+G185*Rubric!$B$6+H185*Rubric!$B$7+I185*Rubric!$B$8+J185*Rubric!$B$9+K185*Rubric!$B$10-IF(OR(G185&lt;Rubric!$B$12,J185&lt;Rubric!$B$12),Rubric!$B$13,0),2)</f>
        <v>8.35</v>
      </c>
      <c r="M185" s="4" t="n">
        <f aca="false">SUMIFS('Revision Log'!$M:$M,'Revision Log'!$N:$N,O185,'Revision Log'!$C:$C,0)</f>
        <v>7.5</v>
      </c>
      <c r="N185" s="16" t="n">
        <f aca="false">L185-M185</f>
        <v>0.85</v>
      </c>
      <c r="O185" s="14" t="n">
        <v>1223</v>
      </c>
    </row>
    <row r="186" customFormat="false" ht="23.85" hidden="false" customHeight="false" outlineLevel="0" collapsed="false">
      <c r="A186" s="2" t="s">
        <v>208</v>
      </c>
      <c r="B186" s="2" t="s">
        <v>209</v>
      </c>
      <c r="C186" s="14" t="n">
        <v>5</v>
      </c>
      <c r="D186" s="2" t="s">
        <v>452</v>
      </c>
      <c r="E186" s="15" t="n">
        <v>8</v>
      </c>
      <c r="F186" s="15" t="n">
        <v>8</v>
      </c>
      <c r="G186" s="15" t="n">
        <v>7</v>
      </c>
      <c r="H186" s="15" t="n">
        <v>9</v>
      </c>
      <c r="I186" s="15" t="n">
        <v>8</v>
      </c>
      <c r="J186" s="15" t="n">
        <v>8</v>
      </c>
      <c r="K186" s="15" t="n">
        <v>9</v>
      </c>
      <c r="L186" s="4" t="n">
        <f aca="false">ROUND(E186*Rubric!$B$4+F186*Rubric!$B$5+G186*Rubric!$B$6+H186*Rubric!$B$7+I186*Rubric!$B$8+J186*Rubric!$B$9+K186*Rubric!$B$10-IF(OR(G186&lt;Rubric!$B$12,J186&lt;Rubric!$B$12),Rubric!$B$13,0),2)</f>
        <v>8.1</v>
      </c>
      <c r="M186" s="4" t="n">
        <f aca="false">SUMIFS('Revision Log'!$M:$M,'Revision Log'!$N:$N,O186,'Revision Log'!$C:$C,0)</f>
        <v>6.6</v>
      </c>
      <c r="N186" s="16" t="n">
        <f aca="false">L186-M186</f>
        <v>1.5</v>
      </c>
      <c r="O186" s="14" t="n">
        <v>1224</v>
      </c>
    </row>
    <row r="187" customFormat="false" ht="23.85" hidden="false" customHeight="false" outlineLevel="0" collapsed="false">
      <c r="A187" s="2" t="s">
        <v>214</v>
      </c>
      <c r="B187" s="2" t="s">
        <v>215</v>
      </c>
      <c r="C187" s="14" t="n">
        <v>1</v>
      </c>
      <c r="D187" s="2" t="s">
        <v>520</v>
      </c>
      <c r="E187" s="15" t="n">
        <v>8</v>
      </c>
      <c r="F187" s="15" t="n">
        <v>9</v>
      </c>
      <c r="G187" s="15" t="n">
        <v>8</v>
      </c>
      <c r="H187" s="15" t="n">
        <v>3</v>
      </c>
      <c r="I187" s="15" t="n">
        <v>10</v>
      </c>
      <c r="J187" s="15" t="n">
        <v>9</v>
      </c>
      <c r="K187" s="15" t="n">
        <v>8</v>
      </c>
      <c r="L187" s="4" t="n">
        <f aca="false">ROUND(E187*Rubric!$B$4+F187*Rubric!$B$5+G187*Rubric!$B$6+H187*Rubric!$B$7+I187*Rubric!$B$8+J187*Rubric!$B$9+K187*Rubric!$B$10-IF(OR(G187&lt;Rubric!$B$12,J187&lt;Rubric!$B$12),Rubric!$B$13,0),2)</f>
        <v>8.55</v>
      </c>
      <c r="M187" s="4" t="n">
        <f aca="false">SUMIFS('Revision Log'!$M:$M,'Revision Log'!$N:$N,O187,'Revision Log'!$C:$C,0)</f>
        <v>7.55</v>
      </c>
      <c r="N187" s="16" t="n">
        <f aca="false">L187-M187</f>
        <v>1</v>
      </c>
      <c r="O187" s="14" t="n">
        <v>1230</v>
      </c>
    </row>
    <row r="188" customFormat="false" ht="23.85" hidden="false" customHeight="false" outlineLevel="0" collapsed="false">
      <c r="A188" s="2" t="s">
        <v>214</v>
      </c>
      <c r="B188" s="2" t="s">
        <v>215</v>
      </c>
      <c r="C188" s="14" t="n">
        <v>2</v>
      </c>
      <c r="D188" s="2" t="s">
        <v>521</v>
      </c>
      <c r="E188" s="15" t="n">
        <v>9</v>
      </c>
      <c r="F188" s="15" t="n">
        <v>8</v>
      </c>
      <c r="G188" s="15" t="n">
        <v>8</v>
      </c>
      <c r="H188" s="15" t="n">
        <v>3</v>
      </c>
      <c r="I188" s="15" t="n">
        <v>9</v>
      </c>
      <c r="J188" s="15" t="n">
        <v>8</v>
      </c>
      <c r="K188" s="15" t="n">
        <v>6</v>
      </c>
      <c r="L188" s="4" t="n">
        <f aca="false">ROUND(E188*Rubric!$B$4+F188*Rubric!$B$5+G188*Rubric!$B$6+H188*Rubric!$B$7+I188*Rubric!$B$8+J188*Rubric!$B$9+K188*Rubric!$B$10-IF(OR(G188&lt;Rubric!$B$12,J188&lt;Rubric!$B$12),Rubric!$B$13,0),2)</f>
        <v>7.75</v>
      </c>
      <c r="M188" s="4" t="n">
        <f aca="false">SUMIFS('Revision Log'!$M:$M,'Revision Log'!$N:$N,O188,'Revision Log'!$C:$C,0)</f>
        <v>7.1</v>
      </c>
      <c r="N188" s="16" t="n">
        <f aca="false">L188-M188</f>
        <v>0.65</v>
      </c>
      <c r="O188" s="14" t="n">
        <v>1231</v>
      </c>
    </row>
    <row r="189" customFormat="false" ht="23.85" hidden="false" customHeight="false" outlineLevel="0" collapsed="false">
      <c r="A189" s="2" t="s">
        <v>214</v>
      </c>
      <c r="B189" s="2" t="s">
        <v>215</v>
      </c>
      <c r="C189" s="14" t="n">
        <v>3</v>
      </c>
      <c r="D189" s="2" t="s">
        <v>522</v>
      </c>
      <c r="E189" s="15" t="n">
        <v>8</v>
      </c>
      <c r="F189" s="15" t="n">
        <v>8</v>
      </c>
      <c r="G189" s="15" t="n">
        <v>8</v>
      </c>
      <c r="H189" s="15" t="n">
        <v>3</v>
      </c>
      <c r="I189" s="15" t="n">
        <v>9</v>
      </c>
      <c r="J189" s="15" t="n">
        <v>8</v>
      </c>
      <c r="K189" s="15" t="n">
        <v>7</v>
      </c>
      <c r="L189" s="4" t="n">
        <f aca="false">ROUND(E189*Rubric!$B$4+F189*Rubric!$B$5+G189*Rubric!$B$6+H189*Rubric!$B$7+I189*Rubric!$B$8+J189*Rubric!$B$9+K189*Rubric!$B$10-IF(OR(G189&lt;Rubric!$B$12,J189&lt;Rubric!$B$12),Rubric!$B$13,0),2)</f>
        <v>7.8</v>
      </c>
      <c r="M189" s="4" t="n">
        <f aca="false">SUMIFS('Revision Log'!$M:$M,'Revision Log'!$N:$N,O189,'Revision Log'!$C:$C,0)</f>
        <v>6.6</v>
      </c>
      <c r="N189" s="16" t="n">
        <f aca="false">L189-M189</f>
        <v>1.2</v>
      </c>
      <c r="O189" s="14" t="n">
        <v>1232</v>
      </c>
    </row>
    <row r="190" customFormat="false" ht="23.85" hidden="false" customHeight="false" outlineLevel="0" collapsed="false">
      <c r="A190" s="2" t="s">
        <v>214</v>
      </c>
      <c r="B190" s="2" t="s">
        <v>215</v>
      </c>
      <c r="C190" s="14" t="n">
        <v>4</v>
      </c>
      <c r="D190" s="2" t="s">
        <v>523</v>
      </c>
      <c r="E190" s="15" t="n">
        <v>7</v>
      </c>
      <c r="F190" s="15" t="n">
        <v>9</v>
      </c>
      <c r="G190" s="15" t="n">
        <v>8</v>
      </c>
      <c r="H190" s="15" t="n">
        <v>3</v>
      </c>
      <c r="I190" s="15" t="n">
        <v>9</v>
      </c>
      <c r="J190" s="15" t="n">
        <v>8</v>
      </c>
      <c r="K190" s="15" t="n">
        <v>9</v>
      </c>
      <c r="L190" s="4" t="n">
        <f aca="false">ROUND(E190*Rubric!$B$4+F190*Rubric!$B$5+G190*Rubric!$B$6+H190*Rubric!$B$7+I190*Rubric!$B$8+J190*Rubric!$B$9+K190*Rubric!$B$10-IF(OR(G190&lt;Rubric!$B$12,J190&lt;Rubric!$B$12),Rubric!$B$13,0),2)</f>
        <v>8.1</v>
      </c>
      <c r="M190" s="4" t="n">
        <f aca="false">SUMIFS('Revision Log'!$M:$M,'Revision Log'!$N:$N,O190,'Revision Log'!$C:$C,0)</f>
        <v>6.75</v>
      </c>
      <c r="N190" s="16" t="n">
        <f aca="false">L190-M190</f>
        <v>1.35</v>
      </c>
      <c r="O190" s="14" t="n">
        <v>1233</v>
      </c>
    </row>
    <row r="191" customFormat="false" ht="23.85" hidden="false" customHeight="false" outlineLevel="0" collapsed="false">
      <c r="A191" s="2" t="s">
        <v>214</v>
      </c>
      <c r="B191" s="2" t="s">
        <v>215</v>
      </c>
      <c r="C191" s="14" t="n">
        <v>5</v>
      </c>
      <c r="D191" s="2" t="s">
        <v>524</v>
      </c>
      <c r="E191" s="15" t="n">
        <v>7</v>
      </c>
      <c r="F191" s="15" t="n">
        <v>8</v>
      </c>
      <c r="G191" s="15" t="n">
        <v>8</v>
      </c>
      <c r="H191" s="15" t="n">
        <v>3</v>
      </c>
      <c r="I191" s="15" t="n">
        <v>9</v>
      </c>
      <c r="J191" s="15" t="n">
        <v>8</v>
      </c>
      <c r="K191" s="15" t="n">
        <v>8</v>
      </c>
      <c r="L191" s="4" t="n">
        <f aca="false">ROUND(E191*Rubric!$B$4+F191*Rubric!$B$5+G191*Rubric!$B$6+H191*Rubric!$B$7+I191*Rubric!$B$8+J191*Rubric!$B$9+K191*Rubric!$B$10-IF(OR(G191&lt;Rubric!$B$12,J191&lt;Rubric!$B$12),Rubric!$B$13,0),2)</f>
        <v>7.85</v>
      </c>
      <c r="M191" s="4" t="n">
        <f aca="false">SUMIFS('Revision Log'!$M:$M,'Revision Log'!$N:$N,O191,'Revision Log'!$C:$C,0)</f>
        <v>7</v>
      </c>
      <c r="N191" s="16" t="n">
        <f aca="false">L191-M191</f>
        <v>0.85</v>
      </c>
      <c r="O191" s="14" t="n">
        <v>1234</v>
      </c>
    </row>
    <row r="192" customFormat="false" ht="23.85" hidden="false" customHeight="false" outlineLevel="0" collapsed="false">
      <c r="A192" s="2" t="s">
        <v>220</v>
      </c>
      <c r="B192" s="2" t="s">
        <v>221</v>
      </c>
      <c r="C192" s="14" t="n">
        <v>1</v>
      </c>
      <c r="D192" s="2" t="s">
        <v>525</v>
      </c>
      <c r="E192" s="15" t="n">
        <v>8</v>
      </c>
      <c r="F192" s="15" t="n">
        <v>9</v>
      </c>
      <c r="G192" s="15" t="n">
        <v>8</v>
      </c>
      <c r="H192" s="15" t="n">
        <v>3</v>
      </c>
      <c r="I192" s="15" t="n">
        <v>9</v>
      </c>
      <c r="J192" s="15" t="n">
        <v>9</v>
      </c>
      <c r="K192" s="15" t="n">
        <v>8</v>
      </c>
      <c r="L192" s="4" t="n">
        <f aca="false">ROUND(E192*Rubric!$B$4+F192*Rubric!$B$5+G192*Rubric!$B$6+H192*Rubric!$B$7+I192*Rubric!$B$8+J192*Rubric!$B$9+K192*Rubric!$B$10-IF(OR(G192&lt;Rubric!$B$12,J192&lt;Rubric!$B$12),Rubric!$B$13,0),2)</f>
        <v>8.15</v>
      </c>
      <c r="M192" s="4" t="n">
        <f aca="false">SUMIFS('Revision Log'!$M:$M,'Revision Log'!$N:$N,O192,'Revision Log'!$C:$C,0)</f>
        <v>6.8</v>
      </c>
      <c r="N192" s="16" t="n">
        <f aca="false">L192-M192</f>
        <v>1.35</v>
      </c>
      <c r="O192" s="14" t="n">
        <v>1240</v>
      </c>
    </row>
    <row r="193" customFormat="false" ht="15" hidden="false" customHeight="false" outlineLevel="0" collapsed="false">
      <c r="A193" s="2" t="s">
        <v>220</v>
      </c>
      <c r="B193" s="2" t="s">
        <v>221</v>
      </c>
      <c r="C193" s="14" t="n">
        <v>2</v>
      </c>
      <c r="D193" s="2" t="s">
        <v>526</v>
      </c>
      <c r="E193" s="15" t="n">
        <v>9</v>
      </c>
      <c r="F193" s="15" t="n">
        <v>9</v>
      </c>
      <c r="G193" s="15" t="n">
        <v>7</v>
      </c>
      <c r="H193" s="15" t="n">
        <v>3</v>
      </c>
      <c r="I193" s="15" t="n">
        <v>8</v>
      </c>
      <c r="J193" s="15" t="n">
        <v>8</v>
      </c>
      <c r="K193" s="15" t="n">
        <v>8</v>
      </c>
      <c r="L193" s="4" t="n">
        <f aca="false">ROUND(E193*Rubric!$B$4+F193*Rubric!$B$5+G193*Rubric!$B$6+H193*Rubric!$B$7+I193*Rubric!$B$8+J193*Rubric!$B$9+K193*Rubric!$B$10-IF(OR(G193&lt;Rubric!$B$12,J193&lt;Rubric!$B$12),Rubric!$B$13,0),2)</f>
        <v>7.6</v>
      </c>
      <c r="M193" s="4" t="n">
        <f aca="false">SUMIFS('Revision Log'!$M:$M,'Revision Log'!$N:$N,O193,'Revision Log'!$C:$C,0)</f>
        <v>7.1</v>
      </c>
      <c r="N193" s="16" t="n">
        <f aca="false">L193-M193</f>
        <v>0.5</v>
      </c>
      <c r="O193" s="14" t="n">
        <v>1241</v>
      </c>
    </row>
    <row r="194" customFormat="false" ht="15" hidden="false" customHeight="false" outlineLevel="0" collapsed="false">
      <c r="A194" s="2" t="s">
        <v>220</v>
      </c>
      <c r="B194" s="2" t="s">
        <v>221</v>
      </c>
      <c r="C194" s="14" t="n">
        <v>3</v>
      </c>
      <c r="D194" s="2" t="s">
        <v>527</v>
      </c>
      <c r="E194" s="15" t="n">
        <v>9</v>
      </c>
      <c r="F194" s="15" t="n">
        <v>9</v>
      </c>
      <c r="G194" s="15" t="n">
        <v>8</v>
      </c>
      <c r="H194" s="15" t="n">
        <v>3</v>
      </c>
      <c r="I194" s="15" t="n">
        <v>8</v>
      </c>
      <c r="J194" s="15" t="n">
        <v>9</v>
      </c>
      <c r="K194" s="15" t="n">
        <v>9</v>
      </c>
      <c r="L194" s="4" t="n">
        <f aca="false">ROUND(E194*Rubric!$B$4+F194*Rubric!$B$5+G194*Rubric!$B$6+H194*Rubric!$B$7+I194*Rubric!$B$8+J194*Rubric!$B$9+K194*Rubric!$B$10-IF(OR(G194&lt;Rubric!$B$12,J194&lt;Rubric!$B$12),Rubric!$B$13,0),2)</f>
        <v>7.9</v>
      </c>
      <c r="M194" s="4" t="n">
        <f aca="false">SUMIFS('Revision Log'!$M:$M,'Revision Log'!$N:$N,O194,'Revision Log'!$C:$C,0)</f>
        <v>6.65</v>
      </c>
      <c r="N194" s="16" t="n">
        <f aca="false">L194-M194</f>
        <v>1.25</v>
      </c>
      <c r="O194" s="14" t="n">
        <v>1242</v>
      </c>
    </row>
    <row r="195" customFormat="false" ht="15" hidden="false" customHeight="false" outlineLevel="0" collapsed="false">
      <c r="A195" s="2" t="s">
        <v>220</v>
      </c>
      <c r="B195" s="2" t="s">
        <v>221</v>
      </c>
      <c r="C195" s="14" t="n">
        <v>4</v>
      </c>
      <c r="D195" s="2" t="s">
        <v>519</v>
      </c>
      <c r="E195" s="15" t="n">
        <v>9</v>
      </c>
      <c r="F195" s="15" t="n">
        <v>9</v>
      </c>
      <c r="G195" s="15" t="n">
        <v>7</v>
      </c>
      <c r="H195" s="15" t="n">
        <v>3</v>
      </c>
      <c r="I195" s="15" t="n">
        <v>8</v>
      </c>
      <c r="J195" s="15" t="n">
        <v>7</v>
      </c>
      <c r="K195" s="15" t="n">
        <v>8</v>
      </c>
      <c r="L195" s="4" t="n">
        <f aca="false">ROUND(E195*Rubric!$B$4+F195*Rubric!$B$5+G195*Rubric!$B$6+H195*Rubric!$B$7+I195*Rubric!$B$8+J195*Rubric!$B$9+K195*Rubric!$B$10-IF(OR(G195&lt;Rubric!$B$12,J195&lt;Rubric!$B$12),Rubric!$B$13,0),2)</f>
        <v>7.5</v>
      </c>
      <c r="M195" s="4" t="n">
        <f aca="false">SUMIFS('Revision Log'!$M:$M,'Revision Log'!$N:$N,O195,'Revision Log'!$C:$C,0)</f>
        <v>6.75</v>
      </c>
      <c r="N195" s="16" t="n">
        <f aca="false">L195-M195</f>
        <v>0.75</v>
      </c>
      <c r="O195" s="14" t="n">
        <v>1243</v>
      </c>
    </row>
    <row r="196" customFormat="false" ht="15" hidden="false" customHeight="false" outlineLevel="0" collapsed="false">
      <c r="A196" s="2" t="s">
        <v>220</v>
      </c>
      <c r="B196" s="2" t="s">
        <v>221</v>
      </c>
      <c r="C196" s="14" t="n">
        <v>5</v>
      </c>
      <c r="D196" s="2" t="s">
        <v>528</v>
      </c>
      <c r="E196" s="15" t="n">
        <v>9</v>
      </c>
      <c r="F196" s="15" t="n">
        <v>8</v>
      </c>
      <c r="G196" s="15" t="n">
        <v>8</v>
      </c>
      <c r="H196" s="15" t="n">
        <v>3</v>
      </c>
      <c r="I196" s="15" t="n">
        <v>8</v>
      </c>
      <c r="J196" s="15" t="n">
        <v>8</v>
      </c>
      <c r="K196" s="15" t="n">
        <v>7</v>
      </c>
      <c r="L196" s="4" t="n">
        <f aca="false">ROUND(E196*Rubric!$B$4+F196*Rubric!$B$5+G196*Rubric!$B$6+H196*Rubric!$B$7+I196*Rubric!$B$8+J196*Rubric!$B$9+K196*Rubric!$B$10-IF(OR(G196&lt;Rubric!$B$12,J196&lt;Rubric!$B$12),Rubric!$B$13,0),2)</f>
        <v>7.45</v>
      </c>
      <c r="M196" s="4" t="n">
        <f aca="false">SUMIFS('Revision Log'!$M:$M,'Revision Log'!$N:$N,O196,'Revision Log'!$C:$C,0)</f>
        <v>6.5</v>
      </c>
      <c r="N196" s="16" t="n">
        <f aca="false">L196-M196</f>
        <v>0.95</v>
      </c>
      <c r="O196" s="14" t="n">
        <v>1244</v>
      </c>
    </row>
    <row r="197" customFormat="false" ht="23.85" hidden="false" customHeight="false" outlineLevel="0" collapsed="false">
      <c r="A197" s="2" t="s">
        <v>226</v>
      </c>
      <c r="B197" s="2" t="s">
        <v>153</v>
      </c>
      <c r="C197" s="14" t="n">
        <v>1</v>
      </c>
      <c r="D197" s="2" t="s">
        <v>529</v>
      </c>
      <c r="E197" s="15" t="n">
        <v>8</v>
      </c>
      <c r="F197" s="15" t="n">
        <v>8</v>
      </c>
      <c r="G197" s="15" t="n">
        <v>8</v>
      </c>
      <c r="H197" s="15" t="n">
        <v>3</v>
      </c>
      <c r="I197" s="15" t="n">
        <v>9</v>
      </c>
      <c r="J197" s="15" t="n">
        <v>8</v>
      </c>
      <c r="K197" s="15" t="n">
        <v>7</v>
      </c>
      <c r="L197" s="4" t="n">
        <f aca="false">ROUND(E197*Rubric!$B$4+F197*Rubric!$B$5+G197*Rubric!$B$6+H197*Rubric!$B$7+I197*Rubric!$B$8+J197*Rubric!$B$9+K197*Rubric!$B$10-IF(OR(G197&lt;Rubric!$B$12,J197&lt;Rubric!$B$12),Rubric!$B$13,0),2)</f>
        <v>7.8</v>
      </c>
      <c r="M197" s="4" t="n">
        <f aca="false">SUMIFS('Revision Log'!$M:$M,'Revision Log'!$N:$N,O197,'Revision Log'!$C:$C,0)</f>
        <v>6.6</v>
      </c>
      <c r="N197" s="16" t="n">
        <f aca="false">L197-M197</f>
        <v>1.2</v>
      </c>
      <c r="O197" s="14" t="n">
        <v>1250</v>
      </c>
    </row>
    <row r="198" customFormat="false" ht="15" hidden="false" customHeight="false" outlineLevel="0" collapsed="false">
      <c r="A198" s="2" t="s">
        <v>226</v>
      </c>
      <c r="B198" s="2" t="s">
        <v>153</v>
      </c>
      <c r="C198" s="14" t="n">
        <v>2</v>
      </c>
      <c r="D198" s="2" t="s">
        <v>530</v>
      </c>
      <c r="E198" s="15" t="n">
        <v>9</v>
      </c>
      <c r="F198" s="15" t="n">
        <v>9</v>
      </c>
      <c r="G198" s="15" t="n">
        <v>8</v>
      </c>
      <c r="H198" s="15" t="n">
        <v>3</v>
      </c>
      <c r="I198" s="15" t="n">
        <v>8</v>
      </c>
      <c r="J198" s="15" t="n">
        <v>9</v>
      </c>
      <c r="K198" s="15" t="n">
        <v>8</v>
      </c>
      <c r="L198" s="4" t="n">
        <f aca="false">ROUND(E198*Rubric!$B$4+F198*Rubric!$B$5+G198*Rubric!$B$6+H198*Rubric!$B$7+I198*Rubric!$B$8+J198*Rubric!$B$9+K198*Rubric!$B$10-IF(OR(G198&lt;Rubric!$B$12,J198&lt;Rubric!$B$12),Rubric!$B$13,0),2)</f>
        <v>7.8</v>
      </c>
      <c r="M198" s="4" t="n">
        <f aca="false">SUMIFS('Revision Log'!$M:$M,'Revision Log'!$N:$N,O198,'Revision Log'!$C:$C,0)</f>
        <v>7</v>
      </c>
      <c r="N198" s="16" t="n">
        <f aca="false">L198-M198</f>
        <v>0.8</v>
      </c>
      <c r="O198" s="14" t="n">
        <v>1251</v>
      </c>
    </row>
    <row r="199" customFormat="false" ht="23.85" hidden="false" customHeight="false" outlineLevel="0" collapsed="false">
      <c r="A199" s="2" t="s">
        <v>226</v>
      </c>
      <c r="B199" s="2" t="s">
        <v>153</v>
      </c>
      <c r="C199" s="14" t="n">
        <v>3</v>
      </c>
      <c r="D199" s="2" t="s">
        <v>531</v>
      </c>
      <c r="E199" s="15" t="n">
        <v>7</v>
      </c>
      <c r="F199" s="15" t="n">
        <v>9</v>
      </c>
      <c r="G199" s="15" t="n">
        <v>7</v>
      </c>
      <c r="H199" s="15" t="n">
        <v>3</v>
      </c>
      <c r="I199" s="15" t="n">
        <v>9</v>
      </c>
      <c r="J199" s="15" t="n">
        <v>8</v>
      </c>
      <c r="K199" s="15" t="n">
        <v>8</v>
      </c>
      <c r="L199" s="4" t="n">
        <f aca="false">ROUND(E199*Rubric!$B$4+F199*Rubric!$B$5+G199*Rubric!$B$6+H199*Rubric!$B$7+I199*Rubric!$B$8+J199*Rubric!$B$9+K199*Rubric!$B$10-IF(OR(G199&lt;Rubric!$B$12,J199&lt;Rubric!$B$12),Rubric!$B$13,0),2)</f>
        <v>7.9</v>
      </c>
      <c r="M199" s="4" t="n">
        <f aca="false">SUMIFS('Revision Log'!$M:$M,'Revision Log'!$N:$N,O199,'Revision Log'!$C:$C,0)</f>
        <v>6.75</v>
      </c>
      <c r="N199" s="16" t="n">
        <f aca="false">L199-M199</f>
        <v>1.15</v>
      </c>
      <c r="O199" s="14" t="n">
        <v>1252</v>
      </c>
    </row>
    <row r="200" customFormat="false" ht="23.85" hidden="false" customHeight="false" outlineLevel="0" collapsed="false">
      <c r="A200" s="2" t="s">
        <v>226</v>
      </c>
      <c r="B200" s="2" t="s">
        <v>153</v>
      </c>
      <c r="C200" s="14" t="n">
        <v>4</v>
      </c>
      <c r="D200" s="2" t="s">
        <v>532</v>
      </c>
      <c r="E200" s="15" t="n">
        <v>7</v>
      </c>
      <c r="F200" s="15" t="n">
        <v>8</v>
      </c>
      <c r="G200" s="15" t="n">
        <v>8</v>
      </c>
      <c r="H200" s="15" t="n">
        <v>3</v>
      </c>
      <c r="I200" s="15" t="n">
        <v>9</v>
      </c>
      <c r="J200" s="15" t="n">
        <v>8</v>
      </c>
      <c r="K200" s="15" t="n">
        <v>8</v>
      </c>
      <c r="L200" s="4" t="n">
        <f aca="false">ROUND(E200*Rubric!$B$4+F200*Rubric!$B$5+G200*Rubric!$B$6+H200*Rubric!$B$7+I200*Rubric!$B$8+J200*Rubric!$B$9+K200*Rubric!$B$10-IF(OR(G200&lt;Rubric!$B$12,J200&lt;Rubric!$B$12),Rubric!$B$13,0),2)</f>
        <v>7.85</v>
      </c>
      <c r="M200" s="4" t="n">
        <f aca="false">SUMIFS('Revision Log'!$M:$M,'Revision Log'!$N:$N,O200,'Revision Log'!$C:$C,0)</f>
        <v>6.65</v>
      </c>
      <c r="N200" s="16" t="n">
        <f aca="false">L200-M200</f>
        <v>1.2</v>
      </c>
      <c r="O200" s="14" t="n">
        <v>1253</v>
      </c>
    </row>
    <row r="201" customFormat="false" ht="23.85" hidden="false" customHeight="false" outlineLevel="0" collapsed="false">
      <c r="A201" s="2" t="s">
        <v>226</v>
      </c>
      <c r="B201" s="2" t="s">
        <v>153</v>
      </c>
      <c r="C201" s="14" t="n">
        <v>5</v>
      </c>
      <c r="D201" s="2" t="s">
        <v>533</v>
      </c>
      <c r="E201" s="15" t="n">
        <v>8</v>
      </c>
      <c r="F201" s="15" t="n">
        <v>8</v>
      </c>
      <c r="G201" s="15" t="n">
        <v>7</v>
      </c>
      <c r="H201" s="15" t="n">
        <v>9</v>
      </c>
      <c r="I201" s="15" t="n">
        <v>8</v>
      </c>
      <c r="J201" s="15" t="n">
        <v>8</v>
      </c>
      <c r="K201" s="15" t="n">
        <v>9</v>
      </c>
      <c r="L201" s="4" t="n">
        <f aca="false">ROUND(E201*Rubric!$B$4+F201*Rubric!$B$5+G201*Rubric!$B$6+H201*Rubric!$B$7+I201*Rubric!$B$8+J201*Rubric!$B$9+K201*Rubric!$B$10-IF(OR(G201&lt;Rubric!$B$12,J201&lt;Rubric!$B$12),Rubric!$B$13,0),2)</f>
        <v>8.1</v>
      </c>
      <c r="M201" s="4" t="n">
        <f aca="false">SUMIFS('Revision Log'!$M:$M,'Revision Log'!$N:$N,O201,'Revision Log'!$C:$C,0)</f>
        <v>7.3</v>
      </c>
      <c r="N201" s="16" t="n">
        <f aca="false">L201-M201</f>
        <v>0.8</v>
      </c>
      <c r="O201" s="14" t="n">
        <v>1254</v>
      </c>
    </row>
    <row r="202" customFormat="false" ht="23.85" hidden="false" customHeight="false" outlineLevel="0" collapsed="false">
      <c r="A202" s="2" t="s">
        <v>230</v>
      </c>
      <c r="B202" s="2" t="s">
        <v>231</v>
      </c>
      <c r="C202" s="14" t="n">
        <v>1</v>
      </c>
      <c r="D202" s="2" t="s">
        <v>435</v>
      </c>
      <c r="E202" s="15" t="n">
        <v>9</v>
      </c>
      <c r="F202" s="15" t="n">
        <v>8</v>
      </c>
      <c r="G202" s="15" t="n">
        <v>7</v>
      </c>
      <c r="H202" s="15" t="n">
        <v>10</v>
      </c>
      <c r="I202" s="15" t="n">
        <v>9</v>
      </c>
      <c r="J202" s="15" t="n">
        <v>7</v>
      </c>
      <c r="K202" s="15" t="n">
        <v>9</v>
      </c>
      <c r="L202" s="4" t="n">
        <f aca="false">ROUND(E202*Rubric!$B$4+F202*Rubric!$B$5+G202*Rubric!$B$6+H202*Rubric!$B$7+I202*Rubric!$B$8+J202*Rubric!$B$9+K202*Rubric!$B$10-IF(OR(G202&lt;Rubric!$B$12,J202&lt;Rubric!$B$12),Rubric!$B$13,0),2)</f>
        <v>8.55</v>
      </c>
      <c r="M202" s="4" t="n">
        <f aca="false">SUMIFS('Revision Log'!$M:$M,'Revision Log'!$N:$N,O202,'Revision Log'!$C:$C,0)</f>
        <v>7.7</v>
      </c>
      <c r="N202" s="16" t="n">
        <f aca="false">L202-M202</f>
        <v>0.850000000000001</v>
      </c>
      <c r="O202" s="14" t="n">
        <v>1260</v>
      </c>
    </row>
    <row r="203" customFormat="false" ht="23.85" hidden="false" customHeight="false" outlineLevel="0" collapsed="false">
      <c r="A203" s="2" t="s">
        <v>230</v>
      </c>
      <c r="B203" s="2" t="s">
        <v>231</v>
      </c>
      <c r="C203" s="14" t="n">
        <v>2</v>
      </c>
      <c r="D203" s="2" t="s">
        <v>441</v>
      </c>
      <c r="E203" s="15" t="n">
        <v>6</v>
      </c>
      <c r="F203" s="15" t="n">
        <v>8</v>
      </c>
      <c r="G203" s="15" t="n">
        <v>7</v>
      </c>
      <c r="H203" s="15" t="n">
        <v>9</v>
      </c>
      <c r="I203" s="15" t="n">
        <v>10</v>
      </c>
      <c r="J203" s="15" t="n">
        <v>7</v>
      </c>
      <c r="K203" s="15" t="n">
        <v>9</v>
      </c>
      <c r="L203" s="4" t="n">
        <f aca="false">ROUND(E203*Rubric!$B$4+F203*Rubric!$B$5+G203*Rubric!$B$6+H203*Rubric!$B$7+I203*Rubric!$B$8+J203*Rubric!$B$9+K203*Rubric!$B$10-IF(OR(G203&lt;Rubric!$B$12,J203&lt;Rubric!$B$12),Rubric!$B$13,0),2)</f>
        <v>8.7</v>
      </c>
      <c r="M203" s="4" t="n">
        <f aca="false">SUMIFS('Revision Log'!$M:$M,'Revision Log'!$N:$N,O203,'Revision Log'!$C:$C,0)</f>
        <v>7.6</v>
      </c>
      <c r="N203" s="16" t="n">
        <f aca="false">L203-M203</f>
        <v>1.1</v>
      </c>
      <c r="O203" s="14" t="n">
        <v>1261</v>
      </c>
    </row>
    <row r="204" customFormat="false" ht="23.85" hidden="false" customHeight="false" outlineLevel="0" collapsed="false">
      <c r="A204" s="2" t="s">
        <v>230</v>
      </c>
      <c r="B204" s="2" t="s">
        <v>231</v>
      </c>
      <c r="C204" s="14" t="n">
        <v>3</v>
      </c>
      <c r="D204" s="2" t="s">
        <v>534</v>
      </c>
      <c r="E204" s="15" t="n">
        <v>9</v>
      </c>
      <c r="F204" s="15" t="n">
        <v>8</v>
      </c>
      <c r="G204" s="15" t="n">
        <v>7</v>
      </c>
      <c r="H204" s="15" t="n">
        <v>9</v>
      </c>
      <c r="I204" s="15" t="n">
        <v>10</v>
      </c>
      <c r="J204" s="15" t="n">
        <v>8</v>
      </c>
      <c r="K204" s="15" t="n">
        <v>9</v>
      </c>
      <c r="L204" s="4" t="n">
        <f aca="false">ROUND(E204*Rubric!$B$4+F204*Rubric!$B$5+G204*Rubric!$B$6+H204*Rubric!$B$7+I204*Rubric!$B$8+J204*Rubric!$B$9+K204*Rubric!$B$10-IF(OR(G204&lt;Rubric!$B$12,J204&lt;Rubric!$B$12),Rubric!$B$13,0),2)</f>
        <v>8.95</v>
      </c>
      <c r="M204" s="4" t="n">
        <f aca="false">SUMIFS('Revision Log'!$M:$M,'Revision Log'!$N:$N,O204,'Revision Log'!$C:$C,0)</f>
        <v>8.5</v>
      </c>
      <c r="N204" s="16" t="n">
        <f aca="false">L204-M204</f>
        <v>0.449999999999999</v>
      </c>
      <c r="O204" s="14" t="n">
        <v>1262</v>
      </c>
    </row>
    <row r="205" customFormat="false" ht="15" hidden="false" customHeight="false" outlineLevel="0" collapsed="false">
      <c r="A205" s="2" t="s">
        <v>230</v>
      </c>
      <c r="B205" s="2" t="s">
        <v>231</v>
      </c>
      <c r="C205" s="14" t="n">
        <v>4</v>
      </c>
      <c r="D205" s="2" t="s">
        <v>461</v>
      </c>
      <c r="E205" s="15" t="n">
        <v>9</v>
      </c>
      <c r="F205" s="15" t="n">
        <v>8</v>
      </c>
      <c r="G205" s="15" t="n">
        <v>8</v>
      </c>
      <c r="H205" s="15" t="n">
        <v>10</v>
      </c>
      <c r="I205" s="15" t="n">
        <v>9</v>
      </c>
      <c r="J205" s="15" t="n">
        <v>8</v>
      </c>
      <c r="K205" s="15" t="n">
        <v>9</v>
      </c>
      <c r="L205" s="4" t="n">
        <f aca="false">ROUND(E205*Rubric!$B$4+F205*Rubric!$B$5+G205*Rubric!$B$6+H205*Rubric!$B$7+I205*Rubric!$B$8+J205*Rubric!$B$9+K205*Rubric!$B$10-IF(OR(G205&lt;Rubric!$B$12,J205&lt;Rubric!$B$12),Rubric!$B$13,0),2)</f>
        <v>8.75</v>
      </c>
      <c r="M205" s="4" t="n">
        <f aca="false">SUMIFS('Revision Log'!$M:$M,'Revision Log'!$N:$N,O205,'Revision Log'!$C:$C,0)</f>
        <v>7.3</v>
      </c>
      <c r="N205" s="16" t="n">
        <f aca="false">L205-M205</f>
        <v>1.45</v>
      </c>
      <c r="O205" s="14" t="n">
        <v>1263</v>
      </c>
    </row>
    <row r="206" customFormat="false" ht="15" hidden="false" customHeight="false" outlineLevel="0" collapsed="false">
      <c r="A206" s="2" t="s">
        <v>230</v>
      </c>
      <c r="B206" s="2" t="s">
        <v>231</v>
      </c>
      <c r="C206" s="14" t="n">
        <v>5</v>
      </c>
      <c r="D206" s="2" t="s">
        <v>535</v>
      </c>
      <c r="E206" s="15" t="n">
        <v>9</v>
      </c>
      <c r="F206" s="15" t="n">
        <v>8</v>
      </c>
      <c r="G206" s="15" t="n">
        <v>8</v>
      </c>
      <c r="H206" s="15" t="n">
        <v>3</v>
      </c>
      <c r="I206" s="15" t="n">
        <v>8</v>
      </c>
      <c r="J206" s="15" t="n">
        <v>8</v>
      </c>
      <c r="K206" s="15" t="n">
        <v>7</v>
      </c>
      <c r="L206" s="4" t="n">
        <f aca="false">ROUND(E206*Rubric!$B$4+F206*Rubric!$B$5+G206*Rubric!$B$6+H206*Rubric!$B$7+I206*Rubric!$B$8+J206*Rubric!$B$9+K206*Rubric!$B$10-IF(OR(G206&lt;Rubric!$B$12,J206&lt;Rubric!$B$12),Rubric!$B$13,0),2)</f>
        <v>7.45</v>
      </c>
      <c r="M206" s="4" t="n">
        <f aca="false">SUMIFS('Revision Log'!$M:$M,'Revision Log'!$N:$N,O206,'Revision Log'!$C:$C,0)</f>
        <v>6.6</v>
      </c>
      <c r="N206" s="16" t="n">
        <f aca="false">L206-M206</f>
        <v>0.850000000000001</v>
      </c>
      <c r="O206" s="14" t="n">
        <v>1264</v>
      </c>
    </row>
    <row r="207" customFormat="false" ht="23.85" hidden="false" customHeight="false" outlineLevel="0" collapsed="false">
      <c r="A207" s="2" t="s">
        <v>236</v>
      </c>
      <c r="B207" s="2" t="s">
        <v>237</v>
      </c>
      <c r="C207" s="14" t="n">
        <v>1</v>
      </c>
      <c r="D207" s="2" t="s">
        <v>536</v>
      </c>
      <c r="E207" s="15" t="n">
        <v>8</v>
      </c>
      <c r="F207" s="15" t="n">
        <v>8</v>
      </c>
      <c r="G207" s="15" t="n">
        <v>8</v>
      </c>
      <c r="H207" s="15" t="n">
        <v>3</v>
      </c>
      <c r="I207" s="15" t="n">
        <v>9</v>
      </c>
      <c r="J207" s="15" t="n">
        <v>8</v>
      </c>
      <c r="K207" s="15" t="n">
        <v>7</v>
      </c>
      <c r="L207" s="4" t="n">
        <f aca="false">ROUND(E207*Rubric!$B$4+F207*Rubric!$B$5+G207*Rubric!$B$6+H207*Rubric!$B$7+I207*Rubric!$B$8+J207*Rubric!$B$9+K207*Rubric!$B$10-IF(OR(G207&lt;Rubric!$B$12,J207&lt;Rubric!$B$12),Rubric!$B$13,0),2)</f>
        <v>7.8</v>
      </c>
      <c r="M207" s="4" t="n">
        <f aca="false">SUMIFS('Revision Log'!$M:$M,'Revision Log'!$N:$N,O207,'Revision Log'!$C:$C,0)</f>
        <v>7</v>
      </c>
      <c r="N207" s="16" t="n">
        <f aca="false">L207-M207</f>
        <v>0.8</v>
      </c>
      <c r="O207" s="14" t="n">
        <v>1270</v>
      </c>
    </row>
    <row r="208" customFormat="false" ht="23.85" hidden="false" customHeight="false" outlineLevel="0" collapsed="false">
      <c r="A208" s="2" t="s">
        <v>236</v>
      </c>
      <c r="B208" s="2" t="s">
        <v>237</v>
      </c>
      <c r="C208" s="14" t="n">
        <v>2</v>
      </c>
      <c r="D208" s="2" t="s">
        <v>537</v>
      </c>
      <c r="E208" s="15" t="n">
        <v>9</v>
      </c>
      <c r="F208" s="15" t="n">
        <v>8</v>
      </c>
      <c r="G208" s="15" t="n">
        <v>7</v>
      </c>
      <c r="H208" s="15" t="n">
        <v>9</v>
      </c>
      <c r="I208" s="15" t="n">
        <v>10</v>
      </c>
      <c r="J208" s="15" t="n">
        <v>8</v>
      </c>
      <c r="K208" s="15" t="n">
        <v>9</v>
      </c>
      <c r="L208" s="4" t="n">
        <f aca="false">ROUND(E208*Rubric!$B$4+F208*Rubric!$B$5+G208*Rubric!$B$6+H208*Rubric!$B$7+I208*Rubric!$B$8+J208*Rubric!$B$9+K208*Rubric!$B$10-IF(OR(G208&lt;Rubric!$B$12,J208&lt;Rubric!$B$12),Rubric!$B$13,0),2)</f>
        <v>8.95</v>
      </c>
      <c r="M208" s="4" t="n">
        <f aca="false">SUMIFS('Revision Log'!$M:$M,'Revision Log'!$N:$N,O208,'Revision Log'!$C:$C,0)</f>
        <v>8.1</v>
      </c>
      <c r="N208" s="16" t="n">
        <f aca="false">L208-M208</f>
        <v>0.85</v>
      </c>
      <c r="O208" s="14" t="n">
        <v>1271</v>
      </c>
    </row>
    <row r="209" customFormat="false" ht="23.85" hidden="false" customHeight="false" outlineLevel="0" collapsed="false">
      <c r="A209" s="2" t="s">
        <v>236</v>
      </c>
      <c r="B209" s="2" t="s">
        <v>237</v>
      </c>
      <c r="C209" s="14" t="n">
        <v>3</v>
      </c>
      <c r="D209" s="2" t="s">
        <v>461</v>
      </c>
      <c r="E209" s="15" t="n">
        <v>9</v>
      </c>
      <c r="F209" s="15" t="n">
        <v>8</v>
      </c>
      <c r="G209" s="15" t="n">
        <v>8</v>
      </c>
      <c r="H209" s="15" t="n">
        <v>10</v>
      </c>
      <c r="I209" s="15" t="n">
        <v>10</v>
      </c>
      <c r="J209" s="15" t="n">
        <v>8</v>
      </c>
      <c r="K209" s="15" t="n">
        <v>9</v>
      </c>
      <c r="L209" s="4" t="n">
        <f aca="false">ROUND(E209*Rubric!$B$4+F209*Rubric!$B$5+G209*Rubric!$B$6+H209*Rubric!$B$7+I209*Rubric!$B$8+J209*Rubric!$B$9+K209*Rubric!$B$10-IF(OR(G209&lt;Rubric!$B$12,J209&lt;Rubric!$B$12),Rubric!$B$13,0),2)</f>
        <v>9.15</v>
      </c>
      <c r="M209" s="4" t="n">
        <f aca="false">SUMIFS('Revision Log'!$M:$M,'Revision Log'!$N:$N,O209,'Revision Log'!$C:$C,0)</f>
        <v>8.75</v>
      </c>
      <c r="N209" s="16" t="n">
        <f aca="false">L209-M209</f>
        <v>0.4</v>
      </c>
      <c r="O209" s="14" t="n">
        <v>1272</v>
      </c>
    </row>
    <row r="210" customFormat="false" ht="23.85" hidden="false" customHeight="false" outlineLevel="0" collapsed="false">
      <c r="A210" s="2" t="s">
        <v>236</v>
      </c>
      <c r="B210" s="2" t="s">
        <v>237</v>
      </c>
      <c r="C210" s="14" t="n">
        <v>4</v>
      </c>
      <c r="D210" s="2" t="s">
        <v>434</v>
      </c>
      <c r="E210" s="15" t="n">
        <v>8</v>
      </c>
      <c r="F210" s="15" t="n">
        <v>8</v>
      </c>
      <c r="G210" s="15" t="n">
        <v>7</v>
      </c>
      <c r="H210" s="15" t="n">
        <v>10</v>
      </c>
      <c r="I210" s="15" t="n">
        <v>9</v>
      </c>
      <c r="J210" s="15" t="n">
        <v>7</v>
      </c>
      <c r="K210" s="15" t="n">
        <v>8</v>
      </c>
      <c r="L210" s="4" t="n">
        <f aca="false">ROUND(E210*Rubric!$B$4+F210*Rubric!$B$5+G210*Rubric!$B$6+H210*Rubric!$B$7+I210*Rubric!$B$8+J210*Rubric!$B$9+K210*Rubric!$B$10-IF(OR(G210&lt;Rubric!$B$12,J210&lt;Rubric!$B$12),Rubric!$B$13,0),2)</f>
        <v>8.4</v>
      </c>
      <c r="M210" s="4" t="n">
        <f aca="false">SUMIFS('Revision Log'!$M:$M,'Revision Log'!$N:$N,O210,'Revision Log'!$C:$C,0)</f>
        <v>7.7</v>
      </c>
      <c r="N210" s="16" t="n">
        <f aca="false">L210-M210</f>
        <v>0.7</v>
      </c>
      <c r="O210" s="14" t="n">
        <v>1273</v>
      </c>
    </row>
    <row r="211" customFormat="false" ht="23.85" hidden="false" customHeight="false" outlineLevel="0" collapsed="false">
      <c r="A211" s="2" t="s">
        <v>236</v>
      </c>
      <c r="B211" s="2" t="s">
        <v>237</v>
      </c>
      <c r="C211" s="14" t="n">
        <v>5</v>
      </c>
      <c r="D211" s="2" t="s">
        <v>538</v>
      </c>
      <c r="E211" s="15" t="n">
        <v>9</v>
      </c>
      <c r="F211" s="15" t="n">
        <v>9</v>
      </c>
      <c r="G211" s="15" t="n">
        <v>8</v>
      </c>
      <c r="H211" s="15" t="n">
        <v>3</v>
      </c>
      <c r="I211" s="15" t="n">
        <v>8</v>
      </c>
      <c r="J211" s="15" t="n">
        <v>9</v>
      </c>
      <c r="K211" s="15" t="n">
        <v>8</v>
      </c>
      <c r="L211" s="4" t="n">
        <f aca="false">ROUND(E211*Rubric!$B$4+F211*Rubric!$B$5+G211*Rubric!$B$6+H211*Rubric!$B$7+I211*Rubric!$B$8+J211*Rubric!$B$9+K211*Rubric!$B$10-IF(OR(G211&lt;Rubric!$B$12,J211&lt;Rubric!$B$12),Rubric!$B$13,0),2)</f>
        <v>7.8</v>
      </c>
      <c r="M211" s="4" t="n">
        <f aca="false">SUMIFS('Revision Log'!$M:$M,'Revision Log'!$N:$N,O211,'Revision Log'!$C:$C,0)</f>
        <v>7.4</v>
      </c>
      <c r="N211" s="16" t="n">
        <f aca="false">L211-M211</f>
        <v>0.399999999999999</v>
      </c>
      <c r="O211" s="14" t="n">
        <v>1274</v>
      </c>
    </row>
    <row r="212" customFormat="false" ht="23.85" hidden="false" customHeight="false" outlineLevel="0" collapsed="false">
      <c r="A212" s="2" t="s">
        <v>16</v>
      </c>
      <c r="B212" s="2" t="s">
        <v>241</v>
      </c>
      <c r="C212" s="14" t="n">
        <v>1</v>
      </c>
      <c r="D212" s="2" t="s">
        <v>539</v>
      </c>
      <c r="E212" s="15" t="n">
        <v>7</v>
      </c>
      <c r="F212" s="15" t="n">
        <v>8</v>
      </c>
      <c r="G212" s="15" t="n">
        <v>8</v>
      </c>
      <c r="H212" s="15" t="n">
        <v>3</v>
      </c>
      <c r="I212" s="15" t="n">
        <v>9</v>
      </c>
      <c r="J212" s="15" t="n">
        <v>8</v>
      </c>
      <c r="K212" s="15" t="n">
        <v>7</v>
      </c>
      <c r="L212" s="4" t="n">
        <f aca="false">ROUND(E212*Rubric!$B$4+F212*Rubric!$B$5+G212*Rubric!$B$6+H212*Rubric!$B$7+I212*Rubric!$B$8+J212*Rubric!$B$9+K212*Rubric!$B$10-IF(OR(G212&lt;Rubric!$B$12,J212&lt;Rubric!$B$12),Rubric!$B$13,0),2)</f>
        <v>7.75</v>
      </c>
      <c r="M212" s="4" t="n">
        <f aca="false">SUMIFS('Revision Log'!$M:$M,'Revision Log'!$N:$N,O212,'Revision Log'!$C:$C,0)</f>
        <v>7.55</v>
      </c>
      <c r="N212" s="16" t="n">
        <f aca="false">L212-M212</f>
        <v>0.2</v>
      </c>
      <c r="O212" s="14" t="n">
        <v>1280</v>
      </c>
    </row>
    <row r="213" customFormat="false" ht="23.85" hidden="false" customHeight="false" outlineLevel="0" collapsed="false">
      <c r="A213" s="2" t="s">
        <v>16</v>
      </c>
      <c r="B213" s="2" t="s">
        <v>241</v>
      </c>
      <c r="C213" s="14" t="n">
        <v>2</v>
      </c>
      <c r="D213" s="2" t="s">
        <v>540</v>
      </c>
      <c r="E213" s="15" t="n">
        <v>8</v>
      </c>
      <c r="F213" s="15" t="n">
        <v>9</v>
      </c>
      <c r="G213" s="15" t="n">
        <v>8</v>
      </c>
      <c r="H213" s="15" t="n">
        <v>3</v>
      </c>
      <c r="I213" s="15" t="n">
        <v>9</v>
      </c>
      <c r="J213" s="15" t="n">
        <v>9</v>
      </c>
      <c r="K213" s="15" t="n">
        <v>8</v>
      </c>
      <c r="L213" s="4" t="n">
        <f aca="false">ROUND(E213*Rubric!$B$4+F213*Rubric!$B$5+G213*Rubric!$B$6+H213*Rubric!$B$7+I213*Rubric!$B$8+J213*Rubric!$B$9+K213*Rubric!$B$10-IF(OR(G213&lt;Rubric!$B$12,J213&lt;Rubric!$B$12),Rubric!$B$13,0),2)</f>
        <v>8.15</v>
      </c>
      <c r="M213" s="4" t="n">
        <f aca="false">SUMIFS('Revision Log'!$M:$M,'Revision Log'!$N:$N,O213,'Revision Log'!$C:$C,0)</f>
        <v>7.9</v>
      </c>
      <c r="N213" s="16" t="n">
        <f aca="false">L213-M213</f>
        <v>0.25</v>
      </c>
      <c r="O213" s="14" t="n">
        <v>1281</v>
      </c>
    </row>
    <row r="214" customFormat="false" ht="23.85" hidden="false" customHeight="false" outlineLevel="0" collapsed="false">
      <c r="A214" s="2" t="s">
        <v>16</v>
      </c>
      <c r="B214" s="2" t="s">
        <v>241</v>
      </c>
      <c r="C214" s="14" t="n">
        <v>3</v>
      </c>
      <c r="D214" s="2" t="s">
        <v>359</v>
      </c>
      <c r="E214" s="15" t="n">
        <v>8</v>
      </c>
      <c r="F214" s="15" t="n">
        <v>8</v>
      </c>
      <c r="G214" s="15" t="n">
        <v>8</v>
      </c>
      <c r="H214" s="15" t="n">
        <v>4</v>
      </c>
      <c r="I214" s="15" t="n">
        <v>8</v>
      </c>
      <c r="J214" s="15" t="n">
        <v>8</v>
      </c>
      <c r="K214" s="15" t="n">
        <v>7</v>
      </c>
      <c r="L214" s="4" t="n">
        <f aca="false">ROUND(E214*Rubric!$B$4+F214*Rubric!$B$5+G214*Rubric!$B$6+H214*Rubric!$B$7+I214*Rubric!$B$8+J214*Rubric!$B$9+K214*Rubric!$B$10-IF(OR(G214&lt;Rubric!$B$12,J214&lt;Rubric!$B$12),Rubric!$B$13,0),2)</f>
        <v>7.5</v>
      </c>
      <c r="M214" s="4" t="n">
        <f aca="false">SUMIFS('Revision Log'!$M:$M,'Revision Log'!$N:$N,O214,'Revision Log'!$C:$C,0)</f>
        <v>7.4</v>
      </c>
      <c r="N214" s="16" t="n">
        <f aca="false">L214-M214</f>
        <v>0.0999999999999996</v>
      </c>
      <c r="O214" s="14" t="n">
        <v>1282</v>
      </c>
    </row>
    <row r="215" customFormat="false" ht="15" hidden="false" customHeight="false" outlineLevel="0" collapsed="false">
      <c r="A215" s="2" t="s">
        <v>16</v>
      </c>
      <c r="B215" s="2" t="s">
        <v>241</v>
      </c>
      <c r="C215" s="14" t="n">
        <v>4</v>
      </c>
      <c r="D215" s="2" t="s">
        <v>541</v>
      </c>
      <c r="E215" s="15" t="n">
        <v>8</v>
      </c>
      <c r="F215" s="15" t="n">
        <v>8</v>
      </c>
      <c r="G215" s="15" t="n">
        <v>8</v>
      </c>
      <c r="H215" s="15" t="n">
        <v>3</v>
      </c>
      <c r="I215" s="15" t="n">
        <v>9</v>
      </c>
      <c r="J215" s="15" t="n">
        <v>8</v>
      </c>
      <c r="K215" s="15" t="n">
        <v>7</v>
      </c>
      <c r="L215" s="4" t="n">
        <f aca="false">ROUND(E215*Rubric!$B$4+F215*Rubric!$B$5+G215*Rubric!$B$6+H215*Rubric!$B$7+I215*Rubric!$B$8+J215*Rubric!$B$9+K215*Rubric!$B$10-IF(OR(G215&lt;Rubric!$B$12,J215&lt;Rubric!$B$12),Rubric!$B$13,0),2)</f>
        <v>7.8</v>
      </c>
      <c r="M215" s="4" t="n">
        <f aca="false">SUMIFS('Revision Log'!$M:$M,'Revision Log'!$N:$N,O215,'Revision Log'!$C:$C,0)</f>
        <v>7.55</v>
      </c>
      <c r="N215" s="16" t="n">
        <f aca="false">L215-M215</f>
        <v>0.25</v>
      </c>
      <c r="O215" s="14" t="n">
        <v>1283</v>
      </c>
    </row>
    <row r="216" customFormat="false" ht="15" hidden="false" customHeight="false" outlineLevel="0" collapsed="false">
      <c r="A216" s="2" t="s">
        <v>16</v>
      </c>
      <c r="B216" s="2" t="s">
        <v>241</v>
      </c>
      <c r="C216" s="14" t="n">
        <v>5</v>
      </c>
      <c r="D216" s="2" t="s">
        <v>542</v>
      </c>
      <c r="E216" s="15" t="n">
        <v>9</v>
      </c>
      <c r="F216" s="15" t="n">
        <v>7</v>
      </c>
      <c r="G216" s="15" t="n">
        <v>8</v>
      </c>
      <c r="H216" s="15" t="n">
        <v>8</v>
      </c>
      <c r="I216" s="15" t="n">
        <v>8</v>
      </c>
      <c r="J216" s="15" t="n">
        <v>8</v>
      </c>
      <c r="K216" s="15" t="n">
        <v>7</v>
      </c>
      <c r="L216" s="4" t="n">
        <f aca="false">ROUND(E216*Rubric!$B$4+F216*Rubric!$B$5+G216*Rubric!$B$6+H216*Rubric!$B$7+I216*Rubric!$B$8+J216*Rubric!$B$9+K216*Rubric!$B$10-IF(OR(G216&lt;Rubric!$B$12,J216&lt;Rubric!$B$12),Rubric!$B$13,0),2)</f>
        <v>7.8</v>
      </c>
      <c r="M216" s="4" t="n">
        <f aca="false">SUMIFS('Revision Log'!$M:$M,'Revision Log'!$N:$N,O216,'Revision Log'!$C:$C,0)</f>
        <v>7.4</v>
      </c>
      <c r="N216" s="16" t="n">
        <f aca="false">L216-M216</f>
        <v>0.399999999999999</v>
      </c>
      <c r="O216" s="14" t="n">
        <v>1284</v>
      </c>
    </row>
    <row r="217" customFormat="false" ht="15" hidden="false" customHeight="false" outlineLevel="0" collapsed="false">
      <c r="A217" s="2" t="s">
        <v>16</v>
      </c>
      <c r="B217" s="2" t="s">
        <v>246</v>
      </c>
      <c r="C217" s="14" t="n">
        <v>1</v>
      </c>
      <c r="D217" s="2" t="s">
        <v>535</v>
      </c>
      <c r="E217" s="15" t="n">
        <v>9</v>
      </c>
      <c r="F217" s="15" t="n">
        <v>8</v>
      </c>
      <c r="G217" s="15" t="n">
        <v>8</v>
      </c>
      <c r="H217" s="15" t="n">
        <v>3</v>
      </c>
      <c r="I217" s="15" t="n">
        <v>9</v>
      </c>
      <c r="J217" s="15" t="n">
        <v>8</v>
      </c>
      <c r="K217" s="15" t="n">
        <v>7</v>
      </c>
      <c r="L217" s="4" t="n">
        <f aca="false">ROUND(E217*Rubric!$B$4+F217*Rubric!$B$5+G217*Rubric!$B$6+H217*Rubric!$B$7+I217*Rubric!$B$8+J217*Rubric!$B$9+K217*Rubric!$B$10-IF(OR(G217&lt;Rubric!$B$12,J217&lt;Rubric!$B$12),Rubric!$B$13,0),2)</f>
        <v>7.85</v>
      </c>
      <c r="M217" s="4" t="n">
        <f aca="false">SUMIFS('Revision Log'!$M:$M,'Revision Log'!$N:$N,O217,'Revision Log'!$C:$C,0)</f>
        <v>6.65</v>
      </c>
      <c r="N217" s="16" t="n">
        <f aca="false">L217-M217</f>
        <v>1.2</v>
      </c>
      <c r="O217" s="14" t="n">
        <v>1290</v>
      </c>
    </row>
    <row r="218" customFormat="false" ht="15" hidden="false" customHeight="false" outlineLevel="0" collapsed="false">
      <c r="A218" s="2" t="s">
        <v>16</v>
      </c>
      <c r="B218" s="2" t="s">
        <v>246</v>
      </c>
      <c r="C218" s="14" t="n">
        <v>2</v>
      </c>
      <c r="D218" s="2" t="s">
        <v>511</v>
      </c>
      <c r="E218" s="15" t="n">
        <v>9</v>
      </c>
      <c r="F218" s="15" t="n">
        <v>9</v>
      </c>
      <c r="G218" s="15" t="n">
        <v>8</v>
      </c>
      <c r="H218" s="15" t="n">
        <v>3</v>
      </c>
      <c r="I218" s="15" t="n">
        <v>9</v>
      </c>
      <c r="J218" s="15" t="n">
        <v>9</v>
      </c>
      <c r="K218" s="15" t="n">
        <v>8</v>
      </c>
      <c r="L218" s="4" t="n">
        <f aca="false">ROUND(E218*Rubric!$B$4+F218*Rubric!$B$5+G218*Rubric!$B$6+H218*Rubric!$B$7+I218*Rubric!$B$8+J218*Rubric!$B$9+K218*Rubric!$B$10-IF(OR(G218&lt;Rubric!$B$12,J218&lt;Rubric!$B$12),Rubric!$B$13,0),2)</f>
        <v>8.2</v>
      </c>
      <c r="M218" s="4" t="n">
        <f aca="false">SUMIFS('Revision Log'!$M:$M,'Revision Log'!$N:$N,O218,'Revision Log'!$C:$C,0)</f>
        <v>7.4</v>
      </c>
      <c r="N218" s="16" t="n">
        <f aca="false">L218-M218</f>
        <v>0.799999999999999</v>
      </c>
      <c r="O218" s="14" t="n">
        <v>1291</v>
      </c>
    </row>
    <row r="219" customFormat="false" ht="23.85" hidden="false" customHeight="false" outlineLevel="0" collapsed="false">
      <c r="A219" s="2" t="s">
        <v>16</v>
      </c>
      <c r="B219" s="2" t="s">
        <v>246</v>
      </c>
      <c r="C219" s="14" t="n">
        <v>3</v>
      </c>
      <c r="D219" s="2" t="s">
        <v>543</v>
      </c>
      <c r="E219" s="15" t="n">
        <v>8</v>
      </c>
      <c r="F219" s="15" t="n">
        <v>8</v>
      </c>
      <c r="G219" s="15" t="n">
        <v>8</v>
      </c>
      <c r="H219" s="15" t="n">
        <v>3</v>
      </c>
      <c r="I219" s="15" t="n">
        <v>9</v>
      </c>
      <c r="J219" s="15" t="n">
        <v>8</v>
      </c>
      <c r="K219" s="15" t="n">
        <v>8</v>
      </c>
      <c r="L219" s="4" t="n">
        <f aca="false">ROUND(E219*Rubric!$B$4+F219*Rubric!$B$5+G219*Rubric!$B$6+H219*Rubric!$B$7+I219*Rubric!$B$8+J219*Rubric!$B$9+K219*Rubric!$B$10-IF(OR(G219&lt;Rubric!$B$12,J219&lt;Rubric!$B$12),Rubric!$B$13,0),2)</f>
        <v>7.9</v>
      </c>
      <c r="M219" s="4" t="n">
        <f aca="false">SUMIFS('Revision Log'!$M:$M,'Revision Log'!$N:$N,O219,'Revision Log'!$C:$C,0)</f>
        <v>7.2</v>
      </c>
      <c r="N219" s="16" t="n">
        <f aca="false">L219-M219</f>
        <v>0.7</v>
      </c>
      <c r="O219" s="14" t="n">
        <v>1292</v>
      </c>
    </row>
    <row r="220" customFormat="false" ht="23.85" hidden="false" customHeight="false" outlineLevel="0" collapsed="false">
      <c r="A220" s="2" t="s">
        <v>16</v>
      </c>
      <c r="B220" s="2" t="s">
        <v>246</v>
      </c>
      <c r="C220" s="14" t="n">
        <v>4</v>
      </c>
      <c r="D220" s="2" t="s">
        <v>544</v>
      </c>
      <c r="E220" s="15" t="n">
        <v>7</v>
      </c>
      <c r="F220" s="15" t="n">
        <v>7</v>
      </c>
      <c r="G220" s="15" t="n">
        <v>7</v>
      </c>
      <c r="H220" s="15" t="n">
        <v>3</v>
      </c>
      <c r="I220" s="15" t="n">
        <v>9</v>
      </c>
      <c r="J220" s="15" t="n">
        <v>7</v>
      </c>
      <c r="K220" s="15" t="n">
        <v>8</v>
      </c>
      <c r="L220" s="4" t="n">
        <f aca="false">ROUND(E220*Rubric!$B$4+F220*Rubric!$B$5+G220*Rubric!$B$6+H220*Rubric!$B$7+I220*Rubric!$B$8+J220*Rubric!$B$9+K220*Rubric!$B$10-IF(OR(G220&lt;Rubric!$B$12,J220&lt;Rubric!$B$12),Rubric!$B$13,0),2)</f>
        <v>7.5</v>
      </c>
      <c r="M220" s="4" t="n">
        <f aca="false">SUMIFS('Revision Log'!$M:$M,'Revision Log'!$N:$N,O220,'Revision Log'!$C:$C,0)</f>
        <v>6.55</v>
      </c>
      <c r="N220" s="16" t="n">
        <f aca="false">L220-M220</f>
        <v>0.95</v>
      </c>
      <c r="O220" s="14" t="n">
        <v>1293</v>
      </c>
    </row>
    <row r="221" customFormat="false" ht="23.85" hidden="false" customHeight="false" outlineLevel="0" collapsed="false">
      <c r="A221" s="2" t="s">
        <v>16</v>
      </c>
      <c r="B221" s="2" t="s">
        <v>246</v>
      </c>
      <c r="C221" s="14" t="n">
        <v>5</v>
      </c>
      <c r="D221" s="2" t="s">
        <v>545</v>
      </c>
      <c r="E221" s="15" t="n">
        <v>7</v>
      </c>
      <c r="F221" s="15" t="n">
        <v>9</v>
      </c>
      <c r="G221" s="15" t="n">
        <v>8</v>
      </c>
      <c r="H221" s="15" t="n">
        <v>3</v>
      </c>
      <c r="I221" s="15" t="n">
        <v>8</v>
      </c>
      <c r="J221" s="15" t="n">
        <v>9</v>
      </c>
      <c r="K221" s="15" t="n">
        <v>8</v>
      </c>
      <c r="L221" s="4" t="n">
        <f aca="false">ROUND(E221*Rubric!$B$4+F221*Rubric!$B$5+G221*Rubric!$B$6+H221*Rubric!$B$7+I221*Rubric!$B$8+J221*Rubric!$B$9+K221*Rubric!$B$10-IF(OR(G221&lt;Rubric!$B$12,J221&lt;Rubric!$B$12),Rubric!$B$13,0),2)</f>
        <v>7.7</v>
      </c>
      <c r="M221" s="4" t="n">
        <f aca="false">SUMIFS('Revision Log'!$M:$M,'Revision Log'!$N:$N,O221,'Revision Log'!$C:$C,0)</f>
        <v>7.3</v>
      </c>
      <c r="N221" s="16" t="n">
        <f aca="false">L221-M221</f>
        <v>0.4</v>
      </c>
      <c r="O221" s="14" t="n">
        <v>1294</v>
      </c>
    </row>
    <row r="222" customFormat="false" ht="23.85" hidden="false" customHeight="false" outlineLevel="0" collapsed="false">
      <c r="A222" s="2" t="s">
        <v>16</v>
      </c>
      <c r="B222" s="2" t="s">
        <v>251</v>
      </c>
      <c r="C222" s="14" t="n">
        <v>1</v>
      </c>
      <c r="D222" s="2" t="s">
        <v>514</v>
      </c>
      <c r="E222" s="15" t="n">
        <v>8</v>
      </c>
      <c r="F222" s="15" t="n">
        <v>8</v>
      </c>
      <c r="G222" s="15" t="n">
        <v>8</v>
      </c>
      <c r="H222" s="15" t="n">
        <v>4</v>
      </c>
      <c r="I222" s="15" t="n">
        <v>9</v>
      </c>
      <c r="J222" s="15" t="n">
        <v>7</v>
      </c>
      <c r="K222" s="15" t="n">
        <v>8</v>
      </c>
      <c r="L222" s="4" t="n">
        <f aca="false">ROUND(E222*Rubric!$B$4+F222*Rubric!$B$5+G222*Rubric!$B$6+H222*Rubric!$B$7+I222*Rubric!$B$8+J222*Rubric!$B$9+K222*Rubric!$B$10-IF(OR(G222&lt;Rubric!$B$12,J222&lt;Rubric!$B$12),Rubric!$B$13,0),2)</f>
        <v>7.9</v>
      </c>
      <c r="M222" s="4" t="n">
        <f aca="false">SUMIFS('Revision Log'!$M:$M,'Revision Log'!$N:$N,O222,'Revision Log'!$C:$C,0)</f>
        <v>7.5</v>
      </c>
      <c r="N222" s="16" t="n">
        <f aca="false">L222-M222</f>
        <v>0.4</v>
      </c>
      <c r="O222" s="14" t="n">
        <v>1300</v>
      </c>
    </row>
    <row r="223" customFormat="false" ht="23.85" hidden="false" customHeight="false" outlineLevel="0" collapsed="false">
      <c r="A223" s="2" t="s">
        <v>16</v>
      </c>
      <c r="B223" s="2" t="s">
        <v>251</v>
      </c>
      <c r="C223" s="14" t="n">
        <v>2</v>
      </c>
      <c r="D223" s="2" t="s">
        <v>546</v>
      </c>
      <c r="E223" s="15" t="n">
        <v>7</v>
      </c>
      <c r="F223" s="15" t="n">
        <v>8</v>
      </c>
      <c r="G223" s="15" t="n">
        <v>8</v>
      </c>
      <c r="H223" s="15" t="n">
        <v>3</v>
      </c>
      <c r="I223" s="15" t="n">
        <v>9</v>
      </c>
      <c r="J223" s="15" t="n">
        <v>8</v>
      </c>
      <c r="K223" s="15" t="n">
        <v>7</v>
      </c>
      <c r="L223" s="4" t="n">
        <f aca="false">ROUND(E223*Rubric!$B$4+F223*Rubric!$B$5+G223*Rubric!$B$6+H223*Rubric!$B$7+I223*Rubric!$B$8+J223*Rubric!$B$9+K223*Rubric!$B$10-IF(OR(G223&lt;Rubric!$B$12,J223&lt;Rubric!$B$12),Rubric!$B$13,0),2)</f>
        <v>7.75</v>
      </c>
      <c r="M223" s="4" t="n">
        <f aca="false">SUMIFS('Revision Log'!$M:$M,'Revision Log'!$N:$N,O223,'Revision Log'!$C:$C,0)</f>
        <v>7.5</v>
      </c>
      <c r="N223" s="16" t="n">
        <f aca="false">L223-M223</f>
        <v>0.25</v>
      </c>
      <c r="O223" s="14" t="n">
        <v>1301</v>
      </c>
    </row>
    <row r="224" customFormat="false" ht="15" hidden="false" customHeight="false" outlineLevel="0" collapsed="false">
      <c r="A224" s="2" t="s">
        <v>16</v>
      </c>
      <c r="B224" s="2" t="s">
        <v>251</v>
      </c>
      <c r="C224" s="14" t="n">
        <v>3</v>
      </c>
      <c r="D224" s="2" t="s">
        <v>547</v>
      </c>
      <c r="E224" s="15" t="n">
        <v>8</v>
      </c>
      <c r="F224" s="15" t="n">
        <v>8</v>
      </c>
      <c r="G224" s="15" t="n">
        <v>8</v>
      </c>
      <c r="H224" s="15" t="n">
        <v>9</v>
      </c>
      <c r="I224" s="15" t="n">
        <v>8</v>
      </c>
      <c r="J224" s="15" t="n">
        <v>7</v>
      </c>
      <c r="K224" s="15" t="n">
        <v>8</v>
      </c>
      <c r="L224" s="4" t="n">
        <f aca="false">ROUND(E224*Rubric!$B$4+F224*Rubric!$B$5+G224*Rubric!$B$6+H224*Rubric!$B$7+I224*Rubric!$B$8+J224*Rubric!$B$9+K224*Rubric!$B$10-IF(OR(G224&lt;Rubric!$B$12,J224&lt;Rubric!$B$12),Rubric!$B$13,0),2)</f>
        <v>8</v>
      </c>
      <c r="M224" s="4" t="n">
        <f aca="false">SUMIFS('Revision Log'!$M:$M,'Revision Log'!$N:$N,O224,'Revision Log'!$C:$C,0)</f>
        <v>7.4</v>
      </c>
      <c r="N224" s="16" t="n">
        <f aca="false">L224-M224</f>
        <v>0.6</v>
      </c>
      <c r="O224" s="14" t="n">
        <v>1302</v>
      </c>
    </row>
    <row r="225" customFormat="false" ht="23.85" hidden="false" customHeight="false" outlineLevel="0" collapsed="false">
      <c r="A225" s="2" t="s">
        <v>16</v>
      </c>
      <c r="B225" s="2" t="s">
        <v>251</v>
      </c>
      <c r="C225" s="14" t="n">
        <v>4</v>
      </c>
      <c r="D225" s="2" t="s">
        <v>488</v>
      </c>
      <c r="E225" s="15" t="n">
        <v>9</v>
      </c>
      <c r="F225" s="15" t="n">
        <v>8</v>
      </c>
      <c r="G225" s="15" t="n">
        <v>8</v>
      </c>
      <c r="H225" s="15" t="n">
        <v>3</v>
      </c>
      <c r="I225" s="15" t="n">
        <v>9</v>
      </c>
      <c r="J225" s="15" t="n">
        <v>8</v>
      </c>
      <c r="K225" s="15" t="n">
        <v>7</v>
      </c>
      <c r="L225" s="4" t="n">
        <f aca="false">ROUND(E225*Rubric!$B$4+F225*Rubric!$B$5+G225*Rubric!$B$6+H225*Rubric!$B$7+I225*Rubric!$B$8+J225*Rubric!$B$9+K225*Rubric!$B$10-IF(OR(G225&lt;Rubric!$B$12,J225&lt;Rubric!$B$12),Rubric!$B$13,0),2)</f>
        <v>7.85</v>
      </c>
      <c r="M225" s="4" t="n">
        <f aca="false">SUMIFS('Revision Log'!$M:$M,'Revision Log'!$N:$N,O225,'Revision Log'!$C:$C,0)</f>
        <v>7.25</v>
      </c>
      <c r="N225" s="16" t="n">
        <f aca="false">L225-M225</f>
        <v>0.6</v>
      </c>
      <c r="O225" s="14" t="n">
        <v>1303</v>
      </c>
    </row>
    <row r="226" customFormat="false" ht="15" hidden="false" customHeight="false" outlineLevel="0" collapsed="false">
      <c r="A226" s="2" t="s">
        <v>16</v>
      </c>
      <c r="B226" s="2" t="s">
        <v>251</v>
      </c>
      <c r="C226" s="14" t="n">
        <v>5</v>
      </c>
      <c r="D226" s="2" t="s">
        <v>548</v>
      </c>
      <c r="E226" s="15" t="n">
        <v>8</v>
      </c>
      <c r="F226" s="15" t="n">
        <v>7</v>
      </c>
      <c r="G226" s="15" t="n">
        <v>8</v>
      </c>
      <c r="H226" s="15" t="n">
        <v>4</v>
      </c>
      <c r="I226" s="15" t="n">
        <v>8</v>
      </c>
      <c r="J226" s="15" t="n">
        <v>8</v>
      </c>
      <c r="K226" s="15" t="n">
        <v>8</v>
      </c>
      <c r="L226" s="4" t="n">
        <f aca="false">ROUND(E226*Rubric!$B$4+F226*Rubric!$B$5+G226*Rubric!$B$6+H226*Rubric!$B$7+I226*Rubric!$B$8+J226*Rubric!$B$9+K226*Rubric!$B$10-IF(OR(G226&lt;Rubric!$B$12,J226&lt;Rubric!$B$12),Rubric!$B$13,0),2)</f>
        <v>7.45</v>
      </c>
      <c r="M226" s="4" t="n">
        <f aca="false">SUMIFS('Revision Log'!$M:$M,'Revision Log'!$N:$N,O226,'Revision Log'!$C:$C,0)</f>
        <v>7.5</v>
      </c>
      <c r="N226" s="16" t="n">
        <f aca="false">L226-M226</f>
        <v>-0.0499999999999998</v>
      </c>
      <c r="O226" s="14" t="n">
        <v>1304</v>
      </c>
    </row>
    <row r="227" customFormat="false" ht="23.85" hidden="false" customHeight="false" outlineLevel="0" collapsed="false">
      <c r="A227" s="2" t="s">
        <v>16</v>
      </c>
      <c r="B227" s="2" t="s">
        <v>254</v>
      </c>
      <c r="C227" s="14" t="n">
        <v>1</v>
      </c>
      <c r="D227" s="2" t="s">
        <v>365</v>
      </c>
      <c r="E227" s="15" t="n">
        <v>9</v>
      </c>
      <c r="F227" s="15" t="n">
        <v>8</v>
      </c>
      <c r="G227" s="15" t="n">
        <v>8</v>
      </c>
      <c r="H227" s="15" t="n">
        <v>3</v>
      </c>
      <c r="I227" s="15" t="n">
        <v>10</v>
      </c>
      <c r="J227" s="15" t="n">
        <v>8</v>
      </c>
      <c r="K227" s="15" t="n">
        <v>8</v>
      </c>
      <c r="L227" s="4" t="n">
        <f aca="false">ROUND(E227*Rubric!$B$4+F227*Rubric!$B$5+G227*Rubric!$B$6+H227*Rubric!$B$7+I227*Rubric!$B$8+J227*Rubric!$B$9+K227*Rubric!$B$10-IF(OR(G227&lt;Rubric!$B$12,J227&lt;Rubric!$B$12),Rubric!$B$13,0),2)</f>
        <v>8.35</v>
      </c>
      <c r="M227" s="4" t="n">
        <f aca="false">SUMIFS('Revision Log'!$M:$M,'Revision Log'!$N:$N,O227,'Revision Log'!$C:$C,0)</f>
        <v>7.1</v>
      </c>
      <c r="N227" s="16" t="n">
        <f aca="false">L227-M227</f>
        <v>1.25</v>
      </c>
      <c r="O227" s="14" t="n">
        <v>1310</v>
      </c>
    </row>
    <row r="228" customFormat="false" ht="23.85" hidden="false" customHeight="false" outlineLevel="0" collapsed="false">
      <c r="A228" s="2" t="s">
        <v>16</v>
      </c>
      <c r="B228" s="2" t="s">
        <v>254</v>
      </c>
      <c r="C228" s="14" t="n">
        <v>2</v>
      </c>
      <c r="D228" s="2" t="s">
        <v>549</v>
      </c>
      <c r="E228" s="15" t="n">
        <v>7</v>
      </c>
      <c r="F228" s="15" t="n">
        <v>9</v>
      </c>
      <c r="G228" s="15" t="n">
        <v>7</v>
      </c>
      <c r="H228" s="15" t="n">
        <v>3</v>
      </c>
      <c r="I228" s="15" t="n">
        <v>10</v>
      </c>
      <c r="J228" s="15" t="n">
        <v>8</v>
      </c>
      <c r="K228" s="15" t="n">
        <v>8</v>
      </c>
      <c r="L228" s="4" t="n">
        <f aca="false">ROUND(E228*Rubric!$B$4+F228*Rubric!$B$5+G228*Rubric!$B$6+H228*Rubric!$B$7+I228*Rubric!$B$8+J228*Rubric!$B$9+K228*Rubric!$B$10-IF(OR(G228&lt;Rubric!$B$12,J228&lt;Rubric!$B$12),Rubric!$B$13,0),2)</f>
        <v>8.3</v>
      </c>
      <c r="M228" s="4" t="n">
        <f aca="false">SUMIFS('Revision Log'!$M:$M,'Revision Log'!$N:$N,O228,'Revision Log'!$C:$C,0)</f>
        <v>7.15</v>
      </c>
      <c r="N228" s="16" t="n">
        <f aca="false">L228-M228</f>
        <v>1.15</v>
      </c>
      <c r="O228" s="14" t="n">
        <v>1311</v>
      </c>
    </row>
    <row r="229" customFormat="false" ht="23.85" hidden="false" customHeight="false" outlineLevel="0" collapsed="false">
      <c r="A229" s="2" t="s">
        <v>16</v>
      </c>
      <c r="B229" s="2" t="s">
        <v>254</v>
      </c>
      <c r="C229" s="14" t="n">
        <v>3</v>
      </c>
      <c r="D229" s="2" t="s">
        <v>550</v>
      </c>
      <c r="E229" s="15" t="n">
        <v>7</v>
      </c>
      <c r="F229" s="15" t="n">
        <v>8</v>
      </c>
      <c r="G229" s="15" t="n">
        <v>8</v>
      </c>
      <c r="H229" s="15" t="n">
        <v>3</v>
      </c>
      <c r="I229" s="15" t="n">
        <v>9</v>
      </c>
      <c r="J229" s="15" t="n">
        <v>8</v>
      </c>
      <c r="K229" s="15" t="n">
        <v>7</v>
      </c>
      <c r="L229" s="4" t="n">
        <f aca="false">ROUND(E229*Rubric!$B$4+F229*Rubric!$B$5+G229*Rubric!$B$6+H229*Rubric!$B$7+I229*Rubric!$B$8+J229*Rubric!$B$9+K229*Rubric!$B$10-IF(OR(G229&lt;Rubric!$B$12,J229&lt;Rubric!$B$12),Rubric!$B$13,0),2)</f>
        <v>7.75</v>
      </c>
      <c r="M229" s="4" t="n">
        <f aca="false">SUMIFS('Revision Log'!$M:$M,'Revision Log'!$N:$N,O229,'Revision Log'!$C:$C,0)</f>
        <v>7.2</v>
      </c>
      <c r="N229" s="16" t="n">
        <f aca="false">L229-M229</f>
        <v>0.55</v>
      </c>
      <c r="O229" s="14" t="n">
        <v>1312</v>
      </c>
    </row>
    <row r="230" customFormat="false" ht="23.85" hidden="false" customHeight="false" outlineLevel="0" collapsed="false">
      <c r="A230" s="2" t="s">
        <v>16</v>
      </c>
      <c r="B230" s="2" t="s">
        <v>254</v>
      </c>
      <c r="C230" s="14" t="n">
        <v>4</v>
      </c>
      <c r="D230" s="2" t="s">
        <v>370</v>
      </c>
      <c r="E230" s="15" t="n">
        <v>9</v>
      </c>
      <c r="F230" s="15" t="n">
        <v>8</v>
      </c>
      <c r="G230" s="15" t="n">
        <v>8</v>
      </c>
      <c r="H230" s="15" t="n">
        <v>2</v>
      </c>
      <c r="I230" s="15" t="n">
        <v>10</v>
      </c>
      <c r="J230" s="15" t="n">
        <v>8</v>
      </c>
      <c r="K230" s="15" t="n">
        <v>8</v>
      </c>
      <c r="L230" s="4" t="n">
        <f aca="false">ROUND(E230*Rubric!$B$4+F230*Rubric!$B$5+G230*Rubric!$B$6+H230*Rubric!$B$7+I230*Rubric!$B$8+J230*Rubric!$B$9+K230*Rubric!$B$10-IF(OR(G230&lt;Rubric!$B$12,J230&lt;Rubric!$B$12),Rubric!$B$13,0),2)</f>
        <v>8.25</v>
      </c>
      <c r="M230" s="4" t="n">
        <f aca="false">SUMIFS('Revision Log'!$M:$M,'Revision Log'!$N:$N,O230,'Revision Log'!$C:$C,0)</f>
        <v>7.1</v>
      </c>
      <c r="N230" s="16" t="n">
        <f aca="false">L230-M230</f>
        <v>1.15</v>
      </c>
      <c r="O230" s="14" t="n">
        <v>1313</v>
      </c>
    </row>
    <row r="231" customFormat="false" ht="23.85" hidden="false" customHeight="false" outlineLevel="0" collapsed="false">
      <c r="A231" s="2" t="s">
        <v>16</v>
      </c>
      <c r="B231" s="2" t="s">
        <v>254</v>
      </c>
      <c r="C231" s="14" t="n">
        <v>5</v>
      </c>
      <c r="D231" s="2" t="s">
        <v>551</v>
      </c>
      <c r="E231" s="15" t="n">
        <v>7</v>
      </c>
      <c r="F231" s="15" t="n">
        <v>8</v>
      </c>
      <c r="G231" s="15" t="n">
        <v>7</v>
      </c>
      <c r="H231" s="15" t="n">
        <v>3</v>
      </c>
      <c r="I231" s="15" t="n">
        <v>9</v>
      </c>
      <c r="J231" s="15" t="n">
        <v>7</v>
      </c>
      <c r="K231" s="15" t="n">
        <v>7</v>
      </c>
      <c r="L231" s="4" t="n">
        <f aca="false">ROUND(E231*Rubric!$B$4+F231*Rubric!$B$5+G231*Rubric!$B$6+H231*Rubric!$B$7+I231*Rubric!$B$8+J231*Rubric!$B$9+K231*Rubric!$B$10-IF(OR(G231&lt;Rubric!$B$12,J231&lt;Rubric!$B$12),Rubric!$B$13,0),2)</f>
        <v>7.55</v>
      </c>
      <c r="M231" s="4" t="n">
        <f aca="false">SUMIFS('Revision Log'!$M:$M,'Revision Log'!$N:$N,O231,'Revision Log'!$C:$C,0)</f>
        <v>6.6</v>
      </c>
      <c r="N231" s="16" t="n">
        <f aca="false">L231-M231</f>
        <v>0.95</v>
      </c>
      <c r="O231" s="14" t="n">
        <v>1314</v>
      </c>
    </row>
    <row r="232" customFormat="false" ht="23.85" hidden="false" customHeight="false" outlineLevel="0" collapsed="false">
      <c r="A232" s="2" t="s">
        <v>16</v>
      </c>
      <c r="B232" s="2" t="s">
        <v>159</v>
      </c>
      <c r="C232" s="14" t="n">
        <v>1</v>
      </c>
      <c r="D232" s="2" t="s">
        <v>552</v>
      </c>
      <c r="E232" s="15" t="n">
        <v>7</v>
      </c>
      <c r="F232" s="15" t="n">
        <v>8</v>
      </c>
      <c r="G232" s="15" t="n">
        <v>8</v>
      </c>
      <c r="H232" s="15" t="n">
        <v>3</v>
      </c>
      <c r="I232" s="15" t="n">
        <v>9</v>
      </c>
      <c r="J232" s="15" t="n">
        <v>8</v>
      </c>
      <c r="K232" s="15" t="n">
        <v>7</v>
      </c>
      <c r="L232" s="4" t="n">
        <f aca="false">ROUND(E232*Rubric!$B$4+F232*Rubric!$B$5+G232*Rubric!$B$6+H232*Rubric!$B$7+I232*Rubric!$B$8+J232*Rubric!$B$9+K232*Rubric!$B$10-IF(OR(G232&lt;Rubric!$B$12,J232&lt;Rubric!$B$12),Rubric!$B$13,0),2)</f>
        <v>7.75</v>
      </c>
      <c r="M232" s="4" t="n">
        <f aca="false">SUMIFS('Revision Log'!$M:$M,'Revision Log'!$N:$N,O232,'Revision Log'!$C:$C,0)</f>
        <v>7.55</v>
      </c>
      <c r="N232" s="16" t="n">
        <f aca="false">L232-M232</f>
        <v>0.2</v>
      </c>
      <c r="O232" s="14" t="n">
        <v>1320</v>
      </c>
    </row>
    <row r="233" customFormat="false" ht="15" hidden="false" customHeight="false" outlineLevel="0" collapsed="false">
      <c r="A233" s="2" t="s">
        <v>16</v>
      </c>
      <c r="B233" s="2" t="s">
        <v>159</v>
      </c>
      <c r="C233" s="14" t="n">
        <v>2</v>
      </c>
      <c r="D233" s="2" t="s">
        <v>429</v>
      </c>
      <c r="E233" s="15" t="n">
        <v>9</v>
      </c>
      <c r="F233" s="15" t="n">
        <v>9</v>
      </c>
      <c r="G233" s="15" t="n">
        <v>8</v>
      </c>
      <c r="H233" s="15" t="n">
        <v>3</v>
      </c>
      <c r="I233" s="15" t="n">
        <v>8</v>
      </c>
      <c r="J233" s="15" t="n">
        <v>9</v>
      </c>
      <c r="K233" s="15" t="n">
        <v>8</v>
      </c>
      <c r="L233" s="4" t="n">
        <f aca="false">ROUND(E233*Rubric!$B$4+F233*Rubric!$B$5+G233*Rubric!$B$6+H233*Rubric!$B$7+I233*Rubric!$B$8+J233*Rubric!$B$9+K233*Rubric!$B$10-IF(OR(G233&lt;Rubric!$B$12,J233&lt;Rubric!$B$12),Rubric!$B$13,0),2)</f>
        <v>7.8</v>
      </c>
      <c r="M233" s="4" t="n">
        <f aca="false">SUMIFS('Revision Log'!$M:$M,'Revision Log'!$N:$N,O233,'Revision Log'!$C:$C,0)</f>
        <v>7.9</v>
      </c>
      <c r="N233" s="16" t="n">
        <f aca="false">L233-M233</f>
        <v>-0.100000000000001</v>
      </c>
      <c r="O233" s="14" t="n">
        <v>1321</v>
      </c>
    </row>
    <row r="234" customFormat="false" ht="15" hidden="false" customHeight="false" outlineLevel="0" collapsed="false">
      <c r="A234" s="2" t="s">
        <v>16</v>
      </c>
      <c r="B234" s="2" t="s">
        <v>159</v>
      </c>
      <c r="C234" s="14" t="n">
        <v>3</v>
      </c>
      <c r="D234" s="2" t="s">
        <v>527</v>
      </c>
      <c r="E234" s="15" t="n">
        <v>9</v>
      </c>
      <c r="F234" s="15" t="n">
        <v>9</v>
      </c>
      <c r="G234" s="15" t="n">
        <v>8</v>
      </c>
      <c r="H234" s="15" t="n">
        <v>3</v>
      </c>
      <c r="I234" s="15" t="n">
        <v>8</v>
      </c>
      <c r="J234" s="15" t="n">
        <v>9</v>
      </c>
      <c r="K234" s="15" t="n">
        <v>9</v>
      </c>
      <c r="L234" s="4" t="n">
        <f aca="false">ROUND(E234*Rubric!$B$4+F234*Rubric!$B$5+G234*Rubric!$B$6+H234*Rubric!$B$7+I234*Rubric!$B$8+J234*Rubric!$B$9+K234*Rubric!$B$10-IF(OR(G234&lt;Rubric!$B$12,J234&lt;Rubric!$B$12),Rubric!$B$13,0),2)</f>
        <v>7.9</v>
      </c>
      <c r="M234" s="4" t="n">
        <f aca="false">SUMIFS('Revision Log'!$M:$M,'Revision Log'!$N:$N,O234,'Revision Log'!$C:$C,0)</f>
        <v>7.4</v>
      </c>
      <c r="N234" s="16" t="n">
        <f aca="false">L234-M234</f>
        <v>0.5</v>
      </c>
      <c r="O234" s="14" t="n">
        <v>1322</v>
      </c>
    </row>
    <row r="235" customFormat="false" ht="23.85" hidden="false" customHeight="false" outlineLevel="0" collapsed="false">
      <c r="A235" s="2" t="s">
        <v>16</v>
      </c>
      <c r="B235" s="2" t="s">
        <v>159</v>
      </c>
      <c r="C235" s="14" t="n">
        <v>4</v>
      </c>
      <c r="D235" s="2" t="s">
        <v>430</v>
      </c>
      <c r="E235" s="15" t="n">
        <v>8</v>
      </c>
      <c r="F235" s="15" t="n">
        <v>9</v>
      </c>
      <c r="G235" s="15" t="n">
        <v>7</v>
      </c>
      <c r="H235" s="15" t="n">
        <v>3</v>
      </c>
      <c r="I235" s="15" t="n">
        <v>9</v>
      </c>
      <c r="J235" s="15" t="n">
        <v>9</v>
      </c>
      <c r="K235" s="15" t="n">
        <v>9</v>
      </c>
      <c r="L235" s="4" t="n">
        <f aca="false">ROUND(E235*Rubric!$B$4+F235*Rubric!$B$5+G235*Rubric!$B$6+H235*Rubric!$B$7+I235*Rubric!$B$8+J235*Rubric!$B$9+K235*Rubric!$B$10-IF(OR(G235&lt;Rubric!$B$12,J235&lt;Rubric!$B$12),Rubric!$B$13,0),2)</f>
        <v>8.15</v>
      </c>
      <c r="M235" s="4" t="n">
        <f aca="false">SUMIFS('Revision Log'!$M:$M,'Revision Log'!$N:$N,O235,'Revision Log'!$C:$C,0)</f>
        <v>7.55</v>
      </c>
      <c r="N235" s="16" t="n">
        <f aca="false">L235-M235</f>
        <v>0.600000000000001</v>
      </c>
      <c r="O235" s="14" t="n">
        <v>1323</v>
      </c>
    </row>
    <row r="236" customFormat="false" ht="15" hidden="false" customHeight="false" outlineLevel="0" collapsed="false">
      <c r="A236" s="2" t="s">
        <v>16</v>
      </c>
      <c r="B236" s="2" t="s">
        <v>159</v>
      </c>
      <c r="C236" s="14" t="n">
        <v>5</v>
      </c>
      <c r="D236" s="2" t="s">
        <v>542</v>
      </c>
      <c r="E236" s="15" t="n">
        <v>9</v>
      </c>
      <c r="F236" s="15" t="n">
        <v>7</v>
      </c>
      <c r="G236" s="15" t="n">
        <v>8</v>
      </c>
      <c r="H236" s="15" t="n">
        <v>8</v>
      </c>
      <c r="I236" s="15" t="n">
        <v>8</v>
      </c>
      <c r="J236" s="15" t="n">
        <v>8</v>
      </c>
      <c r="K236" s="15" t="n">
        <v>7</v>
      </c>
      <c r="L236" s="4" t="n">
        <f aca="false">ROUND(E236*Rubric!$B$4+F236*Rubric!$B$5+G236*Rubric!$B$6+H236*Rubric!$B$7+I236*Rubric!$B$8+J236*Rubric!$B$9+K236*Rubric!$B$10-IF(OR(G236&lt;Rubric!$B$12,J236&lt;Rubric!$B$12),Rubric!$B$13,0),2)</f>
        <v>7.8</v>
      </c>
      <c r="M236" s="4" t="n">
        <f aca="false">SUMIFS('Revision Log'!$M:$M,'Revision Log'!$N:$N,O236,'Revision Log'!$C:$C,0)</f>
        <v>7.4</v>
      </c>
      <c r="N236" s="16" t="n">
        <f aca="false">L236-M236</f>
        <v>0.399999999999999</v>
      </c>
      <c r="O236" s="14" t="n">
        <v>1324</v>
      </c>
    </row>
    <row r="237" customFormat="false" ht="23.85" hidden="false" customHeight="false" outlineLevel="0" collapsed="false">
      <c r="A237" s="2" t="s">
        <v>16</v>
      </c>
      <c r="B237" s="2" t="s">
        <v>262</v>
      </c>
      <c r="C237" s="14" t="n">
        <v>1</v>
      </c>
      <c r="D237" s="2" t="s">
        <v>553</v>
      </c>
      <c r="E237" s="15" t="n">
        <v>7</v>
      </c>
      <c r="F237" s="15" t="n">
        <v>8</v>
      </c>
      <c r="G237" s="15" t="n">
        <v>8</v>
      </c>
      <c r="H237" s="15" t="n">
        <v>3</v>
      </c>
      <c r="I237" s="15" t="n">
        <v>9</v>
      </c>
      <c r="J237" s="15" t="n">
        <v>8</v>
      </c>
      <c r="K237" s="15" t="n">
        <v>7</v>
      </c>
      <c r="L237" s="4" t="n">
        <f aca="false">ROUND(E237*Rubric!$B$4+F237*Rubric!$B$5+G237*Rubric!$B$6+H237*Rubric!$B$7+I237*Rubric!$B$8+J237*Rubric!$B$9+K237*Rubric!$B$10-IF(OR(G237&lt;Rubric!$B$12,J237&lt;Rubric!$B$12),Rubric!$B$13,0),2)</f>
        <v>7.75</v>
      </c>
      <c r="M237" s="4" t="n">
        <f aca="false">SUMIFS('Revision Log'!$M:$M,'Revision Log'!$N:$N,O237,'Revision Log'!$C:$C,0)</f>
        <v>6.75</v>
      </c>
      <c r="N237" s="16" t="n">
        <f aca="false">L237-M237</f>
        <v>1</v>
      </c>
      <c r="O237" s="14" t="n">
        <v>1330</v>
      </c>
    </row>
    <row r="238" customFormat="false" ht="23.85" hidden="false" customHeight="false" outlineLevel="0" collapsed="false">
      <c r="A238" s="2" t="s">
        <v>16</v>
      </c>
      <c r="B238" s="2" t="s">
        <v>262</v>
      </c>
      <c r="C238" s="14" t="n">
        <v>2</v>
      </c>
      <c r="D238" s="2" t="s">
        <v>489</v>
      </c>
      <c r="E238" s="15" t="n">
        <v>7</v>
      </c>
      <c r="F238" s="15" t="n">
        <v>8</v>
      </c>
      <c r="G238" s="15" t="n">
        <v>8</v>
      </c>
      <c r="H238" s="15" t="n">
        <v>3</v>
      </c>
      <c r="I238" s="15" t="n">
        <v>9</v>
      </c>
      <c r="J238" s="15" t="n">
        <v>8</v>
      </c>
      <c r="K238" s="15" t="n">
        <v>7</v>
      </c>
      <c r="L238" s="4" t="n">
        <f aca="false">ROUND(E238*Rubric!$B$4+F238*Rubric!$B$5+G238*Rubric!$B$6+H238*Rubric!$B$7+I238*Rubric!$B$8+J238*Rubric!$B$9+K238*Rubric!$B$10-IF(OR(G238&lt;Rubric!$B$12,J238&lt;Rubric!$B$12),Rubric!$B$13,0),2)</f>
        <v>7.75</v>
      </c>
      <c r="M238" s="4" t="n">
        <f aca="false">SUMIFS('Revision Log'!$M:$M,'Revision Log'!$N:$N,O238,'Revision Log'!$C:$C,0)</f>
        <v>7</v>
      </c>
      <c r="N238" s="16" t="n">
        <f aca="false">L238-M238</f>
        <v>0.75</v>
      </c>
      <c r="O238" s="14" t="n">
        <v>1331</v>
      </c>
    </row>
    <row r="239" customFormat="false" ht="23.85" hidden="false" customHeight="false" outlineLevel="0" collapsed="false">
      <c r="A239" s="2" t="s">
        <v>16</v>
      </c>
      <c r="B239" s="2" t="s">
        <v>262</v>
      </c>
      <c r="C239" s="14" t="n">
        <v>3</v>
      </c>
      <c r="D239" s="2" t="s">
        <v>554</v>
      </c>
      <c r="E239" s="15" t="n">
        <v>7</v>
      </c>
      <c r="F239" s="15" t="n">
        <v>9</v>
      </c>
      <c r="G239" s="15" t="n">
        <v>8</v>
      </c>
      <c r="H239" s="15" t="n">
        <v>3</v>
      </c>
      <c r="I239" s="15" t="n">
        <v>9</v>
      </c>
      <c r="J239" s="15" t="n">
        <v>9</v>
      </c>
      <c r="K239" s="15" t="n">
        <v>9</v>
      </c>
      <c r="L239" s="4" t="n">
        <f aca="false">ROUND(E239*Rubric!$B$4+F239*Rubric!$B$5+G239*Rubric!$B$6+H239*Rubric!$B$7+I239*Rubric!$B$8+J239*Rubric!$B$9+K239*Rubric!$B$10-IF(OR(G239&lt;Rubric!$B$12,J239&lt;Rubric!$B$12),Rubric!$B$13,0),2)</f>
        <v>8.2</v>
      </c>
      <c r="M239" s="4" t="n">
        <f aca="false">SUMIFS('Revision Log'!$M:$M,'Revision Log'!$N:$N,O239,'Revision Log'!$C:$C,0)</f>
        <v>7</v>
      </c>
      <c r="N239" s="16" t="n">
        <f aca="false">L239-M239</f>
        <v>1.2</v>
      </c>
      <c r="O239" s="14" t="n">
        <v>1332</v>
      </c>
    </row>
    <row r="240" customFormat="false" ht="23.85" hidden="false" customHeight="false" outlineLevel="0" collapsed="false">
      <c r="A240" s="2" t="s">
        <v>16</v>
      </c>
      <c r="B240" s="2" t="s">
        <v>262</v>
      </c>
      <c r="C240" s="14" t="n">
        <v>4</v>
      </c>
      <c r="D240" s="2" t="s">
        <v>555</v>
      </c>
      <c r="E240" s="15" t="n">
        <v>7</v>
      </c>
      <c r="F240" s="15" t="n">
        <v>9</v>
      </c>
      <c r="G240" s="15" t="n">
        <v>7</v>
      </c>
      <c r="H240" s="15" t="n">
        <v>3</v>
      </c>
      <c r="I240" s="15" t="n">
        <v>9</v>
      </c>
      <c r="J240" s="15" t="n">
        <v>9</v>
      </c>
      <c r="K240" s="15" t="n">
        <v>9</v>
      </c>
      <c r="L240" s="4" t="n">
        <f aca="false">ROUND(E240*Rubric!$B$4+F240*Rubric!$B$5+G240*Rubric!$B$6+H240*Rubric!$B$7+I240*Rubric!$B$8+J240*Rubric!$B$9+K240*Rubric!$B$10-IF(OR(G240&lt;Rubric!$B$12,J240&lt;Rubric!$B$12),Rubric!$B$13,0),2)</f>
        <v>8.1</v>
      </c>
      <c r="M240" s="4" t="n">
        <f aca="false">SUMIFS('Revision Log'!$M:$M,'Revision Log'!$N:$N,O240,'Revision Log'!$C:$C,0)</f>
        <v>7.1</v>
      </c>
      <c r="N240" s="16" t="n">
        <f aca="false">L240-M240</f>
        <v>1</v>
      </c>
      <c r="O240" s="14" t="n">
        <v>1333</v>
      </c>
    </row>
    <row r="241" customFormat="false" ht="15" hidden="false" customHeight="false" outlineLevel="0" collapsed="false">
      <c r="A241" s="2" t="s">
        <v>16</v>
      </c>
      <c r="B241" s="2" t="s">
        <v>262</v>
      </c>
      <c r="C241" s="14" t="n">
        <v>5</v>
      </c>
      <c r="D241" s="2" t="s">
        <v>547</v>
      </c>
      <c r="E241" s="15" t="n">
        <v>8</v>
      </c>
      <c r="F241" s="15" t="n">
        <v>8</v>
      </c>
      <c r="G241" s="15" t="n">
        <v>8</v>
      </c>
      <c r="H241" s="15" t="n">
        <v>9</v>
      </c>
      <c r="I241" s="15" t="n">
        <v>8</v>
      </c>
      <c r="J241" s="15" t="n">
        <v>7</v>
      </c>
      <c r="K241" s="15" t="n">
        <v>8</v>
      </c>
      <c r="L241" s="4" t="n">
        <f aca="false">ROUND(E241*Rubric!$B$4+F241*Rubric!$B$5+G241*Rubric!$B$6+H241*Rubric!$B$7+I241*Rubric!$B$8+J241*Rubric!$B$9+K241*Rubric!$B$10-IF(OR(G241&lt;Rubric!$B$12,J241&lt;Rubric!$B$12),Rubric!$B$13,0),2)</f>
        <v>8</v>
      </c>
      <c r="M241" s="4" t="n">
        <f aca="false">SUMIFS('Revision Log'!$M:$M,'Revision Log'!$N:$N,O241,'Revision Log'!$C:$C,0)</f>
        <v>7</v>
      </c>
      <c r="N241" s="16" t="n">
        <f aca="false">L241-M241</f>
        <v>1</v>
      </c>
      <c r="O241" s="14" t="n">
        <v>1334</v>
      </c>
    </row>
    <row r="242" customFormat="false" ht="23.85" hidden="false" customHeight="false" outlineLevel="0" collapsed="false">
      <c r="A242" s="2" t="s">
        <v>16</v>
      </c>
      <c r="B242" s="2" t="s">
        <v>265</v>
      </c>
      <c r="C242" s="14" t="n">
        <v>1</v>
      </c>
      <c r="D242" s="2" t="s">
        <v>556</v>
      </c>
      <c r="E242" s="15" t="n">
        <v>7</v>
      </c>
      <c r="F242" s="15" t="n">
        <v>8</v>
      </c>
      <c r="G242" s="15" t="n">
        <v>8</v>
      </c>
      <c r="H242" s="15" t="n">
        <v>3</v>
      </c>
      <c r="I242" s="15" t="n">
        <v>9</v>
      </c>
      <c r="J242" s="15" t="n">
        <v>8</v>
      </c>
      <c r="K242" s="15" t="n">
        <v>7</v>
      </c>
      <c r="L242" s="4" t="n">
        <f aca="false">ROUND(E242*Rubric!$B$4+F242*Rubric!$B$5+G242*Rubric!$B$6+H242*Rubric!$B$7+I242*Rubric!$B$8+J242*Rubric!$B$9+K242*Rubric!$B$10-IF(OR(G242&lt;Rubric!$B$12,J242&lt;Rubric!$B$12),Rubric!$B$13,0),2)</f>
        <v>7.75</v>
      </c>
      <c r="M242" s="4" t="n">
        <f aca="false">SUMIFS('Revision Log'!$M:$M,'Revision Log'!$N:$N,O242,'Revision Log'!$C:$C,0)</f>
        <v>7.15</v>
      </c>
      <c r="N242" s="16" t="n">
        <f aca="false">L242-M242</f>
        <v>0.6</v>
      </c>
      <c r="O242" s="14" t="n">
        <v>1340</v>
      </c>
    </row>
    <row r="243" customFormat="false" ht="23.85" hidden="false" customHeight="false" outlineLevel="0" collapsed="false">
      <c r="A243" s="2" t="s">
        <v>16</v>
      </c>
      <c r="B243" s="2" t="s">
        <v>265</v>
      </c>
      <c r="C243" s="14" t="n">
        <v>2</v>
      </c>
      <c r="D243" s="2" t="s">
        <v>557</v>
      </c>
      <c r="E243" s="15" t="n">
        <v>7</v>
      </c>
      <c r="F243" s="15" t="n">
        <v>8</v>
      </c>
      <c r="G243" s="15" t="n">
        <v>8</v>
      </c>
      <c r="H243" s="15" t="n">
        <v>4</v>
      </c>
      <c r="I243" s="15" t="n">
        <v>9</v>
      </c>
      <c r="J243" s="15" t="n">
        <v>7</v>
      </c>
      <c r="K243" s="15" t="n">
        <v>8</v>
      </c>
      <c r="L243" s="4" t="n">
        <f aca="false">ROUND(E243*Rubric!$B$4+F243*Rubric!$B$5+G243*Rubric!$B$6+H243*Rubric!$B$7+I243*Rubric!$B$8+J243*Rubric!$B$9+K243*Rubric!$B$10-IF(OR(G243&lt;Rubric!$B$12,J243&lt;Rubric!$B$12),Rubric!$B$13,0),2)</f>
        <v>7.85</v>
      </c>
      <c r="M243" s="4" t="n">
        <f aca="false">SUMIFS('Revision Log'!$M:$M,'Revision Log'!$N:$N,O243,'Revision Log'!$C:$C,0)</f>
        <v>7.5</v>
      </c>
      <c r="N243" s="16" t="n">
        <f aca="false">L243-M243</f>
        <v>0.35</v>
      </c>
      <c r="O243" s="14" t="n">
        <v>1341</v>
      </c>
    </row>
    <row r="244" customFormat="false" ht="23.85" hidden="false" customHeight="false" outlineLevel="0" collapsed="false">
      <c r="A244" s="2" t="s">
        <v>16</v>
      </c>
      <c r="B244" s="2" t="s">
        <v>265</v>
      </c>
      <c r="C244" s="14" t="n">
        <v>3</v>
      </c>
      <c r="D244" s="2" t="s">
        <v>511</v>
      </c>
      <c r="E244" s="15" t="n">
        <v>9</v>
      </c>
      <c r="F244" s="15" t="n">
        <v>9</v>
      </c>
      <c r="G244" s="15" t="n">
        <v>8</v>
      </c>
      <c r="H244" s="15" t="n">
        <v>3</v>
      </c>
      <c r="I244" s="15" t="n">
        <v>8</v>
      </c>
      <c r="J244" s="15" t="n">
        <v>9</v>
      </c>
      <c r="K244" s="15" t="n">
        <v>8</v>
      </c>
      <c r="L244" s="4" t="n">
        <f aca="false">ROUND(E244*Rubric!$B$4+F244*Rubric!$B$5+G244*Rubric!$B$6+H244*Rubric!$B$7+I244*Rubric!$B$8+J244*Rubric!$B$9+K244*Rubric!$B$10-IF(OR(G244&lt;Rubric!$B$12,J244&lt;Rubric!$B$12),Rubric!$B$13,0),2)</f>
        <v>7.8</v>
      </c>
      <c r="M244" s="4" t="n">
        <f aca="false">SUMIFS('Revision Log'!$M:$M,'Revision Log'!$N:$N,O244,'Revision Log'!$C:$C,0)</f>
        <v>7</v>
      </c>
      <c r="N244" s="16" t="n">
        <f aca="false">L244-M244</f>
        <v>0.8</v>
      </c>
      <c r="O244" s="14" t="n">
        <v>1342</v>
      </c>
    </row>
    <row r="245" customFormat="false" ht="23.85" hidden="false" customHeight="false" outlineLevel="0" collapsed="false">
      <c r="A245" s="2" t="s">
        <v>16</v>
      </c>
      <c r="B245" s="2" t="s">
        <v>265</v>
      </c>
      <c r="C245" s="14" t="n">
        <v>4</v>
      </c>
      <c r="D245" s="2" t="s">
        <v>558</v>
      </c>
      <c r="E245" s="15" t="n">
        <v>8</v>
      </c>
      <c r="F245" s="15" t="n">
        <v>8</v>
      </c>
      <c r="G245" s="15" t="n">
        <v>8</v>
      </c>
      <c r="H245" s="15" t="n">
        <v>3</v>
      </c>
      <c r="I245" s="15" t="n">
        <v>9</v>
      </c>
      <c r="J245" s="15" t="n">
        <v>8</v>
      </c>
      <c r="K245" s="15" t="n">
        <v>7</v>
      </c>
      <c r="L245" s="4" t="n">
        <f aca="false">ROUND(E245*Rubric!$B$4+F245*Rubric!$B$5+G245*Rubric!$B$6+H245*Rubric!$B$7+I245*Rubric!$B$8+J245*Rubric!$B$9+K245*Rubric!$B$10-IF(OR(G245&lt;Rubric!$B$12,J245&lt;Rubric!$B$12),Rubric!$B$13,0),2)</f>
        <v>7.8</v>
      </c>
      <c r="M245" s="4" t="n">
        <f aca="false">SUMIFS('Revision Log'!$M:$M,'Revision Log'!$N:$N,O245,'Revision Log'!$C:$C,0)</f>
        <v>7.15</v>
      </c>
      <c r="N245" s="16" t="n">
        <f aca="false">L245-M245</f>
        <v>0.65</v>
      </c>
      <c r="O245" s="14" t="n">
        <v>1343</v>
      </c>
    </row>
    <row r="246" customFormat="false" ht="23.85" hidden="false" customHeight="false" outlineLevel="0" collapsed="false">
      <c r="A246" s="2" t="s">
        <v>16</v>
      </c>
      <c r="B246" s="2" t="s">
        <v>265</v>
      </c>
      <c r="C246" s="14" t="n">
        <v>5</v>
      </c>
      <c r="D246" s="2" t="s">
        <v>542</v>
      </c>
      <c r="E246" s="15" t="n">
        <v>9</v>
      </c>
      <c r="F246" s="15" t="n">
        <v>7</v>
      </c>
      <c r="G246" s="15" t="n">
        <v>8</v>
      </c>
      <c r="H246" s="15" t="n">
        <v>8</v>
      </c>
      <c r="I246" s="15" t="n">
        <v>8</v>
      </c>
      <c r="J246" s="15" t="n">
        <v>8</v>
      </c>
      <c r="K246" s="15" t="n">
        <v>7</v>
      </c>
      <c r="L246" s="4" t="n">
        <f aca="false">ROUND(E246*Rubric!$B$4+F246*Rubric!$B$5+G246*Rubric!$B$6+H246*Rubric!$B$7+I246*Rubric!$B$8+J246*Rubric!$B$9+K246*Rubric!$B$10-IF(OR(G246&lt;Rubric!$B$12,J246&lt;Rubric!$B$12),Rubric!$B$13,0),2)</f>
        <v>7.8</v>
      </c>
      <c r="M246" s="4" t="n">
        <f aca="false">SUMIFS('Revision Log'!$M:$M,'Revision Log'!$N:$N,O246,'Revision Log'!$C:$C,0)</f>
        <v>7.4</v>
      </c>
      <c r="N246" s="16" t="n">
        <f aca="false">L246-M246</f>
        <v>0.399999999999999</v>
      </c>
      <c r="O246" s="14" t="n">
        <v>1344</v>
      </c>
    </row>
    <row r="247" customFormat="false" ht="23.85" hidden="false" customHeight="false" outlineLevel="0" collapsed="false">
      <c r="A247" s="2" t="s">
        <v>270</v>
      </c>
      <c r="B247" s="2" t="s">
        <v>271</v>
      </c>
      <c r="C247" s="14" t="n">
        <v>1</v>
      </c>
      <c r="D247" s="2" t="s">
        <v>484</v>
      </c>
      <c r="E247" s="15" t="n">
        <v>8</v>
      </c>
      <c r="F247" s="15" t="n">
        <v>8</v>
      </c>
      <c r="G247" s="15" t="n">
        <v>8</v>
      </c>
      <c r="H247" s="15" t="n">
        <v>3</v>
      </c>
      <c r="I247" s="15" t="n">
        <v>10</v>
      </c>
      <c r="J247" s="15" t="n">
        <v>8</v>
      </c>
      <c r="K247" s="15" t="n">
        <v>7</v>
      </c>
      <c r="L247" s="4" t="n">
        <f aca="false">ROUND(E247*Rubric!$B$4+F247*Rubric!$B$5+G247*Rubric!$B$6+H247*Rubric!$B$7+I247*Rubric!$B$8+J247*Rubric!$B$9+K247*Rubric!$B$10-IF(OR(G247&lt;Rubric!$B$12,J247&lt;Rubric!$B$12),Rubric!$B$13,0),2)</f>
        <v>8.2</v>
      </c>
      <c r="M247" s="4" t="n">
        <f aca="false">SUMIFS('Revision Log'!$M:$M,'Revision Log'!$N:$N,O247,'Revision Log'!$C:$C,0)</f>
        <v>7.4</v>
      </c>
      <c r="N247" s="16" t="n">
        <f aca="false">L247-M247</f>
        <v>0.799999999999999</v>
      </c>
      <c r="O247" s="14" t="n">
        <v>1350</v>
      </c>
    </row>
    <row r="248" customFormat="false" ht="23.85" hidden="false" customHeight="false" outlineLevel="0" collapsed="false">
      <c r="A248" s="2" t="s">
        <v>270</v>
      </c>
      <c r="B248" s="2" t="s">
        <v>271</v>
      </c>
      <c r="C248" s="14" t="n">
        <v>2</v>
      </c>
      <c r="D248" s="2" t="s">
        <v>374</v>
      </c>
      <c r="E248" s="15" t="n">
        <v>9</v>
      </c>
      <c r="F248" s="15" t="n">
        <v>9</v>
      </c>
      <c r="G248" s="15" t="n">
        <v>8</v>
      </c>
      <c r="H248" s="15" t="n">
        <v>3</v>
      </c>
      <c r="I248" s="15" t="n">
        <v>9</v>
      </c>
      <c r="J248" s="15" t="n">
        <v>9</v>
      </c>
      <c r="K248" s="15" t="n">
        <v>8</v>
      </c>
      <c r="L248" s="4" t="n">
        <f aca="false">ROUND(E248*Rubric!$B$4+F248*Rubric!$B$5+G248*Rubric!$B$6+H248*Rubric!$B$7+I248*Rubric!$B$8+J248*Rubric!$B$9+K248*Rubric!$B$10-IF(OR(G248&lt;Rubric!$B$12,J248&lt;Rubric!$B$12),Rubric!$B$13,0),2)</f>
        <v>8.2</v>
      </c>
      <c r="M248" s="4" t="n">
        <f aca="false">SUMIFS('Revision Log'!$M:$M,'Revision Log'!$N:$N,O248,'Revision Log'!$C:$C,0)</f>
        <v>7.8</v>
      </c>
      <c r="N248" s="16" t="n">
        <f aca="false">L248-M248</f>
        <v>0.399999999999999</v>
      </c>
      <c r="O248" s="14" t="n">
        <v>1351</v>
      </c>
    </row>
    <row r="249" customFormat="false" ht="23.85" hidden="false" customHeight="false" outlineLevel="0" collapsed="false">
      <c r="A249" s="2" t="s">
        <v>270</v>
      </c>
      <c r="B249" s="2" t="s">
        <v>271</v>
      </c>
      <c r="C249" s="14" t="n">
        <v>3</v>
      </c>
      <c r="D249" s="2" t="s">
        <v>559</v>
      </c>
      <c r="E249" s="15" t="n">
        <v>8</v>
      </c>
      <c r="F249" s="15" t="n">
        <v>8</v>
      </c>
      <c r="G249" s="15" t="n">
        <v>8</v>
      </c>
      <c r="H249" s="15" t="n">
        <v>4</v>
      </c>
      <c r="I249" s="15" t="n">
        <v>9</v>
      </c>
      <c r="J249" s="15" t="n">
        <v>8</v>
      </c>
      <c r="K249" s="15" t="n">
        <v>7</v>
      </c>
      <c r="L249" s="4" t="n">
        <f aca="false">ROUND(E249*Rubric!$B$4+F249*Rubric!$B$5+G249*Rubric!$B$6+H249*Rubric!$B$7+I249*Rubric!$B$8+J249*Rubric!$B$9+K249*Rubric!$B$10-IF(OR(G249&lt;Rubric!$B$12,J249&lt;Rubric!$B$12),Rubric!$B$13,0),2)</f>
        <v>7.9</v>
      </c>
      <c r="M249" s="4" t="n">
        <f aca="false">SUMIFS('Revision Log'!$M:$M,'Revision Log'!$N:$N,O249,'Revision Log'!$C:$C,0)</f>
        <v>7.55</v>
      </c>
      <c r="N249" s="16" t="n">
        <f aca="false">L249-M249</f>
        <v>0.350000000000001</v>
      </c>
      <c r="O249" s="14" t="n">
        <v>1352</v>
      </c>
    </row>
    <row r="250" customFormat="false" ht="23.85" hidden="false" customHeight="false" outlineLevel="0" collapsed="false">
      <c r="A250" s="2" t="s">
        <v>270</v>
      </c>
      <c r="B250" s="2" t="s">
        <v>271</v>
      </c>
      <c r="C250" s="14" t="n">
        <v>4</v>
      </c>
      <c r="D250" s="2" t="s">
        <v>560</v>
      </c>
      <c r="E250" s="15" t="n">
        <v>6</v>
      </c>
      <c r="F250" s="15" t="n">
        <v>9</v>
      </c>
      <c r="G250" s="15" t="n">
        <v>7</v>
      </c>
      <c r="H250" s="15" t="n">
        <v>3</v>
      </c>
      <c r="I250" s="15" t="n">
        <v>8</v>
      </c>
      <c r="J250" s="15" t="n">
        <v>8</v>
      </c>
      <c r="K250" s="15" t="n">
        <v>8</v>
      </c>
      <c r="L250" s="4" t="n">
        <f aca="false">ROUND(E250*Rubric!$B$4+F250*Rubric!$B$5+G250*Rubric!$B$6+H250*Rubric!$B$7+I250*Rubric!$B$8+J250*Rubric!$B$9+K250*Rubric!$B$10-IF(OR(G250&lt;Rubric!$B$12,J250&lt;Rubric!$B$12),Rubric!$B$13,0),2)</f>
        <v>7.45</v>
      </c>
      <c r="M250" s="4" t="n">
        <f aca="false">SUMIFS('Revision Log'!$M:$M,'Revision Log'!$N:$N,O250,'Revision Log'!$C:$C,0)</f>
        <v>7.05</v>
      </c>
      <c r="N250" s="16" t="n">
        <f aca="false">L250-M250</f>
        <v>0.4</v>
      </c>
      <c r="O250" s="14" t="n">
        <v>1353</v>
      </c>
    </row>
    <row r="251" customFormat="false" ht="23.85" hidden="false" customHeight="false" outlineLevel="0" collapsed="false">
      <c r="A251" s="2" t="s">
        <v>270</v>
      </c>
      <c r="B251" s="2" t="s">
        <v>271</v>
      </c>
      <c r="C251" s="14" t="n">
        <v>5</v>
      </c>
      <c r="D251" s="2" t="s">
        <v>542</v>
      </c>
      <c r="E251" s="15" t="n">
        <v>9</v>
      </c>
      <c r="F251" s="15" t="n">
        <v>7</v>
      </c>
      <c r="G251" s="15" t="n">
        <v>8</v>
      </c>
      <c r="H251" s="15" t="n">
        <v>8</v>
      </c>
      <c r="I251" s="15" t="n">
        <v>8</v>
      </c>
      <c r="J251" s="15" t="n">
        <v>8</v>
      </c>
      <c r="K251" s="15" t="n">
        <v>7</v>
      </c>
      <c r="L251" s="4" t="n">
        <f aca="false">ROUND(E251*Rubric!$B$4+F251*Rubric!$B$5+G251*Rubric!$B$6+H251*Rubric!$B$7+I251*Rubric!$B$8+J251*Rubric!$B$9+K251*Rubric!$B$10-IF(OR(G251&lt;Rubric!$B$12,J251&lt;Rubric!$B$12),Rubric!$B$13,0),2)</f>
        <v>7.8</v>
      </c>
      <c r="M251" s="4" t="n">
        <f aca="false">SUMIFS('Revision Log'!$M:$M,'Revision Log'!$N:$N,O251,'Revision Log'!$C:$C,0)</f>
        <v>7.7</v>
      </c>
      <c r="N251" s="16" t="n">
        <f aca="false">L251-M251</f>
        <v>0.0999999999999996</v>
      </c>
      <c r="O251" s="14" t="n">
        <v>1354</v>
      </c>
    </row>
    <row r="252" customFormat="false" ht="23.85" hidden="false" customHeight="false" outlineLevel="0" collapsed="false">
      <c r="A252" s="2" t="s">
        <v>270</v>
      </c>
      <c r="B252" s="2" t="s">
        <v>275</v>
      </c>
      <c r="C252" s="14" t="n">
        <v>1</v>
      </c>
      <c r="D252" s="2" t="s">
        <v>488</v>
      </c>
      <c r="E252" s="15" t="n">
        <v>9</v>
      </c>
      <c r="F252" s="15" t="n">
        <v>8</v>
      </c>
      <c r="G252" s="15" t="n">
        <v>8</v>
      </c>
      <c r="H252" s="15" t="n">
        <v>3</v>
      </c>
      <c r="I252" s="15" t="n">
        <v>10</v>
      </c>
      <c r="J252" s="15" t="n">
        <v>8</v>
      </c>
      <c r="K252" s="15" t="n">
        <v>7</v>
      </c>
      <c r="L252" s="4" t="n">
        <f aca="false">ROUND(E252*Rubric!$B$4+F252*Rubric!$B$5+G252*Rubric!$B$6+H252*Rubric!$B$7+I252*Rubric!$B$8+J252*Rubric!$B$9+K252*Rubric!$B$10-IF(OR(G252&lt;Rubric!$B$12,J252&lt;Rubric!$B$12),Rubric!$B$13,0),2)</f>
        <v>8.25</v>
      </c>
      <c r="M252" s="4" t="n">
        <f aca="false">SUMIFS('Revision Log'!$M:$M,'Revision Log'!$N:$N,O252,'Revision Log'!$C:$C,0)</f>
        <v>7.45</v>
      </c>
      <c r="N252" s="16" t="n">
        <f aca="false">L252-M252</f>
        <v>0.8</v>
      </c>
      <c r="O252" s="14" t="n">
        <v>1360</v>
      </c>
    </row>
    <row r="253" customFormat="false" ht="23.85" hidden="false" customHeight="false" outlineLevel="0" collapsed="false">
      <c r="A253" s="2" t="s">
        <v>270</v>
      </c>
      <c r="B253" s="2" t="s">
        <v>275</v>
      </c>
      <c r="C253" s="14" t="n">
        <v>2</v>
      </c>
      <c r="D253" s="2" t="s">
        <v>489</v>
      </c>
      <c r="E253" s="15" t="n">
        <v>7</v>
      </c>
      <c r="F253" s="15" t="n">
        <v>8</v>
      </c>
      <c r="G253" s="15" t="n">
        <v>8</v>
      </c>
      <c r="H253" s="15" t="n">
        <v>3</v>
      </c>
      <c r="I253" s="15" t="n">
        <v>10</v>
      </c>
      <c r="J253" s="15" t="n">
        <v>8</v>
      </c>
      <c r="K253" s="15" t="n">
        <v>7</v>
      </c>
      <c r="L253" s="4" t="n">
        <f aca="false">ROUND(E253*Rubric!$B$4+F253*Rubric!$B$5+G253*Rubric!$B$6+H253*Rubric!$B$7+I253*Rubric!$B$8+J253*Rubric!$B$9+K253*Rubric!$B$10-IF(OR(G253&lt;Rubric!$B$12,J253&lt;Rubric!$B$12),Rubric!$B$13,0),2)</f>
        <v>8.15</v>
      </c>
      <c r="M253" s="4" t="n">
        <f aca="false">SUMIFS('Revision Log'!$M:$M,'Revision Log'!$N:$N,O253,'Revision Log'!$C:$C,0)</f>
        <v>7.85</v>
      </c>
      <c r="N253" s="16" t="n">
        <f aca="false">L253-M253</f>
        <v>0.300000000000001</v>
      </c>
      <c r="O253" s="14" t="n">
        <v>1361</v>
      </c>
    </row>
    <row r="254" customFormat="false" ht="15" hidden="false" customHeight="false" outlineLevel="0" collapsed="false">
      <c r="A254" s="2" t="s">
        <v>270</v>
      </c>
      <c r="B254" s="2" t="s">
        <v>275</v>
      </c>
      <c r="C254" s="14" t="n">
        <v>3</v>
      </c>
      <c r="D254" s="2" t="s">
        <v>561</v>
      </c>
      <c r="E254" s="15" t="n">
        <v>8</v>
      </c>
      <c r="F254" s="15" t="n">
        <v>9</v>
      </c>
      <c r="G254" s="15" t="n">
        <v>8</v>
      </c>
      <c r="H254" s="15" t="n">
        <v>3</v>
      </c>
      <c r="I254" s="15" t="n">
        <v>10</v>
      </c>
      <c r="J254" s="15" t="n">
        <v>8</v>
      </c>
      <c r="K254" s="15" t="n">
        <v>8</v>
      </c>
      <c r="L254" s="4" t="n">
        <f aca="false">ROUND(E254*Rubric!$B$4+F254*Rubric!$B$5+G254*Rubric!$B$6+H254*Rubric!$B$7+I254*Rubric!$B$8+J254*Rubric!$B$9+K254*Rubric!$B$10-IF(OR(G254&lt;Rubric!$B$12,J254&lt;Rubric!$B$12),Rubric!$B$13,0),2)</f>
        <v>8.45</v>
      </c>
      <c r="M254" s="4" t="n">
        <f aca="false">SUMIFS('Revision Log'!$M:$M,'Revision Log'!$N:$N,O254,'Revision Log'!$C:$C,0)</f>
        <v>7.95</v>
      </c>
      <c r="N254" s="16" t="n">
        <f aca="false">L254-M254</f>
        <v>0.499999999999999</v>
      </c>
      <c r="O254" s="14" t="n">
        <v>1362</v>
      </c>
    </row>
    <row r="255" customFormat="false" ht="15" hidden="false" customHeight="false" outlineLevel="0" collapsed="false">
      <c r="A255" s="2" t="s">
        <v>270</v>
      </c>
      <c r="B255" s="2" t="s">
        <v>275</v>
      </c>
      <c r="C255" s="14" t="n">
        <v>4</v>
      </c>
      <c r="D255" s="2" t="s">
        <v>491</v>
      </c>
      <c r="E255" s="15" t="n">
        <v>9</v>
      </c>
      <c r="F255" s="15" t="n">
        <v>8</v>
      </c>
      <c r="G255" s="15" t="n">
        <v>8</v>
      </c>
      <c r="H255" s="15" t="n">
        <v>3</v>
      </c>
      <c r="I255" s="15" t="n">
        <v>9</v>
      </c>
      <c r="J255" s="15" t="n">
        <v>8</v>
      </c>
      <c r="K255" s="15" t="n">
        <v>7</v>
      </c>
      <c r="L255" s="4" t="n">
        <f aca="false">ROUND(E255*Rubric!$B$4+F255*Rubric!$B$5+G255*Rubric!$B$6+H255*Rubric!$B$7+I255*Rubric!$B$8+J255*Rubric!$B$9+K255*Rubric!$B$10-IF(OR(G255&lt;Rubric!$B$12,J255&lt;Rubric!$B$12),Rubric!$B$13,0),2)</f>
        <v>7.85</v>
      </c>
      <c r="M255" s="4" t="n">
        <f aca="false">SUMIFS('Revision Log'!$M:$M,'Revision Log'!$N:$N,O255,'Revision Log'!$C:$C,0)</f>
        <v>7</v>
      </c>
      <c r="N255" s="16" t="n">
        <f aca="false">L255-M255</f>
        <v>0.85</v>
      </c>
      <c r="O255" s="14" t="n">
        <v>1363</v>
      </c>
    </row>
    <row r="256" customFormat="false" ht="23.85" hidden="false" customHeight="false" outlineLevel="0" collapsed="false">
      <c r="A256" s="2" t="s">
        <v>270</v>
      </c>
      <c r="B256" s="2" t="s">
        <v>275</v>
      </c>
      <c r="C256" s="14" t="n">
        <v>5</v>
      </c>
      <c r="D256" s="2" t="s">
        <v>359</v>
      </c>
      <c r="E256" s="15" t="n">
        <v>8</v>
      </c>
      <c r="F256" s="15" t="n">
        <v>8</v>
      </c>
      <c r="G256" s="15" t="n">
        <v>8</v>
      </c>
      <c r="H256" s="15" t="n">
        <v>4</v>
      </c>
      <c r="I256" s="15" t="n">
        <v>9</v>
      </c>
      <c r="J256" s="15" t="n">
        <v>8</v>
      </c>
      <c r="K256" s="15" t="n">
        <v>7</v>
      </c>
      <c r="L256" s="4" t="n">
        <f aca="false">ROUND(E256*Rubric!$B$4+F256*Rubric!$B$5+G256*Rubric!$B$6+H256*Rubric!$B$7+I256*Rubric!$B$8+J256*Rubric!$B$9+K256*Rubric!$B$10-IF(OR(G256&lt;Rubric!$B$12,J256&lt;Rubric!$B$12),Rubric!$B$13,0),2)</f>
        <v>7.9</v>
      </c>
      <c r="M256" s="4" t="n">
        <f aca="false">SUMIFS('Revision Log'!$M:$M,'Revision Log'!$N:$N,O256,'Revision Log'!$C:$C,0)</f>
        <v>7.55</v>
      </c>
      <c r="N256" s="16" t="n">
        <f aca="false">L256-M256</f>
        <v>0.350000000000001</v>
      </c>
      <c r="O256" s="14" t="n">
        <v>1364</v>
      </c>
    </row>
    <row r="257" customFormat="false" ht="15" hidden="false" customHeight="false" outlineLevel="0" collapsed="false">
      <c r="A257" s="2" t="s">
        <v>270</v>
      </c>
      <c r="B257" s="2" t="s">
        <v>280</v>
      </c>
      <c r="C257" s="14" t="n">
        <v>1</v>
      </c>
      <c r="D257" s="2" t="s">
        <v>449</v>
      </c>
      <c r="E257" s="15" t="n">
        <v>9</v>
      </c>
      <c r="F257" s="15" t="n">
        <v>9</v>
      </c>
      <c r="G257" s="15" t="n">
        <v>8</v>
      </c>
      <c r="H257" s="15" t="n">
        <v>4</v>
      </c>
      <c r="I257" s="15" t="n">
        <v>10</v>
      </c>
      <c r="J257" s="15" t="n">
        <v>8</v>
      </c>
      <c r="K257" s="15" t="n">
        <v>8</v>
      </c>
      <c r="L257" s="4" t="n">
        <f aca="false">ROUND(E257*Rubric!$B$4+F257*Rubric!$B$5+G257*Rubric!$B$6+H257*Rubric!$B$7+I257*Rubric!$B$8+J257*Rubric!$B$9+K257*Rubric!$B$10-IF(OR(G257&lt;Rubric!$B$12,J257&lt;Rubric!$B$12),Rubric!$B$13,0),2)</f>
        <v>8.6</v>
      </c>
      <c r="M257" s="4" t="n">
        <f aca="false">SUMIFS('Revision Log'!$M:$M,'Revision Log'!$N:$N,O257,'Revision Log'!$C:$C,0)</f>
        <v>7.15</v>
      </c>
      <c r="N257" s="16" t="n">
        <f aca="false">L257-M257</f>
        <v>1.45</v>
      </c>
      <c r="O257" s="14" t="n">
        <v>1370</v>
      </c>
    </row>
    <row r="258" customFormat="false" ht="15" hidden="false" customHeight="false" outlineLevel="0" collapsed="false">
      <c r="A258" s="2" t="s">
        <v>270</v>
      </c>
      <c r="B258" s="2" t="s">
        <v>280</v>
      </c>
      <c r="C258" s="14" t="n">
        <v>2</v>
      </c>
      <c r="D258" s="2" t="s">
        <v>562</v>
      </c>
      <c r="E258" s="15" t="n">
        <v>9</v>
      </c>
      <c r="F258" s="15" t="n">
        <v>8</v>
      </c>
      <c r="G258" s="15" t="n">
        <v>8</v>
      </c>
      <c r="H258" s="15" t="n">
        <v>3</v>
      </c>
      <c r="I258" s="15" t="n">
        <v>9</v>
      </c>
      <c r="J258" s="15" t="n">
        <v>8</v>
      </c>
      <c r="K258" s="15" t="n">
        <v>7</v>
      </c>
      <c r="L258" s="4" t="n">
        <f aca="false">ROUND(E258*Rubric!$B$4+F258*Rubric!$B$5+G258*Rubric!$B$6+H258*Rubric!$B$7+I258*Rubric!$B$8+J258*Rubric!$B$9+K258*Rubric!$B$10-IF(OR(G258&lt;Rubric!$B$12,J258&lt;Rubric!$B$12),Rubric!$B$13,0),2)</f>
        <v>7.85</v>
      </c>
      <c r="M258" s="4" t="n">
        <f aca="false">SUMIFS('Revision Log'!$M:$M,'Revision Log'!$N:$N,O258,'Revision Log'!$C:$C,0)</f>
        <v>7.2</v>
      </c>
      <c r="N258" s="16" t="n">
        <f aca="false">L258-M258</f>
        <v>0.65</v>
      </c>
      <c r="O258" s="14" t="n">
        <v>1371</v>
      </c>
    </row>
    <row r="259" customFormat="false" ht="23.85" hidden="false" customHeight="false" outlineLevel="0" collapsed="false">
      <c r="A259" s="2" t="s">
        <v>270</v>
      </c>
      <c r="B259" s="2" t="s">
        <v>280</v>
      </c>
      <c r="C259" s="14" t="n">
        <v>3</v>
      </c>
      <c r="D259" s="2" t="s">
        <v>563</v>
      </c>
      <c r="E259" s="15" t="n">
        <v>8</v>
      </c>
      <c r="F259" s="15" t="n">
        <v>7</v>
      </c>
      <c r="G259" s="15" t="n">
        <v>8</v>
      </c>
      <c r="H259" s="15" t="n">
        <v>4</v>
      </c>
      <c r="I259" s="15" t="n">
        <v>8</v>
      </c>
      <c r="J259" s="15" t="n">
        <v>8</v>
      </c>
      <c r="K259" s="15" t="n">
        <v>8</v>
      </c>
      <c r="L259" s="4" t="n">
        <f aca="false">ROUND(E259*Rubric!$B$4+F259*Rubric!$B$5+G259*Rubric!$B$6+H259*Rubric!$B$7+I259*Rubric!$B$8+J259*Rubric!$B$9+K259*Rubric!$B$10-IF(OR(G259&lt;Rubric!$B$12,J259&lt;Rubric!$B$12),Rubric!$B$13,0),2)</f>
        <v>7.45</v>
      </c>
      <c r="M259" s="4" t="n">
        <f aca="false">SUMIFS('Revision Log'!$M:$M,'Revision Log'!$N:$N,O259,'Revision Log'!$C:$C,0)</f>
        <v>7</v>
      </c>
      <c r="N259" s="16" t="n">
        <f aca="false">L259-M259</f>
        <v>0.45</v>
      </c>
      <c r="O259" s="14" t="n">
        <v>1372</v>
      </c>
    </row>
    <row r="260" customFormat="false" ht="23.85" hidden="false" customHeight="false" outlineLevel="0" collapsed="false">
      <c r="A260" s="2" t="s">
        <v>270</v>
      </c>
      <c r="B260" s="2" t="s">
        <v>280</v>
      </c>
      <c r="C260" s="14" t="n">
        <v>4</v>
      </c>
      <c r="D260" s="2" t="s">
        <v>423</v>
      </c>
      <c r="E260" s="15" t="n">
        <v>8</v>
      </c>
      <c r="F260" s="15" t="n">
        <v>8</v>
      </c>
      <c r="G260" s="15" t="n">
        <v>8</v>
      </c>
      <c r="H260" s="15" t="n">
        <v>3</v>
      </c>
      <c r="I260" s="15" t="n">
        <v>9</v>
      </c>
      <c r="J260" s="15" t="n">
        <v>8</v>
      </c>
      <c r="K260" s="15" t="n">
        <v>8</v>
      </c>
      <c r="L260" s="4" t="n">
        <f aca="false">ROUND(E260*Rubric!$B$4+F260*Rubric!$B$5+G260*Rubric!$B$6+H260*Rubric!$B$7+I260*Rubric!$B$8+J260*Rubric!$B$9+K260*Rubric!$B$10-IF(OR(G260&lt;Rubric!$B$12,J260&lt;Rubric!$B$12),Rubric!$B$13,0),2)</f>
        <v>7.9</v>
      </c>
      <c r="M260" s="4" t="n">
        <f aca="false">SUMIFS('Revision Log'!$M:$M,'Revision Log'!$N:$N,O260,'Revision Log'!$C:$C,0)</f>
        <v>7.1</v>
      </c>
      <c r="N260" s="16" t="n">
        <f aca="false">L260-M260</f>
        <v>0.800000000000001</v>
      </c>
      <c r="O260" s="14" t="n">
        <v>1373</v>
      </c>
    </row>
    <row r="261" customFormat="false" ht="15" hidden="false" customHeight="false" outlineLevel="0" collapsed="false">
      <c r="A261" s="2" t="s">
        <v>270</v>
      </c>
      <c r="B261" s="2" t="s">
        <v>280</v>
      </c>
      <c r="C261" s="14" t="n">
        <v>5</v>
      </c>
      <c r="D261" s="2" t="s">
        <v>564</v>
      </c>
      <c r="E261" s="15" t="n">
        <v>7</v>
      </c>
      <c r="F261" s="15" t="n">
        <v>8</v>
      </c>
      <c r="G261" s="15" t="n">
        <v>8</v>
      </c>
      <c r="H261" s="15" t="n">
        <v>9</v>
      </c>
      <c r="I261" s="15" t="n">
        <v>9</v>
      </c>
      <c r="J261" s="15" t="n">
        <v>7</v>
      </c>
      <c r="K261" s="15" t="n">
        <v>8</v>
      </c>
      <c r="L261" s="4" t="n">
        <f aca="false">ROUND(E261*Rubric!$B$4+F261*Rubric!$B$5+G261*Rubric!$B$6+H261*Rubric!$B$7+I261*Rubric!$B$8+J261*Rubric!$B$9+K261*Rubric!$B$10-IF(OR(G261&lt;Rubric!$B$12,J261&lt;Rubric!$B$12),Rubric!$B$13,0),2)</f>
        <v>8.35</v>
      </c>
      <c r="M261" s="4" t="n">
        <f aca="false">SUMIFS('Revision Log'!$M:$M,'Revision Log'!$N:$N,O261,'Revision Log'!$C:$C,0)</f>
        <v>7.1</v>
      </c>
      <c r="N261" s="16" t="n">
        <f aca="false">L261-M261</f>
        <v>1.25</v>
      </c>
      <c r="O261" s="14" t="n">
        <v>1374</v>
      </c>
    </row>
    <row r="262" customFormat="false" ht="23.85" hidden="false" customHeight="false" outlineLevel="0" collapsed="false">
      <c r="A262" s="2" t="s">
        <v>270</v>
      </c>
      <c r="B262" s="2" t="s">
        <v>284</v>
      </c>
      <c r="C262" s="14" t="n">
        <v>1</v>
      </c>
      <c r="D262" s="2" t="s">
        <v>420</v>
      </c>
      <c r="E262" s="15" t="n">
        <v>6</v>
      </c>
      <c r="F262" s="15" t="n">
        <v>8</v>
      </c>
      <c r="G262" s="15" t="n">
        <v>8</v>
      </c>
      <c r="H262" s="15" t="n">
        <v>3</v>
      </c>
      <c r="I262" s="15" t="n">
        <v>9</v>
      </c>
      <c r="J262" s="15" t="n">
        <v>8</v>
      </c>
      <c r="K262" s="15" t="n">
        <v>8</v>
      </c>
      <c r="L262" s="4" t="n">
        <f aca="false">ROUND(E262*Rubric!$B$4+F262*Rubric!$B$5+G262*Rubric!$B$6+H262*Rubric!$B$7+I262*Rubric!$B$8+J262*Rubric!$B$9+K262*Rubric!$B$10-IF(OR(G262&lt;Rubric!$B$12,J262&lt;Rubric!$B$12),Rubric!$B$13,0),2)</f>
        <v>7.8</v>
      </c>
      <c r="M262" s="4" t="n">
        <f aca="false">SUMIFS('Revision Log'!$M:$M,'Revision Log'!$N:$N,O262,'Revision Log'!$C:$C,0)</f>
        <v>7.5</v>
      </c>
      <c r="N262" s="16" t="n">
        <f aca="false">L262-M262</f>
        <v>0.3</v>
      </c>
      <c r="O262" s="14" t="n">
        <v>1380</v>
      </c>
    </row>
    <row r="263" customFormat="false" ht="23.85" hidden="false" customHeight="false" outlineLevel="0" collapsed="false">
      <c r="A263" s="2" t="s">
        <v>270</v>
      </c>
      <c r="B263" s="2" t="s">
        <v>284</v>
      </c>
      <c r="C263" s="14" t="n">
        <v>2</v>
      </c>
      <c r="D263" s="2" t="s">
        <v>519</v>
      </c>
      <c r="E263" s="15" t="n">
        <v>8</v>
      </c>
      <c r="F263" s="15" t="n">
        <v>9</v>
      </c>
      <c r="G263" s="15" t="n">
        <v>7</v>
      </c>
      <c r="H263" s="15" t="n">
        <v>3</v>
      </c>
      <c r="I263" s="15" t="n">
        <v>9</v>
      </c>
      <c r="J263" s="15" t="n">
        <v>7</v>
      </c>
      <c r="K263" s="15" t="n">
        <v>8</v>
      </c>
      <c r="L263" s="4" t="n">
        <f aca="false">ROUND(E263*Rubric!$B$4+F263*Rubric!$B$5+G263*Rubric!$B$6+H263*Rubric!$B$7+I263*Rubric!$B$8+J263*Rubric!$B$9+K263*Rubric!$B$10-IF(OR(G263&lt;Rubric!$B$12,J263&lt;Rubric!$B$12),Rubric!$B$13,0),2)</f>
        <v>7.85</v>
      </c>
      <c r="M263" s="4" t="n">
        <f aca="false">SUMIFS('Revision Log'!$M:$M,'Revision Log'!$N:$N,O263,'Revision Log'!$C:$C,0)</f>
        <v>7</v>
      </c>
      <c r="N263" s="16" t="n">
        <f aca="false">L263-M263</f>
        <v>0.85</v>
      </c>
      <c r="O263" s="14" t="n">
        <v>1381</v>
      </c>
    </row>
    <row r="264" customFormat="false" ht="23.85" hidden="false" customHeight="false" outlineLevel="0" collapsed="false">
      <c r="A264" s="2" t="s">
        <v>270</v>
      </c>
      <c r="B264" s="2" t="s">
        <v>284</v>
      </c>
      <c r="C264" s="14" t="n">
        <v>3</v>
      </c>
      <c r="D264" s="2" t="s">
        <v>565</v>
      </c>
      <c r="E264" s="15" t="n">
        <v>6</v>
      </c>
      <c r="F264" s="15" t="n">
        <v>8</v>
      </c>
      <c r="G264" s="15" t="n">
        <v>7</v>
      </c>
      <c r="H264" s="15" t="n">
        <v>10</v>
      </c>
      <c r="I264" s="15" t="n">
        <v>8</v>
      </c>
      <c r="J264" s="15" t="n">
        <v>8</v>
      </c>
      <c r="K264" s="15" t="n">
        <v>9</v>
      </c>
      <c r="L264" s="4" t="n">
        <f aca="false">ROUND(E264*Rubric!$B$4+F264*Rubric!$B$5+G264*Rubric!$B$6+H264*Rubric!$B$7+I264*Rubric!$B$8+J264*Rubric!$B$9+K264*Rubric!$B$10-IF(OR(G264&lt;Rubric!$B$12,J264&lt;Rubric!$B$12),Rubric!$B$13,0),2)</f>
        <v>8.1</v>
      </c>
      <c r="M264" s="4" t="n">
        <f aca="false">SUMIFS('Revision Log'!$M:$M,'Revision Log'!$N:$N,O264,'Revision Log'!$C:$C,0)</f>
        <v>6.45</v>
      </c>
      <c r="N264" s="16" t="n">
        <f aca="false">L264-M264</f>
        <v>1.65</v>
      </c>
      <c r="O264" s="14" t="n">
        <v>1382</v>
      </c>
    </row>
    <row r="265" customFormat="false" ht="23.85" hidden="false" customHeight="false" outlineLevel="0" collapsed="false">
      <c r="A265" s="2" t="s">
        <v>270</v>
      </c>
      <c r="B265" s="2" t="s">
        <v>284</v>
      </c>
      <c r="C265" s="14" t="n">
        <v>4</v>
      </c>
      <c r="D265" s="2" t="s">
        <v>440</v>
      </c>
      <c r="E265" s="15" t="n">
        <v>9</v>
      </c>
      <c r="F265" s="15" t="n">
        <v>9</v>
      </c>
      <c r="G265" s="15" t="n">
        <v>7</v>
      </c>
      <c r="H265" s="15" t="n">
        <v>10</v>
      </c>
      <c r="I265" s="15" t="n">
        <v>9</v>
      </c>
      <c r="J265" s="15" t="n">
        <v>8</v>
      </c>
      <c r="K265" s="15" t="n">
        <v>10</v>
      </c>
      <c r="L265" s="4" t="n">
        <f aca="false">ROUND(E265*Rubric!$B$4+F265*Rubric!$B$5+G265*Rubric!$B$6+H265*Rubric!$B$7+I265*Rubric!$B$8+J265*Rubric!$B$9+K265*Rubric!$B$10-IF(OR(G265&lt;Rubric!$B$12,J265&lt;Rubric!$B$12),Rubric!$B$13,0),2)</f>
        <v>8.9</v>
      </c>
      <c r="M265" s="4" t="n">
        <f aca="false">SUMIFS('Revision Log'!$M:$M,'Revision Log'!$N:$N,O265,'Revision Log'!$C:$C,0)</f>
        <v>7</v>
      </c>
      <c r="N265" s="16" t="n">
        <f aca="false">L265-M265</f>
        <v>1.9</v>
      </c>
      <c r="O265" s="14" t="n">
        <v>1383</v>
      </c>
    </row>
    <row r="266" customFormat="false" ht="23.85" hidden="false" customHeight="false" outlineLevel="0" collapsed="false">
      <c r="A266" s="2" t="s">
        <v>270</v>
      </c>
      <c r="B266" s="2" t="s">
        <v>284</v>
      </c>
      <c r="C266" s="14" t="n">
        <v>5</v>
      </c>
      <c r="D266" s="2" t="s">
        <v>434</v>
      </c>
      <c r="E266" s="15" t="n">
        <v>8</v>
      </c>
      <c r="F266" s="15" t="n">
        <v>8</v>
      </c>
      <c r="G266" s="15" t="n">
        <v>7</v>
      </c>
      <c r="H266" s="15" t="n">
        <v>10</v>
      </c>
      <c r="I266" s="15" t="n">
        <v>8</v>
      </c>
      <c r="J266" s="15" t="n">
        <v>7</v>
      </c>
      <c r="K266" s="15" t="n">
        <v>8</v>
      </c>
      <c r="L266" s="4" t="n">
        <f aca="false">ROUND(E266*Rubric!$B$4+F266*Rubric!$B$5+G266*Rubric!$B$6+H266*Rubric!$B$7+I266*Rubric!$B$8+J266*Rubric!$B$9+K266*Rubric!$B$10-IF(OR(G266&lt;Rubric!$B$12,J266&lt;Rubric!$B$12),Rubric!$B$13,0),2)</f>
        <v>8</v>
      </c>
      <c r="M266" s="4" t="n">
        <f aca="false">SUMIFS('Revision Log'!$M:$M,'Revision Log'!$N:$N,O266,'Revision Log'!$C:$C,0)</f>
        <v>6.7</v>
      </c>
      <c r="N266" s="16" t="n">
        <f aca="false">L266-M266</f>
        <v>1.3</v>
      </c>
      <c r="O266" s="14" t="n">
        <v>1384</v>
      </c>
    </row>
    <row r="267" customFormat="false" ht="23.85" hidden="false" customHeight="false" outlineLevel="0" collapsed="false">
      <c r="A267" s="2" t="s">
        <v>270</v>
      </c>
      <c r="B267" s="2" t="s">
        <v>289</v>
      </c>
      <c r="C267" s="14" t="n">
        <v>1</v>
      </c>
      <c r="D267" s="2" t="s">
        <v>373</v>
      </c>
      <c r="E267" s="15" t="n">
        <v>7</v>
      </c>
      <c r="F267" s="15" t="n">
        <v>9</v>
      </c>
      <c r="G267" s="15" t="n">
        <v>7</v>
      </c>
      <c r="H267" s="15" t="n">
        <v>3</v>
      </c>
      <c r="I267" s="15" t="n">
        <v>9</v>
      </c>
      <c r="J267" s="15" t="n">
        <v>8</v>
      </c>
      <c r="K267" s="15" t="n">
        <v>8</v>
      </c>
      <c r="L267" s="4" t="n">
        <f aca="false">ROUND(E267*Rubric!$B$4+F267*Rubric!$B$5+G267*Rubric!$B$6+H267*Rubric!$B$7+I267*Rubric!$B$8+J267*Rubric!$B$9+K267*Rubric!$B$10-IF(OR(G267&lt;Rubric!$B$12,J267&lt;Rubric!$B$12),Rubric!$B$13,0),2)</f>
        <v>7.9</v>
      </c>
      <c r="M267" s="4" t="n">
        <f aca="false">SUMIFS('Revision Log'!$M:$M,'Revision Log'!$N:$N,O267,'Revision Log'!$C:$C,0)</f>
        <v>6.4</v>
      </c>
      <c r="N267" s="16" t="n">
        <f aca="false">L267-M267</f>
        <v>1.5</v>
      </c>
      <c r="O267" s="14" t="n">
        <v>1390</v>
      </c>
    </row>
    <row r="268" customFormat="false" ht="23.85" hidden="false" customHeight="false" outlineLevel="0" collapsed="false">
      <c r="A268" s="2" t="s">
        <v>270</v>
      </c>
      <c r="B268" s="2" t="s">
        <v>289</v>
      </c>
      <c r="C268" s="14" t="n">
        <v>2</v>
      </c>
      <c r="D268" s="2" t="s">
        <v>566</v>
      </c>
      <c r="E268" s="15" t="n">
        <v>7</v>
      </c>
      <c r="F268" s="15" t="n">
        <v>9</v>
      </c>
      <c r="G268" s="15" t="n">
        <v>7</v>
      </c>
      <c r="H268" s="15" t="n">
        <v>3</v>
      </c>
      <c r="I268" s="15" t="n">
        <v>9</v>
      </c>
      <c r="J268" s="15" t="n">
        <v>8</v>
      </c>
      <c r="K268" s="15" t="n">
        <v>8</v>
      </c>
      <c r="L268" s="4" t="n">
        <f aca="false">ROUND(E268*Rubric!$B$4+F268*Rubric!$B$5+G268*Rubric!$B$6+H268*Rubric!$B$7+I268*Rubric!$B$8+J268*Rubric!$B$9+K268*Rubric!$B$10-IF(OR(G268&lt;Rubric!$B$12,J268&lt;Rubric!$B$12),Rubric!$B$13,0),2)</f>
        <v>7.9</v>
      </c>
      <c r="M268" s="4" t="n">
        <f aca="false">SUMIFS('Revision Log'!$M:$M,'Revision Log'!$N:$N,O268,'Revision Log'!$C:$C,0)</f>
        <v>7.1</v>
      </c>
      <c r="N268" s="16" t="n">
        <f aca="false">L268-M268</f>
        <v>0.800000000000001</v>
      </c>
      <c r="O268" s="14" t="n">
        <v>1391</v>
      </c>
    </row>
    <row r="269" customFormat="false" ht="23.85" hidden="false" customHeight="false" outlineLevel="0" collapsed="false">
      <c r="A269" s="2" t="s">
        <v>270</v>
      </c>
      <c r="B269" s="2" t="s">
        <v>289</v>
      </c>
      <c r="C269" s="14" t="n">
        <v>3</v>
      </c>
      <c r="D269" s="2" t="s">
        <v>417</v>
      </c>
      <c r="E269" s="15" t="n">
        <v>7</v>
      </c>
      <c r="F269" s="15" t="n">
        <v>8</v>
      </c>
      <c r="G269" s="15" t="n">
        <v>8</v>
      </c>
      <c r="H269" s="15" t="n">
        <v>3</v>
      </c>
      <c r="I269" s="15" t="n">
        <v>9</v>
      </c>
      <c r="J269" s="15" t="n">
        <v>8</v>
      </c>
      <c r="K269" s="15" t="n">
        <v>9</v>
      </c>
      <c r="L269" s="4" t="n">
        <f aca="false">ROUND(E269*Rubric!$B$4+F269*Rubric!$B$5+G269*Rubric!$B$6+H269*Rubric!$B$7+I269*Rubric!$B$8+J269*Rubric!$B$9+K269*Rubric!$B$10-IF(OR(G269&lt;Rubric!$B$12,J269&lt;Rubric!$B$12),Rubric!$B$13,0),2)</f>
        <v>7.95</v>
      </c>
      <c r="M269" s="4" t="n">
        <f aca="false">SUMIFS('Revision Log'!$M:$M,'Revision Log'!$N:$N,O269,'Revision Log'!$C:$C,0)</f>
        <v>6.65</v>
      </c>
      <c r="N269" s="16" t="n">
        <f aca="false">L269-M269</f>
        <v>1.3</v>
      </c>
      <c r="O269" s="14" t="n">
        <v>1392</v>
      </c>
    </row>
    <row r="270" customFormat="false" ht="15" hidden="false" customHeight="false" outlineLevel="0" collapsed="false">
      <c r="A270" s="2" t="s">
        <v>270</v>
      </c>
      <c r="B270" s="2" t="s">
        <v>289</v>
      </c>
      <c r="C270" s="14" t="n">
        <v>4</v>
      </c>
      <c r="D270" s="2" t="s">
        <v>429</v>
      </c>
      <c r="E270" s="15" t="n">
        <v>9</v>
      </c>
      <c r="F270" s="15" t="n">
        <v>9</v>
      </c>
      <c r="G270" s="15" t="n">
        <v>8</v>
      </c>
      <c r="H270" s="15" t="n">
        <v>3</v>
      </c>
      <c r="I270" s="15" t="n">
        <v>8</v>
      </c>
      <c r="J270" s="15" t="n">
        <v>9</v>
      </c>
      <c r="K270" s="15" t="n">
        <v>8</v>
      </c>
      <c r="L270" s="4" t="n">
        <f aca="false">ROUND(E270*Rubric!$B$4+F270*Rubric!$B$5+G270*Rubric!$B$6+H270*Rubric!$B$7+I270*Rubric!$B$8+J270*Rubric!$B$9+K270*Rubric!$B$10-IF(OR(G270&lt;Rubric!$B$12,J270&lt;Rubric!$B$12),Rubric!$B$13,0),2)</f>
        <v>7.8</v>
      </c>
      <c r="M270" s="4" t="n">
        <f aca="false">SUMIFS('Revision Log'!$M:$M,'Revision Log'!$N:$N,O270,'Revision Log'!$C:$C,0)</f>
        <v>6.75</v>
      </c>
      <c r="N270" s="16" t="n">
        <f aca="false">L270-M270</f>
        <v>1.05</v>
      </c>
      <c r="O270" s="14" t="n">
        <v>1393</v>
      </c>
    </row>
    <row r="271" customFormat="false" ht="15" hidden="false" customHeight="false" outlineLevel="0" collapsed="false">
      <c r="A271" s="2" t="s">
        <v>270</v>
      </c>
      <c r="B271" s="2" t="s">
        <v>289</v>
      </c>
      <c r="C271" s="14" t="n">
        <v>5</v>
      </c>
      <c r="D271" s="2" t="s">
        <v>491</v>
      </c>
      <c r="E271" s="15" t="n">
        <v>9</v>
      </c>
      <c r="F271" s="15" t="n">
        <v>8</v>
      </c>
      <c r="G271" s="15" t="n">
        <v>8</v>
      </c>
      <c r="H271" s="15" t="n">
        <v>3</v>
      </c>
      <c r="I271" s="15" t="n">
        <v>8</v>
      </c>
      <c r="J271" s="15" t="n">
        <v>8</v>
      </c>
      <c r="K271" s="15" t="n">
        <v>7</v>
      </c>
      <c r="L271" s="4" t="n">
        <f aca="false">ROUND(E271*Rubric!$B$4+F271*Rubric!$B$5+G271*Rubric!$B$6+H271*Rubric!$B$7+I271*Rubric!$B$8+J271*Rubric!$B$9+K271*Rubric!$B$10-IF(OR(G271&lt;Rubric!$B$12,J271&lt;Rubric!$B$12),Rubric!$B$13,0),2)</f>
        <v>7.45</v>
      </c>
      <c r="M271" s="4" t="n">
        <f aca="false">SUMIFS('Revision Log'!$M:$M,'Revision Log'!$N:$N,O271,'Revision Log'!$C:$C,0)</f>
        <v>6.9</v>
      </c>
      <c r="N271" s="16" t="n">
        <f aca="false">L271-M271</f>
        <v>0.55</v>
      </c>
      <c r="O271" s="14" t="n">
        <v>1394</v>
      </c>
    </row>
    <row r="272" customFormat="false" ht="15" hidden="false" customHeight="false" outlineLevel="0" collapsed="false">
      <c r="A272" s="2" t="s">
        <v>270</v>
      </c>
      <c r="B272" s="2" t="s">
        <v>293</v>
      </c>
      <c r="C272" s="14" t="n">
        <v>1</v>
      </c>
      <c r="D272" s="2" t="s">
        <v>567</v>
      </c>
      <c r="E272" s="15" t="n">
        <v>9</v>
      </c>
      <c r="F272" s="15" t="n">
        <v>9</v>
      </c>
      <c r="G272" s="15" t="n">
        <v>8</v>
      </c>
      <c r="H272" s="15" t="n">
        <v>3</v>
      </c>
      <c r="I272" s="15" t="n">
        <v>8</v>
      </c>
      <c r="J272" s="15" t="n">
        <v>9</v>
      </c>
      <c r="K272" s="15" t="n">
        <v>8</v>
      </c>
      <c r="L272" s="4" t="n">
        <f aca="false">ROUND(E272*Rubric!$B$4+F272*Rubric!$B$5+G272*Rubric!$B$6+H272*Rubric!$B$7+I272*Rubric!$B$8+J272*Rubric!$B$9+K272*Rubric!$B$10-IF(OR(G272&lt;Rubric!$B$12,J272&lt;Rubric!$B$12),Rubric!$B$13,0),2)</f>
        <v>7.8</v>
      </c>
      <c r="M272" s="4" t="n">
        <f aca="false">SUMIFS('Revision Log'!$M:$M,'Revision Log'!$N:$N,O272,'Revision Log'!$C:$C,0)</f>
        <v>7.1</v>
      </c>
      <c r="N272" s="16" t="n">
        <f aca="false">L272-M272</f>
        <v>0.7</v>
      </c>
      <c r="O272" s="14" t="n">
        <v>1400</v>
      </c>
    </row>
    <row r="273" customFormat="false" ht="23.85" hidden="false" customHeight="false" outlineLevel="0" collapsed="false">
      <c r="A273" s="2" t="s">
        <v>270</v>
      </c>
      <c r="B273" s="2" t="s">
        <v>293</v>
      </c>
      <c r="C273" s="14" t="n">
        <v>2</v>
      </c>
      <c r="D273" s="2" t="s">
        <v>568</v>
      </c>
      <c r="E273" s="15" t="n">
        <v>6</v>
      </c>
      <c r="F273" s="15" t="n">
        <v>8</v>
      </c>
      <c r="G273" s="15" t="n">
        <v>8</v>
      </c>
      <c r="H273" s="15" t="n">
        <v>3</v>
      </c>
      <c r="I273" s="15" t="n">
        <v>9</v>
      </c>
      <c r="J273" s="15" t="n">
        <v>8</v>
      </c>
      <c r="K273" s="15" t="n">
        <v>8</v>
      </c>
      <c r="L273" s="4" t="n">
        <f aca="false">ROUND(E273*Rubric!$B$4+F273*Rubric!$B$5+G273*Rubric!$B$6+H273*Rubric!$B$7+I273*Rubric!$B$8+J273*Rubric!$B$9+K273*Rubric!$B$10-IF(OR(G273&lt;Rubric!$B$12,J273&lt;Rubric!$B$12),Rubric!$B$13,0),2)</f>
        <v>7.8</v>
      </c>
      <c r="M273" s="4" t="n">
        <f aca="false">SUMIFS('Revision Log'!$M:$M,'Revision Log'!$N:$N,O273,'Revision Log'!$C:$C,0)</f>
        <v>7.4</v>
      </c>
      <c r="N273" s="16" t="n">
        <f aca="false">L273-M273</f>
        <v>0.399999999999999</v>
      </c>
      <c r="O273" s="14" t="n">
        <v>1401</v>
      </c>
    </row>
    <row r="274" customFormat="false" ht="23.85" hidden="false" customHeight="false" outlineLevel="0" collapsed="false">
      <c r="A274" s="2" t="s">
        <v>270</v>
      </c>
      <c r="B274" s="2" t="s">
        <v>293</v>
      </c>
      <c r="C274" s="14" t="n">
        <v>3</v>
      </c>
      <c r="D274" s="2" t="s">
        <v>569</v>
      </c>
      <c r="E274" s="15" t="n">
        <v>8</v>
      </c>
      <c r="F274" s="15" t="n">
        <v>7</v>
      </c>
      <c r="G274" s="15" t="n">
        <v>8</v>
      </c>
      <c r="H274" s="15" t="n">
        <v>8</v>
      </c>
      <c r="I274" s="15" t="n">
        <v>8</v>
      </c>
      <c r="J274" s="15" t="n">
        <v>8</v>
      </c>
      <c r="K274" s="15" t="n">
        <v>7</v>
      </c>
      <c r="L274" s="4" t="n">
        <f aca="false">ROUND(E274*Rubric!$B$4+F274*Rubric!$B$5+G274*Rubric!$B$6+H274*Rubric!$B$7+I274*Rubric!$B$8+J274*Rubric!$B$9+K274*Rubric!$B$10-IF(OR(G274&lt;Rubric!$B$12,J274&lt;Rubric!$B$12),Rubric!$B$13,0),2)</f>
        <v>7.75</v>
      </c>
      <c r="M274" s="4" t="n">
        <f aca="false">SUMIFS('Revision Log'!$M:$M,'Revision Log'!$N:$N,O274,'Revision Log'!$C:$C,0)</f>
        <v>6.45</v>
      </c>
      <c r="N274" s="16" t="n">
        <f aca="false">L274-M274</f>
        <v>1.3</v>
      </c>
      <c r="O274" s="14" t="n">
        <v>1402</v>
      </c>
    </row>
    <row r="275" customFormat="false" ht="23.85" hidden="false" customHeight="false" outlineLevel="0" collapsed="false">
      <c r="A275" s="2" t="s">
        <v>270</v>
      </c>
      <c r="B275" s="2" t="s">
        <v>293</v>
      </c>
      <c r="C275" s="14" t="n">
        <v>4</v>
      </c>
      <c r="D275" s="2" t="s">
        <v>570</v>
      </c>
      <c r="E275" s="15" t="n">
        <v>7</v>
      </c>
      <c r="F275" s="15" t="n">
        <v>8</v>
      </c>
      <c r="G275" s="15" t="n">
        <v>8</v>
      </c>
      <c r="H275" s="15" t="n">
        <v>4</v>
      </c>
      <c r="I275" s="15" t="n">
        <v>8</v>
      </c>
      <c r="J275" s="15" t="n">
        <v>7</v>
      </c>
      <c r="K275" s="15" t="n">
        <v>8</v>
      </c>
      <c r="L275" s="4" t="n">
        <f aca="false">ROUND(E275*Rubric!$B$4+F275*Rubric!$B$5+G275*Rubric!$B$6+H275*Rubric!$B$7+I275*Rubric!$B$8+J275*Rubric!$B$9+K275*Rubric!$B$10-IF(OR(G275&lt;Rubric!$B$12,J275&lt;Rubric!$B$12),Rubric!$B$13,0),2)</f>
        <v>7.45</v>
      </c>
      <c r="M275" s="4" t="n">
        <f aca="false">SUMIFS('Revision Log'!$M:$M,'Revision Log'!$N:$N,O275,'Revision Log'!$C:$C,0)</f>
        <v>6.6</v>
      </c>
      <c r="N275" s="16" t="n">
        <f aca="false">L275-M275</f>
        <v>0.850000000000001</v>
      </c>
      <c r="O275" s="14" t="n">
        <v>1403</v>
      </c>
    </row>
    <row r="276" customFormat="false" ht="15" hidden="false" customHeight="false" outlineLevel="0" collapsed="false">
      <c r="A276" s="2" t="s">
        <v>270</v>
      </c>
      <c r="B276" s="2" t="s">
        <v>293</v>
      </c>
      <c r="C276" s="14" t="n">
        <v>5</v>
      </c>
      <c r="D276" s="2" t="s">
        <v>511</v>
      </c>
      <c r="E276" s="15" t="n">
        <v>9</v>
      </c>
      <c r="F276" s="15" t="n">
        <v>9</v>
      </c>
      <c r="G276" s="15" t="n">
        <v>8</v>
      </c>
      <c r="H276" s="15" t="n">
        <v>3</v>
      </c>
      <c r="I276" s="15" t="n">
        <v>8</v>
      </c>
      <c r="J276" s="15" t="n">
        <v>9</v>
      </c>
      <c r="K276" s="15" t="n">
        <v>8</v>
      </c>
      <c r="L276" s="4" t="n">
        <f aca="false">ROUND(E276*Rubric!$B$4+F276*Rubric!$B$5+G276*Rubric!$B$6+H276*Rubric!$B$7+I276*Rubric!$B$8+J276*Rubric!$B$9+K276*Rubric!$B$10-IF(OR(G276&lt;Rubric!$B$12,J276&lt;Rubric!$B$12),Rubric!$B$13,0),2)</f>
        <v>7.8</v>
      </c>
      <c r="M276" s="4" t="n">
        <f aca="false">SUMIFS('Revision Log'!$M:$M,'Revision Log'!$N:$N,O276,'Revision Log'!$C:$C,0)</f>
        <v>6.7</v>
      </c>
      <c r="N276" s="16" t="n">
        <f aca="false">L276-M276</f>
        <v>1.1</v>
      </c>
      <c r="O276" s="14" t="n">
        <v>1404</v>
      </c>
    </row>
    <row r="277" customFormat="false" ht="23.85" hidden="false" customHeight="false" outlineLevel="0" collapsed="false">
      <c r="A277" s="2" t="s">
        <v>270</v>
      </c>
      <c r="B277" s="2" t="s">
        <v>298</v>
      </c>
      <c r="C277" s="14" t="n">
        <v>1</v>
      </c>
      <c r="D277" s="2" t="s">
        <v>571</v>
      </c>
      <c r="E277" s="15" t="n">
        <v>9</v>
      </c>
      <c r="F277" s="15" t="n">
        <v>9</v>
      </c>
      <c r="G277" s="15" t="n">
        <v>8</v>
      </c>
      <c r="H277" s="15" t="n">
        <v>3</v>
      </c>
      <c r="I277" s="15" t="n">
        <v>8</v>
      </c>
      <c r="J277" s="15" t="n">
        <v>9</v>
      </c>
      <c r="K277" s="15" t="n">
        <v>8</v>
      </c>
      <c r="L277" s="4" t="n">
        <f aca="false">ROUND(E277*Rubric!$B$4+F277*Rubric!$B$5+G277*Rubric!$B$6+H277*Rubric!$B$7+I277*Rubric!$B$8+J277*Rubric!$B$9+K277*Rubric!$B$10-IF(OR(G277&lt;Rubric!$B$12,J277&lt;Rubric!$B$12),Rubric!$B$13,0),2)</f>
        <v>7.8</v>
      </c>
      <c r="M277" s="4" t="n">
        <f aca="false">SUMIFS('Revision Log'!$M:$M,'Revision Log'!$N:$N,O277,'Revision Log'!$C:$C,0)</f>
        <v>6.3</v>
      </c>
      <c r="N277" s="16" t="n">
        <f aca="false">L277-M277</f>
        <v>1.5</v>
      </c>
      <c r="O277" s="14" t="n">
        <v>1410</v>
      </c>
    </row>
    <row r="278" customFormat="false" ht="23.85" hidden="false" customHeight="false" outlineLevel="0" collapsed="false">
      <c r="A278" s="2" t="s">
        <v>270</v>
      </c>
      <c r="B278" s="2" t="s">
        <v>298</v>
      </c>
      <c r="C278" s="14" t="n">
        <v>2</v>
      </c>
      <c r="D278" s="2" t="s">
        <v>572</v>
      </c>
      <c r="E278" s="15" t="n">
        <v>7</v>
      </c>
      <c r="F278" s="15" t="n">
        <v>9</v>
      </c>
      <c r="G278" s="15" t="n">
        <v>8</v>
      </c>
      <c r="H278" s="15" t="n">
        <v>3</v>
      </c>
      <c r="I278" s="15" t="n">
        <v>7</v>
      </c>
      <c r="J278" s="15" t="n">
        <v>9</v>
      </c>
      <c r="K278" s="15" t="n">
        <v>9</v>
      </c>
      <c r="L278" s="4" t="n">
        <f aca="false">ROUND(E278*Rubric!$B$4+F278*Rubric!$B$5+G278*Rubric!$B$6+H278*Rubric!$B$7+I278*Rubric!$B$8+J278*Rubric!$B$9+K278*Rubric!$B$10-IF(OR(G278&lt;Rubric!$B$12,J278&lt;Rubric!$B$12),Rubric!$B$13,0),2)</f>
        <v>7.4</v>
      </c>
      <c r="M278" s="4" t="n">
        <f aca="false">SUMIFS('Revision Log'!$M:$M,'Revision Log'!$N:$N,O278,'Revision Log'!$C:$C,0)</f>
        <v>6.3</v>
      </c>
      <c r="N278" s="16" t="n">
        <f aca="false">L278-M278</f>
        <v>1.1</v>
      </c>
      <c r="O278" s="14" t="n">
        <v>1411</v>
      </c>
    </row>
    <row r="279" customFormat="false" ht="23.85" hidden="false" customHeight="false" outlineLevel="0" collapsed="false">
      <c r="A279" s="2" t="s">
        <v>270</v>
      </c>
      <c r="B279" s="2" t="s">
        <v>298</v>
      </c>
      <c r="C279" s="14" t="n">
        <v>3</v>
      </c>
      <c r="D279" s="2" t="s">
        <v>573</v>
      </c>
      <c r="E279" s="15" t="n">
        <v>7</v>
      </c>
      <c r="F279" s="15" t="n">
        <v>7</v>
      </c>
      <c r="G279" s="15" t="n">
        <v>7</v>
      </c>
      <c r="H279" s="15" t="n">
        <v>3</v>
      </c>
      <c r="I279" s="15" t="n">
        <v>8</v>
      </c>
      <c r="J279" s="15" t="n">
        <v>7</v>
      </c>
      <c r="K279" s="15" t="n">
        <v>8</v>
      </c>
      <c r="L279" s="4" t="n">
        <f aca="false">ROUND(E279*Rubric!$B$4+F279*Rubric!$B$5+G279*Rubric!$B$6+H279*Rubric!$B$7+I279*Rubric!$B$8+J279*Rubric!$B$9+K279*Rubric!$B$10-IF(OR(G279&lt;Rubric!$B$12,J279&lt;Rubric!$B$12),Rubric!$B$13,0),2)</f>
        <v>7.1</v>
      </c>
      <c r="M279" s="4" t="n">
        <f aca="false">SUMIFS('Revision Log'!$M:$M,'Revision Log'!$N:$N,O279,'Revision Log'!$C:$C,0)</f>
        <v>6.2</v>
      </c>
      <c r="N279" s="16" t="n">
        <f aca="false">L279-M279</f>
        <v>0.9</v>
      </c>
      <c r="O279" s="14" t="n">
        <v>1412</v>
      </c>
    </row>
    <row r="280" customFormat="false" ht="23.85" hidden="false" customHeight="false" outlineLevel="0" collapsed="false">
      <c r="A280" s="2" t="s">
        <v>270</v>
      </c>
      <c r="B280" s="2" t="s">
        <v>298</v>
      </c>
      <c r="C280" s="14" t="n">
        <v>4</v>
      </c>
      <c r="D280" s="2" t="s">
        <v>574</v>
      </c>
      <c r="E280" s="15" t="n">
        <v>7</v>
      </c>
      <c r="F280" s="15" t="n">
        <v>7</v>
      </c>
      <c r="G280" s="15" t="n">
        <v>8</v>
      </c>
      <c r="H280" s="15" t="n">
        <v>8</v>
      </c>
      <c r="I280" s="15" t="n">
        <v>7</v>
      </c>
      <c r="J280" s="15" t="n">
        <v>8</v>
      </c>
      <c r="K280" s="15" t="n">
        <v>7</v>
      </c>
      <c r="L280" s="4" t="n">
        <f aca="false">ROUND(E280*Rubric!$B$4+F280*Rubric!$B$5+G280*Rubric!$B$6+H280*Rubric!$B$7+I280*Rubric!$B$8+J280*Rubric!$B$9+K280*Rubric!$B$10-IF(OR(G280&lt;Rubric!$B$12,J280&lt;Rubric!$B$12),Rubric!$B$13,0),2)</f>
        <v>7.3</v>
      </c>
      <c r="M280" s="4" t="n">
        <f aca="false">SUMIFS('Revision Log'!$M:$M,'Revision Log'!$N:$N,O280,'Revision Log'!$C:$C,0)</f>
        <v>6.45</v>
      </c>
      <c r="N280" s="16" t="n">
        <f aca="false">L280-M280</f>
        <v>0.85</v>
      </c>
      <c r="O280" s="14" t="n">
        <v>1413</v>
      </c>
    </row>
    <row r="281" customFormat="false" ht="23.85" hidden="false" customHeight="false" outlineLevel="0" collapsed="false">
      <c r="A281" s="2" t="s">
        <v>270</v>
      </c>
      <c r="B281" s="2" t="s">
        <v>298</v>
      </c>
      <c r="C281" s="14" t="n">
        <v>5</v>
      </c>
      <c r="D281" s="2" t="s">
        <v>575</v>
      </c>
      <c r="E281" s="15" t="n">
        <v>8</v>
      </c>
      <c r="F281" s="15" t="n">
        <v>9</v>
      </c>
      <c r="G281" s="15" t="n">
        <v>8</v>
      </c>
      <c r="H281" s="15" t="n">
        <v>3</v>
      </c>
      <c r="I281" s="15" t="n">
        <v>7</v>
      </c>
      <c r="J281" s="15" t="n">
        <v>9</v>
      </c>
      <c r="K281" s="15" t="n">
        <v>8</v>
      </c>
      <c r="L281" s="4" t="n">
        <f aca="false">ROUND(E281*Rubric!$B$4+F281*Rubric!$B$5+G281*Rubric!$B$6+H281*Rubric!$B$7+I281*Rubric!$B$8+J281*Rubric!$B$9+K281*Rubric!$B$10-IF(OR(G281&lt;Rubric!$B$12,J281&lt;Rubric!$B$12),Rubric!$B$13,0),2)</f>
        <v>7.35</v>
      </c>
      <c r="M281" s="4" t="n">
        <f aca="false">SUMIFS('Revision Log'!$M:$M,'Revision Log'!$N:$N,O281,'Revision Log'!$C:$C,0)</f>
        <v>6.3</v>
      </c>
      <c r="N281" s="16" t="n">
        <f aca="false">L281-M281</f>
        <v>1.05</v>
      </c>
      <c r="O281" s="14" t="n">
        <v>1414</v>
      </c>
    </row>
  </sheetData>
  <autoFilter ref="A1:O2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80"/>
    <col collapsed="false" customWidth="true" hidden="false" outlineLevel="0" max="7" min="6" style="0" width="8"/>
    <col collapsed="false" customWidth="true" hidden="false" outlineLevel="0" max="10" min="8" style="0" width="9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6"/>
    <col collapsed="false" customWidth="true" hidden="false" outlineLevel="0" max="15" min="15" style="0" width="5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302</v>
      </c>
      <c r="D1" s="1" t="s">
        <v>350</v>
      </c>
      <c r="E1" s="1" t="s">
        <v>576</v>
      </c>
      <c r="F1" s="1" t="s">
        <v>577</v>
      </c>
      <c r="G1" s="1" t="s">
        <v>578</v>
      </c>
      <c r="H1" s="1" t="s">
        <v>579</v>
      </c>
      <c r="I1" s="1" t="s">
        <v>580</v>
      </c>
      <c r="J1" s="1" t="s">
        <v>581</v>
      </c>
      <c r="K1" s="1" t="s">
        <v>352</v>
      </c>
      <c r="L1" s="1" t="s">
        <v>582</v>
      </c>
      <c r="M1" s="1" t="s">
        <v>583</v>
      </c>
      <c r="N1" s="1" t="s">
        <v>356</v>
      </c>
      <c r="O1" s="1" t="s">
        <v>584</v>
      </c>
    </row>
    <row r="2" customFormat="false" ht="23.85" hidden="false" customHeight="false" outlineLevel="0" collapsed="false">
      <c r="A2" s="2" t="s">
        <v>9</v>
      </c>
      <c r="B2" s="2" t="s">
        <v>10</v>
      </c>
      <c r="C2" s="14" t="n">
        <v>0</v>
      </c>
      <c r="D2" s="14" t="n">
        <v>1</v>
      </c>
      <c r="E2" s="2" t="s">
        <v>585</v>
      </c>
      <c r="F2" s="15" t="n">
        <v>8</v>
      </c>
      <c r="G2" s="15" t="n">
        <v>7</v>
      </c>
      <c r="H2" s="15" t="n">
        <v>8</v>
      </c>
      <c r="I2" s="15" t="n">
        <v>4</v>
      </c>
      <c r="J2" s="15" t="n">
        <v>8</v>
      </c>
      <c r="K2" s="15" t="n">
        <v>8</v>
      </c>
      <c r="L2" s="15" t="n">
        <v>6</v>
      </c>
      <c r="M2" s="4" t="n">
        <f aca="false">ROUND(F2*Rubric!$B$4+G2*Rubric!$B$5+H2*Rubric!$B$6+I2*Rubric!$B$7+J2*Rubric!$B$8+K2*Rubric!$B$9+L2*Rubric!$B$10-IF(OR(H2&lt;Rubric!$B$12,K2&lt;Rubric!$B$12),Rubric!$B$13,0),2)</f>
        <v>7.25</v>
      </c>
      <c r="N2" s="14" t="n">
        <v>0</v>
      </c>
      <c r="O2" s="2" t="s">
        <v>586</v>
      </c>
    </row>
    <row r="3" customFormat="false" ht="23.85" hidden="false" customHeight="false" outlineLevel="0" collapsed="false">
      <c r="A3" s="2" t="s">
        <v>9</v>
      </c>
      <c r="B3" s="2" t="s">
        <v>10</v>
      </c>
      <c r="C3" s="14" t="n">
        <v>2</v>
      </c>
      <c r="D3" s="14" t="n">
        <v>1</v>
      </c>
      <c r="E3" s="2" t="s">
        <v>357</v>
      </c>
      <c r="F3" s="15" t="n">
        <v>7</v>
      </c>
      <c r="G3" s="15" t="n">
        <v>8</v>
      </c>
      <c r="H3" s="15" t="n">
        <v>8</v>
      </c>
      <c r="I3" s="15" t="n">
        <v>4</v>
      </c>
      <c r="J3" s="15" t="n">
        <v>8</v>
      </c>
      <c r="K3" s="15" t="n">
        <v>8</v>
      </c>
      <c r="L3" s="15" t="n">
        <v>8</v>
      </c>
      <c r="M3" s="4" t="n">
        <f aca="false">ROUND(F3*Rubric!$B$4+G3*Rubric!$B$5+H3*Rubric!$B$6+I3*Rubric!$B$7+J3*Rubric!$B$8+K3*Rubric!$B$9+L3*Rubric!$B$10-IF(OR(H3&lt;Rubric!$B$12,K3&lt;Rubric!$B$12),Rubric!$B$13,0),2)</f>
        <v>7.55</v>
      </c>
      <c r="N3" s="14" t="n">
        <v>0</v>
      </c>
      <c r="O3" s="2" t="s">
        <v>587</v>
      </c>
    </row>
    <row r="4" customFormat="false" ht="23.85" hidden="false" customHeight="false" outlineLevel="0" collapsed="false">
      <c r="A4" s="2" t="s">
        <v>9</v>
      </c>
      <c r="B4" s="2" t="s">
        <v>10</v>
      </c>
      <c r="C4" s="14" t="n">
        <v>0</v>
      </c>
      <c r="D4" s="14" t="n">
        <v>2</v>
      </c>
      <c r="E4" s="2" t="s">
        <v>358</v>
      </c>
      <c r="F4" s="15" t="n">
        <v>9</v>
      </c>
      <c r="G4" s="15" t="n">
        <v>9</v>
      </c>
      <c r="H4" s="15" t="n">
        <v>8</v>
      </c>
      <c r="I4" s="15" t="n">
        <v>4</v>
      </c>
      <c r="J4" s="15" t="n">
        <v>8</v>
      </c>
      <c r="K4" s="15" t="n">
        <v>9</v>
      </c>
      <c r="L4" s="15" t="n">
        <v>8</v>
      </c>
      <c r="M4" s="4" t="n">
        <f aca="false">ROUND(F4*Rubric!$B$4+G4*Rubric!$B$5+H4*Rubric!$B$6+I4*Rubric!$B$7+J4*Rubric!$B$8+K4*Rubric!$B$9+L4*Rubric!$B$10-IF(OR(H4&lt;Rubric!$B$12,K4&lt;Rubric!$B$12),Rubric!$B$13,0),2)</f>
        <v>7.9</v>
      </c>
      <c r="N4" s="14" t="n">
        <v>1</v>
      </c>
      <c r="O4" s="2" t="s">
        <v>586</v>
      </c>
    </row>
    <row r="5" customFormat="false" ht="23.85" hidden="false" customHeight="false" outlineLevel="0" collapsed="false">
      <c r="A5" s="2" t="s">
        <v>9</v>
      </c>
      <c r="B5" s="2" t="s">
        <v>10</v>
      </c>
      <c r="C5" s="14" t="n">
        <v>0</v>
      </c>
      <c r="D5" s="14" t="n">
        <v>3</v>
      </c>
      <c r="E5" s="2" t="s">
        <v>588</v>
      </c>
      <c r="F5" s="15" t="n">
        <v>8</v>
      </c>
      <c r="G5" s="15" t="n">
        <v>8</v>
      </c>
      <c r="H5" s="15" t="n">
        <v>8</v>
      </c>
      <c r="I5" s="15" t="n">
        <v>4</v>
      </c>
      <c r="J5" s="15" t="n">
        <v>7</v>
      </c>
      <c r="K5" s="15" t="n">
        <v>8</v>
      </c>
      <c r="L5" s="15" t="n">
        <v>6</v>
      </c>
      <c r="M5" s="4" t="n">
        <f aca="false">ROUND(F5*Rubric!$B$4+G5*Rubric!$B$5+H5*Rubric!$B$6+I5*Rubric!$B$7+J5*Rubric!$B$8+K5*Rubric!$B$9+L5*Rubric!$B$10-IF(OR(H5&lt;Rubric!$B$12,K5&lt;Rubric!$B$12),Rubric!$B$13,0),2)</f>
        <v>7</v>
      </c>
      <c r="N5" s="14" t="n">
        <v>2</v>
      </c>
      <c r="O5" s="2" t="s">
        <v>586</v>
      </c>
    </row>
    <row r="6" customFormat="false" ht="23.85" hidden="false" customHeight="false" outlineLevel="0" collapsed="false">
      <c r="A6" s="2" t="s">
        <v>9</v>
      </c>
      <c r="B6" s="2" t="s">
        <v>10</v>
      </c>
      <c r="C6" s="14" t="n">
        <v>2</v>
      </c>
      <c r="D6" s="14" t="n">
        <v>3</v>
      </c>
      <c r="E6" s="2" t="s">
        <v>589</v>
      </c>
      <c r="F6" s="15" t="n">
        <v>8</v>
      </c>
      <c r="G6" s="15" t="n">
        <v>8</v>
      </c>
      <c r="H6" s="15" t="n">
        <v>8</v>
      </c>
      <c r="I6" s="15" t="n">
        <v>4</v>
      </c>
      <c r="J6" s="15" t="n">
        <v>7</v>
      </c>
      <c r="K6" s="15" t="n">
        <v>8</v>
      </c>
      <c r="L6" s="15" t="n">
        <v>7</v>
      </c>
      <c r="M6" s="4" t="n">
        <f aca="false">ROUND(F6*Rubric!$B$4+G6*Rubric!$B$5+H6*Rubric!$B$6+I6*Rubric!$B$7+J6*Rubric!$B$8+K6*Rubric!$B$9+L6*Rubric!$B$10-IF(OR(H6&lt;Rubric!$B$12,K6&lt;Rubric!$B$12),Rubric!$B$13,0),2)</f>
        <v>7.1</v>
      </c>
      <c r="N6" s="14" t="n">
        <v>2</v>
      </c>
      <c r="O6" s="2" t="s">
        <v>590</v>
      </c>
    </row>
    <row r="7" customFormat="false" ht="23.85" hidden="false" customHeight="false" outlineLevel="0" collapsed="false">
      <c r="A7" s="2" t="s">
        <v>9</v>
      </c>
      <c r="B7" s="2" t="s">
        <v>10</v>
      </c>
      <c r="C7" s="14" t="n">
        <v>3</v>
      </c>
      <c r="D7" s="14" t="n">
        <v>3</v>
      </c>
      <c r="E7" s="2" t="s">
        <v>359</v>
      </c>
      <c r="F7" s="15" t="n">
        <v>9</v>
      </c>
      <c r="G7" s="15" t="n">
        <v>8</v>
      </c>
      <c r="H7" s="15" t="n">
        <v>8</v>
      </c>
      <c r="I7" s="15" t="n">
        <v>4</v>
      </c>
      <c r="J7" s="15" t="n">
        <v>7</v>
      </c>
      <c r="K7" s="15" t="n">
        <v>8</v>
      </c>
      <c r="L7" s="15" t="n">
        <v>7</v>
      </c>
      <c r="M7" s="4" t="n">
        <f aca="false">ROUND(F7*Rubric!$B$4+G7*Rubric!$B$5+H7*Rubric!$B$6+I7*Rubric!$B$7+J7*Rubric!$B$8+K7*Rubric!$B$9+L7*Rubric!$B$10-IF(OR(H7&lt;Rubric!$B$12,K7&lt;Rubric!$B$12),Rubric!$B$13,0),2)</f>
        <v>7.15</v>
      </c>
      <c r="N7" s="14" t="n">
        <v>2</v>
      </c>
      <c r="O7" s="2" t="s">
        <v>591</v>
      </c>
    </row>
    <row r="8" customFormat="false" ht="23.85" hidden="false" customHeight="false" outlineLevel="0" collapsed="false">
      <c r="A8" s="2" t="s">
        <v>9</v>
      </c>
      <c r="B8" s="2" t="s">
        <v>10</v>
      </c>
      <c r="C8" s="14" t="n">
        <v>0</v>
      </c>
      <c r="D8" s="14" t="n">
        <v>4</v>
      </c>
      <c r="E8" s="2" t="s">
        <v>592</v>
      </c>
      <c r="F8" s="15" t="n">
        <v>8</v>
      </c>
      <c r="G8" s="15" t="n">
        <v>7</v>
      </c>
      <c r="H8" s="15" t="n">
        <v>8</v>
      </c>
      <c r="I8" s="15" t="n">
        <v>3</v>
      </c>
      <c r="J8" s="15" t="n">
        <v>7</v>
      </c>
      <c r="K8" s="15" t="n">
        <v>8</v>
      </c>
      <c r="L8" s="15" t="n">
        <v>6</v>
      </c>
      <c r="M8" s="4" t="n">
        <f aca="false">ROUND(F8*Rubric!$B$4+G8*Rubric!$B$5+H8*Rubric!$B$6+I8*Rubric!$B$7+J8*Rubric!$B$8+K8*Rubric!$B$9+L8*Rubric!$B$10-IF(OR(H8&lt;Rubric!$B$12,K8&lt;Rubric!$B$12),Rubric!$B$13,0),2)</f>
        <v>6.75</v>
      </c>
      <c r="N8" s="14" t="n">
        <v>3</v>
      </c>
      <c r="O8" s="2" t="s">
        <v>586</v>
      </c>
    </row>
    <row r="9" customFormat="false" ht="23.85" hidden="false" customHeight="false" outlineLevel="0" collapsed="false">
      <c r="A9" s="2" t="s">
        <v>9</v>
      </c>
      <c r="B9" s="2" t="s">
        <v>10</v>
      </c>
      <c r="C9" s="14" t="n">
        <v>2</v>
      </c>
      <c r="D9" s="14" t="n">
        <v>4</v>
      </c>
      <c r="E9" s="2" t="s">
        <v>593</v>
      </c>
      <c r="F9" s="15" t="n">
        <v>8</v>
      </c>
      <c r="G9" s="15" t="n">
        <v>8</v>
      </c>
      <c r="H9" s="15" t="n">
        <v>8</v>
      </c>
      <c r="I9" s="15" t="n">
        <v>3</v>
      </c>
      <c r="J9" s="15" t="n">
        <v>7</v>
      </c>
      <c r="K9" s="15" t="n">
        <v>8</v>
      </c>
      <c r="L9" s="15" t="n">
        <v>7</v>
      </c>
      <c r="M9" s="4" t="n">
        <f aca="false">ROUND(F9*Rubric!$B$4+G9*Rubric!$B$5+H9*Rubric!$B$6+I9*Rubric!$B$7+J9*Rubric!$B$8+K9*Rubric!$B$9+L9*Rubric!$B$10-IF(OR(H9&lt;Rubric!$B$12,K9&lt;Rubric!$B$12),Rubric!$B$13,0),2)</f>
        <v>7</v>
      </c>
      <c r="N9" s="14" t="n">
        <v>3</v>
      </c>
      <c r="O9" s="2" t="s">
        <v>594</v>
      </c>
    </row>
    <row r="10" customFormat="false" ht="23.85" hidden="false" customHeight="false" outlineLevel="0" collapsed="false">
      <c r="A10" s="2" t="s">
        <v>9</v>
      </c>
      <c r="B10" s="2" t="s">
        <v>10</v>
      </c>
      <c r="C10" s="14" t="n">
        <v>3</v>
      </c>
      <c r="D10" s="14" t="n">
        <v>4</v>
      </c>
      <c r="E10" s="2" t="s">
        <v>360</v>
      </c>
      <c r="F10" s="15" t="n">
        <v>9</v>
      </c>
      <c r="G10" s="15" t="n">
        <v>8</v>
      </c>
      <c r="H10" s="15" t="n">
        <v>8</v>
      </c>
      <c r="I10" s="15" t="n">
        <v>3</v>
      </c>
      <c r="J10" s="15" t="n">
        <v>7</v>
      </c>
      <c r="K10" s="15" t="n">
        <v>8</v>
      </c>
      <c r="L10" s="15" t="n">
        <v>7</v>
      </c>
      <c r="M10" s="4" t="n">
        <f aca="false">ROUND(F10*Rubric!$B$4+G10*Rubric!$B$5+H10*Rubric!$B$6+I10*Rubric!$B$7+J10*Rubric!$B$8+K10*Rubric!$B$9+L10*Rubric!$B$10-IF(OR(H10&lt;Rubric!$B$12,K10&lt;Rubric!$B$12),Rubric!$B$13,0),2)</f>
        <v>7.05</v>
      </c>
      <c r="N10" s="14" t="n">
        <v>3</v>
      </c>
      <c r="O10" s="2" t="s">
        <v>591</v>
      </c>
    </row>
    <row r="11" customFormat="false" ht="23.85" hidden="false" customHeight="false" outlineLevel="0" collapsed="false">
      <c r="A11" s="2" t="s">
        <v>9</v>
      </c>
      <c r="B11" s="2" t="s">
        <v>10</v>
      </c>
      <c r="C11" s="14" t="n">
        <v>0</v>
      </c>
      <c r="D11" s="14" t="n">
        <v>5</v>
      </c>
      <c r="E11" s="2" t="s">
        <v>595</v>
      </c>
      <c r="F11" s="15" t="n">
        <v>8</v>
      </c>
      <c r="G11" s="15" t="n">
        <v>7</v>
      </c>
      <c r="H11" s="15" t="n">
        <v>8</v>
      </c>
      <c r="I11" s="15" t="n">
        <v>8</v>
      </c>
      <c r="J11" s="15" t="n">
        <v>7</v>
      </c>
      <c r="K11" s="15" t="n">
        <v>7</v>
      </c>
      <c r="L11" s="15" t="n">
        <v>7</v>
      </c>
      <c r="M11" s="4" t="n">
        <f aca="false">ROUND(F11*Rubric!$B$4+G11*Rubric!$B$5+H11*Rubric!$B$6+I11*Rubric!$B$7+J11*Rubric!$B$8+K11*Rubric!$B$9+L11*Rubric!$B$10-IF(OR(H11&lt;Rubric!$B$12,K11&lt;Rubric!$B$12),Rubric!$B$13,0),2)</f>
        <v>7.25</v>
      </c>
      <c r="N11" s="14" t="n">
        <v>4</v>
      </c>
      <c r="O11" s="2" t="s">
        <v>586</v>
      </c>
    </row>
    <row r="12" customFormat="false" ht="23.85" hidden="false" customHeight="false" outlineLevel="0" collapsed="false">
      <c r="A12" s="2" t="s">
        <v>9</v>
      </c>
      <c r="B12" s="2" t="s">
        <v>10</v>
      </c>
      <c r="C12" s="14" t="n">
        <v>3</v>
      </c>
      <c r="D12" s="14" t="n">
        <v>5</v>
      </c>
      <c r="E12" s="2" t="s">
        <v>361</v>
      </c>
      <c r="F12" s="15" t="n">
        <v>9</v>
      </c>
      <c r="G12" s="15" t="n">
        <v>7</v>
      </c>
      <c r="H12" s="15" t="n">
        <v>8</v>
      </c>
      <c r="I12" s="15" t="n">
        <v>8</v>
      </c>
      <c r="J12" s="15" t="n">
        <v>7</v>
      </c>
      <c r="K12" s="15" t="n">
        <v>8</v>
      </c>
      <c r="L12" s="15" t="n">
        <v>7</v>
      </c>
      <c r="M12" s="4" t="n">
        <f aca="false">ROUND(F12*Rubric!$B$4+G12*Rubric!$B$5+H12*Rubric!$B$6+I12*Rubric!$B$7+J12*Rubric!$B$8+K12*Rubric!$B$9+L12*Rubric!$B$10-IF(OR(H12&lt;Rubric!$B$12,K12&lt;Rubric!$B$12),Rubric!$B$13,0),2)</f>
        <v>7.4</v>
      </c>
      <c r="N12" s="14" t="n">
        <v>4</v>
      </c>
      <c r="O12" s="2" t="s">
        <v>596</v>
      </c>
    </row>
    <row r="13" customFormat="false" ht="23.85" hidden="false" customHeight="false" outlineLevel="0" collapsed="false">
      <c r="A13" s="2" t="s">
        <v>16</v>
      </c>
      <c r="B13" s="2" t="s">
        <v>17</v>
      </c>
      <c r="C13" s="14" t="n">
        <v>0</v>
      </c>
      <c r="D13" s="14" t="n">
        <v>1</v>
      </c>
      <c r="E13" s="2" t="s">
        <v>597</v>
      </c>
      <c r="F13" s="15" t="n">
        <v>8</v>
      </c>
      <c r="G13" s="15" t="n">
        <v>8</v>
      </c>
      <c r="H13" s="15" t="n">
        <v>6</v>
      </c>
      <c r="I13" s="15" t="n">
        <v>3</v>
      </c>
      <c r="J13" s="15" t="n">
        <v>9</v>
      </c>
      <c r="K13" s="15" t="n">
        <v>6</v>
      </c>
      <c r="L13" s="15" t="n">
        <v>6</v>
      </c>
      <c r="M13" s="4" t="n">
        <f aca="false">ROUND(F13*Rubric!$B$4+G13*Rubric!$B$5+H13*Rubric!$B$6+I13*Rubric!$B$7+J13*Rubric!$B$8+K13*Rubric!$B$9+L13*Rubric!$B$10-IF(OR(H13&lt;Rubric!$B$12,K13&lt;Rubric!$B$12),Rubric!$B$13,0),2)</f>
        <v>6.3</v>
      </c>
      <c r="N13" s="14" t="n">
        <v>10</v>
      </c>
      <c r="O13" s="2" t="s">
        <v>586</v>
      </c>
    </row>
    <row r="14" customFormat="false" ht="23.85" hidden="false" customHeight="false" outlineLevel="0" collapsed="false">
      <c r="A14" s="2" t="s">
        <v>16</v>
      </c>
      <c r="B14" s="2" t="s">
        <v>17</v>
      </c>
      <c r="C14" s="14" t="n">
        <v>1</v>
      </c>
      <c r="D14" s="14" t="n">
        <v>1</v>
      </c>
      <c r="E14" s="2" t="s">
        <v>598</v>
      </c>
      <c r="F14" s="15" t="n">
        <v>8</v>
      </c>
      <c r="G14" s="15" t="n">
        <v>7</v>
      </c>
      <c r="H14" s="15" t="n">
        <v>7</v>
      </c>
      <c r="I14" s="15" t="n">
        <v>3</v>
      </c>
      <c r="J14" s="15" t="n">
        <v>9</v>
      </c>
      <c r="K14" s="15" t="n">
        <v>7</v>
      </c>
      <c r="L14" s="15" t="n">
        <v>7</v>
      </c>
      <c r="M14" s="4" t="n">
        <f aca="false">ROUND(F14*Rubric!$B$4+G14*Rubric!$B$5+H14*Rubric!$B$6+I14*Rubric!$B$7+J14*Rubric!$B$8+K14*Rubric!$B$9+L14*Rubric!$B$10-IF(OR(H14&lt;Rubric!$B$12,K14&lt;Rubric!$B$12),Rubric!$B$13,0),2)</f>
        <v>7.45</v>
      </c>
      <c r="N14" s="14" t="n">
        <v>10</v>
      </c>
      <c r="O14" s="2" t="s">
        <v>599</v>
      </c>
    </row>
    <row r="15" customFormat="false" ht="23.85" hidden="false" customHeight="false" outlineLevel="0" collapsed="false">
      <c r="A15" s="2" t="s">
        <v>16</v>
      </c>
      <c r="B15" s="2" t="s">
        <v>17</v>
      </c>
      <c r="C15" s="14" t="n">
        <v>2</v>
      </c>
      <c r="D15" s="14" t="n">
        <v>1</v>
      </c>
      <c r="E15" s="2" t="s">
        <v>362</v>
      </c>
      <c r="F15" s="15" t="n">
        <v>9</v>
      </c>
      <c r="G15" s="15" t="n">
        <v>7</v>
      </c>
      <c r="H15" s="15" t="n">
        <v>7</v>
      </c>
      <c r="I15" s="15" t="n">
        <v>3</v>
      </c>
      <c r="J15" s="15" t="n">
        <v>9</v>
      </c>
      <c r="K15" s="15" t="n">
        <v>8</v>
      </c>
      <c r="L15" s="15" t="n">
        <v>8</v>
      </c>
      <c r="M15" s="4" t="n">
        <f aca="false">ROUND(F15*Rubric!$B$4+G15*Rubric!$B$5+H15*Rubric!$B$6+I15*Rubric!$B$7+J15*Rubric!$B$8+K15*Rubric!$B$9+L15*Rubric!$B$10-IF(OR(H15&lt;Rubric!$B$12,K15&lt;Rubric!$B$12),Rubric!$B$13,0),2)</f>
        <v>7.7</v>
      </c>
      <c r="N15" s="14" t="n">
        <v>10</v>
      </c>
      <c r="O15" s="2" t="s">
        <v>600</v>
      </c>
    </row>
    <row r="16" customFormat="false" ht="23.85" hidden="false" customHeight="false" outlineLevel="0" collapsed="false">
      <c r="A16" s="2" t="s">
        <v>16</v>
      </c>
      <c r="B16" s="2" t="s">
        <v>17</v>
      </c>
      <c r="C16" s="14" t="n">
        <v>0</v>
      </c>
      <c r="D16" s="14" t="n">
        <v>2</v>
      </c>
      <c r="E16" s="2" t="s">
        <v>363</v>
      </c>
      <c r="F16" s="15" t="n">
        <v>9</v>
      </c>
      <c r="G16" s="15" t="n">
        <v>9</v>
      </c>
      <c r="H16" s="15" t="n">
        <v>8</v>
      </c>
      <c r="I16" s="15" t="n">
        <v>3</v>
      </c>
      <c r="J16" s="15" t="n">
        <v>9</v>
      </c>
      <c r="K16" s="15" t="n">
        <v>9</v>
      </c>
      <c r="L16" s="15" t="n">
        <v>9</v>
      </c>
      <c r="M16" s="4" t="n">
        <f aca="false">ROUND(F16*Rubric!$B$4+G16*Rubric!$B$5+H16*Rubric!$B$6+I16*Rubric!$B$7+J16*Rubric!$B$8+K16*Rubric!$B$9+L16*Rubric!$B$10-IF(OR(H16&lt;Rubric!$B$12,K16&lt;Rubric!$B$12),Rubric!$B$13,0),2)</f>
        <v>8.3</v>
      </c>
      <c r="N16" s="14" t="n">
        <v>11</v>
      </c>
      <c r="O16" s="2" t="s">
        <v>586</v>
      </c>
    </row>
    <row r="17" customFormat="false" ht="23.85" hidden="false" customHeight="false" outlineLevel="0" collapsed="false">
      <c r="A17" s="2" t="s">
        <v>16</v>
      </c>
      <c r="B17" s="2" t="s">
        <v>17</v>
      </c>
      <c r="C17" s="14" t="n">
        <v>0</v>
      </c>
      <c r="D17" s="14" t="n">
        <v>3</v>
      </c>
      <c r="E17" s="2" t="s">
        <v>364</v>
      </c>
      <c r="F17" s="15" t="n">
        <v>9</v>
      </c>
      <c r="G17" s="15" t="n">
        <v>9</v>
      </c>
      <c r="H17" s="15" t="n">
        <v>7</v>
      </c>
      <c r="I17" s="15" t="n">
        <v>3</v>
      </c>
      <c r="J17" s="15" t="n">
        <v>8</v>
      </c>
      <c r="K17" s="15" t="n">
        <v>9</v>
      </c>
      <c r="L17" s="15" t="n">
        <v>9</v>
      </c>
      <c r="M17" s="4" t="n">
        <f aca="false">ROUND(F17*Rubric!$B$4+G17*Rubric!$B$5+H17*Rubric!$B$6+I17*Rubric!$B$7+J17*Rubric!$B$8+K17*Rubric!$B$9+L17*Rubric!$B$10-IF(OR(H17&lt;Rubric!$B$12,K17&lt;Rubric!$B$12),Rubric!$B$13,0),2)</f>
        <v>7.8</v>
      </c>
      <c r="N17" s="14" t="n">
        <v>12</v>
      </c>
      <c r="O17" s="2" t="s">
        <v>586</v>
      </c>
    </row>
    <row r="18" customFormat="false" ht="23.85" hidden="false" customHeight="false" outlineLevel="0" collapsed="false">
      <c r="A18" s="2" t="s">
        <v>16</v>
      </c>
      <c r="B18" s="2" t="s">
        <v>17</v>
      </c>
      <c r="C18" s="14" t="n">
        <v>0</v>
      </c>
      <c r="D18" s="14" t="n">
        <v>4</v>
      </c>
      <c r="E18" s="2" t="s">
        <v>601</v>
      </c>
      <c r="F18" s="15" t="n">
        <v>8</v>
      </c>
      <c r="G18" s="15" t="n">
        <v>8</v>
      </c>
      <c r="H18" s="15" t="n">
        <v>8</v>
      </c>
      <c r="I18" s="15" t="n">
        <v>3</v>
      </c>
      <c r="J18" s="15" t="n">
        <v>8</v>
      </c>
      <c r="K18" s="15" t="n">
        <v>8</v>
      </c>
      <c r="L18" s="15" t="n">
        <v>8</v>
      </c>
      <c r="M18" s="4" t="n">
        <f aca="false">ROUND(F18*Rubric!$B$4+G18*Rubric!$B$5+H18*Rubric!$B$6+I18*Rubric!$B$7+J18*Rubric!$B$8+K18*Rubric!$B$9+L18*Rubric!$B$10-IF(OR(H18&lt;Rubric!$B$12,K18&lt;Rubric!$B$12),Rubric!$B$13,0),2)</f>
        <v>7.5</v>
      </c>
      <c r="N18" s="14" t="n">
        <v>13</v>
      </c>
      <c r="O18" s="2" t="s">
        <v>586</v>
      </c>
    </row>
    <row r="19" customFormat="false" ht="23.85" hidden="false" customHeight="false" outlineLevel="0" collapsed="false">
      <c r="A19" s="2" t="s">
        <v>16</v>
      </c>
      <c r="B19" s="2" t="s">
        <v>17</v>
      </c>
      <c r="C19" s="14" t="n">
        <v>3</v>
      </c>
      <c r="D19" s="14" t="n">
        <v>4</v>
      </c>
      <c r="E19" s="2" t="s">
        <v>365</v>
      </c>
      <c r="F19" s="15" t="n">
        <v>9</v>
      </c>
      <c r="G19" s="15" t="n">
        <v>8</v>
      </c>
      <c r="H19" s="15" t="n">
        <v>8</v>
      </c>
      <c r="I19" s="15" t="n">
        <v>3</v>
      </c>
      <c r="J19" s="15" t="n">
        <v>8</v>
      </c>
      <c r="K19" s="15" t="n">
        <v>8</v>
      </c>
      <c r="L19" s="15" t="n">
        <v>8</v>
      </c>
      <c r="M19" s="4" t="n">
        <f aca="false">ROUND(F19*Rubric!$B$4+G19*Rubric!$B$5+H19*Rubric!$B$6+I19*Rubric!$B$7+J19*Rubric!$B$8+K19*Rubric!$B$9+L19*Rubric!$B$10-IF(OR(H19&lt;Rubric!$B$12,K19&lt;Rubric!$B$12),Rubric!$B$13,0),2)</f>
        <v>7.55</v>
      </c>
      <c r="N19" s="14" t="n">
        <v>13</v>
      </c>
      <c r="O19" s="2" t="s">
        <v>591</v>
      </c>
    </row>
    <row r="20" customFormat="false" ht="23.85" hidden="false" customHeight="false" outlineLevel="0" collapsed="false">
      <c r="A20" s="2" t="s">
        <v>16</v>
      </c>
      <c r="B20" s="2" t="s">
        <v>17</v>
      </c>
      <c r="C20" s="14" t="n">
        <v>0</v>
      </c>
      <c r="D20" s="14" t="n">
        <v>5</v>
      </c>
      <c r="E20" s="2" t="s">
        <v>366</v>
      </c>
      <c r="F20" s="15" t="n">
        <v>8</v>
      </c>
      <c r="G20" s="15" t="n">
        <v>8</v>
      </c>
      <c r="H20" s="15" t="n">
        <v>7</v>
      </c>
      <c r="I20" s="15" t="n">
        <v>9</v>
      </c>
      <c r="J20" s="15" t="n">
        <v>7</v>
      </c>
      <c r="K20" s="15" t="n">
        <v>8</v>
      </c>
      <c r="L20" s="15" t="n">
        <v>9</v>
      </c>
      <c r="M20" s="4" t="n">
        <f aca="false">ROUND(F20*Rubric!$B$4+G20*Rubric!$B$5+H20*Rubric!$B$6+I20*Rubric!$B$7+J20*Rubric!$B$8+K20*Rubric!$B$9+L20*Rubric!$B$10-IF(OR(H20&lt;Rubric!$B$12,K20&lt;Rubric!$B$12),Rubric!$B$13,0),2)</f>
        <v>7.7</v>
      </c>
      <c r="N20" s="14" t="n">
        <v>14</v>
      </c>
      <c r="O20" s="2" t="s">
        <v>586</v>
      </c>
    </row>
    <row r="21" customFormat="false" ht="23.85" hidden="false" customHeight="false" outlineLevel="0" collapsed="false">
      <c r="A21" s="2" t="s">
        <v>21</v>
      </c>
      <c r="B21" s="2" t="s">
        <v>22</v>
      </c>
      <c r="C21" s="14" t="n">
        <v>0</v>
      </c>
      <c r="D21" s="14" t="n">
        <v>1</v>
      </c>
      <c r="E21" s="2" t="s">
        <v>602</v>
      </c>
      <c r="F21" s="15" t="n">
        <v>8</v>
      </c>
      <c r="G21" s="15" t="n">
        <v>6</v>
      </c>
      <c r="H21" s="15" t="n">
        <v>9</v>
      </c>
      <c r="I21" s="15" t="n">
        <v>2</v>
      </c>
      <c r="J21" s="15" t="n">
        <v>9</v>
      </c>
      <c r="K21" s="15" t="n">
        <v>8</v>
      </c>
      <c r="L21" s="15" t="n">
        <v>5</v>
      </c>
      <c r="M21" s="4" t="n">
        <f aca="false">ROUND(F21*Rubric!$B$4+G21*Rubric!$B$5+H21*Rubric!$B$6+I21*Rubric!$B$7+J21*Rubric!$B$8+K21*Rubric!$B$9+L21*Rubric!$B$10-IF(OR(H21&lt;Rubric!$B$12,K21&lt;Rubric!$B$12),Rubric!$B$13,0),2)</f>
        <v>7.3</v>
      </c>
      <c r="N21" s="14" t="n">
        <v>20</v>
      </c>
      <c r="O21" s="2" t="s">
        <v>586</v>
      </c>
    </row>
    <row r="22" customFormat="false" ht="23.85" hidden="false" customHeight="false" outlineLevel="0" collapsed="false">
      <c r="A22" s="2" t="s">
        <v>21</v>
      </c>
      <c r="B22" s="2" t="s">
        <v>22</v>
      </c>
      <c r="C22" s="14" t="n">
        <v>2</v>
      </c>
      <c r="D22" s="14" t="n">
        <v>1</v>
      </c>
      <c r="E22" s="2" t="s">
        <v>367</v>
      </c>
      <c r="F22" s="15" t="n">
        <v>8</v>
      </c>
      <c r="G22" s="15" t="n">
        <v>7</v>
      </c>
      <c r="H22" s="15" t="n">
        <v>9</v>
      </c>
      <c r="I22" s="15" t="n">
        <v>2</v>
      </c>
      <c r="J22" s="15" t="n">
        <v>9</v>
      </c>
      <c r="K22" s="15" t="n">
        <v>8</v>
      </c>
      <c r="L22" s="15" t="n">
        <v>6</v>
      </c>
      <c r="M22" s="4" t="n">
        <f aca="false">ROUND(F22*Rubric!$B$4+G22*Rubric!$B$5+H22*Rubric!$B$6+I22*Rubric!$B$7+J22*Rubric!$B$8+K22*Rubric!$B$9+L22*Rubric!$B$10-IF(OR(H22&lt;Rubric!$B$12,K22&lt;Rubric!$B$12),Rubric!$B$13,0),2)</f>
        <v>7.55</v>
      </c>
      <c r="N22" s="14" t="n">
        <v>20</v>
      </c>
      <c r="O22" s="2" t="s">
        <v>603</v>
      </c>
    </row>
    <row r="23" customFormat="false" ht="23.85" hidden="false" customHeight="false" outlineLevel="0" collapsed="false">
      <c r="A23" s="2" t="s">
        <v>21</v>
      </c>
      <c r="B23" s="2" t="s">
        <v>22</v>
      </c>
      <c r="C23" s="14" t="n">
        <v>0</v>
      </c>
      <c r="D23" s="14" t="n">
        <v>2</v>
      </c>
      <c r="E23" s="2" t="s">
        <v>604</v>
      </c>
      <c r="F23" s="15" t="n">
        <v>8</v>
      </c>
      <c r="G23" s="15" t="n">
        <v>7</v>
      </c>
      <c r="H23" s="15" t="n">
        <v>8</v>
      </c>
      <c r="I23" s="15" t="n">
        <v>3</v>
      </c>
      <c r="J23" s="15" t="n">
        <v>7</v>
      </c>
      <c r="K23" s="15" t="n">
        <v>8</v>
      </c>
      <c r="L23" s="15" t="n">
        <v>6</v>
      </c>
      <c r="M23" s="4" t="n">
        <f aca="false">ROUND(F23*Rubric!$B$4+G23*Rubric!$B$5+H23*Rubric!$B$6+I23*Rubric!$B$7+J23*Rubric!$B$8+K23*Rubric!$B$9+L23*Rubric!$B$10-IF(OR(H23&lt;Rubric!$B$12,K23&lt;Rubric!$B$12),Rubric!$B$13,0),2)</f>
        <v>6.75</v>
      </c>
      <c r="N23" s="14" t="n">
        <v>21</v>
      </c>
      <c r="O23" s="2" t="s">
        <v>586</v>
      </c>
    </row>
    <row r="24" customFormat="false" ht="23.85" hidden="false" customHeight="false" outlineLevel="0" collapsed="false">
      <c r="A24" s="2" t="s">
        <v>21</v>
      </c>
      <c r="B24" s="2" t="s">
        <v>22</v>
      </c>
      <c r="C24" s="14" t="n">
        <v>2</v>
      </c>
      <c r="D24" s="14" t="n">
        <v>2</v>
      </c>
      <c r="E24" s="2" t="s">
        <v>368</v>
      </c>
      <c r="F24" s="15" t="n">
        <v>8</v>
      </c>
      <c r="G24" s="15" t="n">
        <v>8</v>
      </c>
      <c r="H24" s="15" t="n">
        <v>8</v>
      </c>
      <c r="I24" s="15" t="n">
        <v>3</v>
      </c>
      <c r="J24" s="15" t="n">
        <v>8</v>
      </c>
      <c r="K24" s="15" t="n">
        <v>8</v>
      </c>
      <c r="L24" s="15" t="n">
        <v>7</v>
      </c>
      <c r="M24" s="4" t="n">
        <f aca="false">ROUND(F24*Rubric!$B$4+G24*Rubric!$B$5+H24*Rubric!$B$6+I24*Rubric!$B$7+J24*Rubric!$B$8+K24*Rubric!$B$9+L24*Rubric!$B$10-IF(OR(H24&lt;Rubric!$B$12,K24&lt;Rubric!$B$12),Rubric!$B$13,0),2)</f>
        <v>7.4</v>
      </c>
      <c r="N24" s="14" t="n">
        <v>21</v>
      </c>
      <c r="O24" s="2" t="s">
        <v>605</v>
      </c>
    </row>
    <row r="25" customFormat="false" ht="23.85" hidden="false" customHeight="false" outlineLevel="0" collapsed="false">
      <c r="A25" s="2" t="s">
        <v>21</v>
      </c>
      <c r="B25" s="2" t="s">
        <v>22</v>
      </c>
      <c r="C25" s="14" t="n">
        <v>0</v>
      </c>
      <c r="D25" s="14" t="n">
        <v>3</v>
      </c>
      <c r="E25" s="2" t="s">
        <v>606</v>
      </c>
      <c r="F25" s="15" t="n">
        <v>8</v>
      </c>
      <c r="G25" s="15" t="n">
        <v>7</v>
      </c>
      <c r="H25" s="15" t="n">
        <v>8</v>
      </c>
      <c r="I25" s="15" t="n">
        <v>2</v>
      </c>
      <c r="J25" s="15" t="n">
        <v>7</v>
      </c>
      <c r="K25" s="15" t="n">
        <v>8</v>
      </c>
      <c r="L25" s="15" t="n">
        <v>6</v>
      </c>
      <c r="M25" s="4" t="n">
        <f aca="false">ROUND(F25*Rubric!$B$4+G25*Rubric!$B$5+H25*Rubric!$B$6+I25*Rubric!$B$7+J25*Rubric!$B$8+K25*Rubric!$B$9+L25*Rubric!$B$10-IF(OR(H25&lt;Rubric!$B$12,K25&lt;Rubric!$B$12),Rubric!$B$13,0),2)</f>
        <v>6.65</v>
      </c>
      <c r="N25" s="14" t="n">
        <v>22</v>
      </c>
      <c r="O25" s="2" t="s">
        <v>586</v>
      </c>
    </row>
    <row r="26" customFormat="false" ht="23.85" hidden="false" customHeight="false" outlineLevel="0" collapsed="false">
      <c r="A26" s="2" t="s">
        <v>21</v>
      </c>
      <c r="B26" s="2" t="s">
        <v>22</v>
      </c>
      <c r="C26" s="14" t="n">
        <v>1</v>
      </c>
      <c r="D26" s="14" t="n">
        <v>3</v>
      </c>
      <c r="E26" s="2" t="s">
        <v>607</v>
      </c>
      <c r="F26" s="15" t="n">
        <v>8</v>
      </c>
      <c r="G26" s="15" t="n">
        <v>7</v>
      </c>
      <c r="H26" s="15" t="n">
        <v>8</v>
      </c>
      <c r="I26" s="15" t="n">
        <v>2</v>
      </c>
      <c r="J26" s="15" t="n">
        <v>8</v>
      </c>
      <c r="K26" s="15" t="n">
        <v>8</v>
      </c>
      <c r="L26" s="15" t="n">
        <v>7</v>
      </c>
      <c r="M26" s="4" t="n">
        <f aca="false">ROUND(F26*Rubric!$B$4+G26*Rubric!$B$5+H26*Rubric!$B$6+I26*Rubric!$B$7+J26*Rubric!$B$8+K26*Rubric!$B$9+L26*Rubric!$B$10-IF(OR(H26&lt;Rubric!$B$12,K26&lt;Rubric!$B$12),Rubric!$B$13,0),2)</f>
        <v>7.15</v>
      </c>
      <c r="N26" s="14" t="n">
        <v>22</v>
      </c>
      <c r="O26" s="2" t="s">
        <v>608</v>
      </c>
    </row>
    <row r="27" customFormat="false" ht="23.85" hidden="false" customHeight="false" outlineLevel="0" collapsed="false">
      <c r="A27" s="2" t="s">
        <v>21</v>
      </c>
      <c r="B27" s="2" t="s">
        <v>22</v>
      </c>
      <c r="C27" s="14" t="n">
        <v>2</v>
      </c>
      <c r="D27" s="14" t="n">
        <v>3</v>
      </c>
      <c r="E27" s="2" t="s">
        <v>369</v>
      </c>
      <c r="F27" s="15" t="n">
        <v>8</v>
      </c>
      <c r="G27" s="15" t="n">
        <v>8</v>
      </c>
      <c r="H27" s="15" t="n">
        <v>8</v>
      </c>
      <c r="I27" s="15" t="n">
        <v>2</v>
      </c>
      <c r="J27" s="15" t="n">
        <v>8</v>
      </c>
      <c r="K27" s="15" t="n">
        <v>8</v>
      </c>
      <c r="L27" s="15" t="n">
        <v>8</v>
      </c>
      <c r="M27" s="4" t="n">
        <f aca="false">ROUND(F27*Rubric!$B$4+G27*Rubric!$B$5+H27*Rubric!$B$6+I27*Rubric!$B$7+J27*Rubric!$B$8+K27*Rubric!$B$9+L27*Rubric!$B$10-IF(OR(H27&lt;Rubric!$B$12,K27&lt;Rubric!$B$12),Rubric!$B$13,0),2)</f>
        <v>7.4</v>
      </c>
      <c r="N27" s="14" t="n">
        <v>22</v>
      </c>
      <c r="O27" s="2" t="s">
        <v>609</v>
      </c>
    </row>
    <row r="28" customFormat="false" ht="23.85" hidden="false" customHeight="false" outlineLevel="0" collapsed="false">
      <c r="A28" s="2" t="s">
        <v>21</v>
      </c>
      <c r="B28" s="2" t="s">
        <v>22</v>
      </c>
      <c r="C28" s="14" t="n">
        <v>0</v>
      </c>
      <c r="D28" s="14" t="n">
        <v>4</v>
      </c>
      <c r="E28" s="2" t="s">
        <v>610</v>
      </c>
      <c r="F28" s="15" t="n">
        <v>7</v>
      </c>
      <c r="G28" s="15" t="n">
        <v>6</v>
      </c>
      <c r="H28" s="15" t="n">
        <v>7</v>
      </c>
      <c r="I28" s="15" t="n">
        <v>2</v>
      </c>
      <c r="J28" s="15" t="n">
        <v>7</v>
      </c>
      <c r="K28" s="15" t="n">
        <v>7</v>
      </c>
      <c r="L28" s="15" t="n">
        <v>5</v>
      </c>
      <c r="M28" s="4" t="n">
        <f aca="false">ROUND(F28*Rubric!$B$4+G28*Rubric!$B$5+H28*Rubric!$B$6+I28*Rubric!$B$7+J28*Rubric!$B$8+K28*Rubric!$B$9+L28*Rubric!$B$10-IF(OR(H28&lt;Rubric!$B$12,K28&lt;Rubric!$B$12),Rubric!$B$13,0),2)</f>
        <v>6.15</v>
      </c>
      <c r="N28" s="14" t="n">
        <v>23</v>
      </c>
      <c r="O28" s="2" t="s">
        <v>586</v>
      </c>
    </row>
    <row r="29" customFormat="false" ht="23.85" hidden="false" customHeight="false" outlineLevel="0" collapsed="false">
      <c r="A29" s="2" t="s">
        <v>21</v>
      </c>
      <c r="B29" s="2" t="s">
        <v>22</v>
      </c>
      <c r="C29" s="14" t="n">
        <v>1</v>
      </c>
      <c r="D29" s="14" t="n">
        <v>4</v>
      </c>
      <c r="E29" s="2" t="s">
        <v>611</v>
      </c>
      <c r="F29" s="15" t="n">
        <v>7</v>
      </c>
      <c r="G29" s="15" t="n">
        <v>7</v>
      </c>
      <c r="H29" s="15" t="n">
        <v>7</v>
      </c>
      <c r="I29" s="15" t="n">
        <v>3</v>
      </c>
      <c r="J29" s="15" t="n">
        <v>7</v>
      </c>
      <c r="K29" s="15" t="n">
        <v>7</v>
      </c>
      <c r="L29" s="15" t="n">
        <v>7</v>
      </c>
      <c r="M29" s="4" t="n">
        <f aca="false">ROUND(F29*Rubric!$B$4+G29*Rubric!$B$5+H29*Rubric!$B$6+I29*Rubric!$B$7+J29*Rubric!$B$8+K29*Rubric!$B$9+L29*Rubric!$B$10-IF(OR(H29&lt;Rubric!$B$12,K29&lt;Rubric!$B$12),Rubric!$B$13,0),2)</f>
        <v>6.6</v>
      </c>
      <c r="N29" s="14" t="n">
        <v>23</v>
      </c>
      <c r="O29" s="2" t="s">
        <v>612</v>
      </c>
    </row>
    <row r="30" customFormat="false" ht="23.85" hidden="false" customHeight="false" outlineLevel="0" collapsed="false">
      <c r="A30" s="2" t="s">
        <v>21</v>
      </c>
      <c r="B30" s="2" t="s">
        <v>22</v>
      </c>
      <c r="C30" s="14" t="n">
        <v>2</v>
      </c>
      <c r="D30" s="14" t="n">
        <v>4</v>
      </c>
      <c r="E30" s="2" t="s">
        <v>613</v>
      </c>
      <c r="F30" s="15" t="n">
        <v>6</v>
      </c>
      <c r="G30" s="15" t="n">
        <v>7</v>
      </c>
      <c r="H30" s="15" t="n">
        <v>7</v>
      </c>
      <c r="I30" s="15" t="n">
        <v>6</v>
      </c>
      <c r="J30" s="15" t="n">
        <v>7</v>
      </c>
      <c r="K30" s="15" t="n">
        <v>7</v>
      </c>
      <c r="L30" s="15" t="n">
        <v>7</v>
      </c>
      <c r="M30" s="4" t="n">
        <f aca="false">ROUND(F30*Rubric!$B$4+G30*Rubric!$B$5+H30*Rubric!$B$6+I30*Rubric!$B$7+J30*Rubric!$B$8+K30*Rubric!$B$9+L30*Rubric!$B$10-IF(OR(H30&lt;Rubric!$B$12,K30&lt;Rubric!$B$12),Rubric!$B$13,0),2)</f>
        <v>6.85</v>
      </c>
      <c r="N30" s="14" t="n">
        <v>23</v>
      </c>
      <c r="O30" s="2" t="s">
        <v>614</v>
      </c>
    </row>
    <row r="31" customFormat="false" ht="23.85" hidden="false" customHeight="false" outlineLevel="0" collapsed="false">
      <c r="A31" s="2" t="s">
        <v>21</v>
      </c>
      <c r="B31" s="2" t="s">
        <v>22</v>
      </c>
      <c r="C31" s="14" t="n">
        <v>3</v>
      </c>
      <c r="D31" s="14" t="n">
        <v>4</v>
      </c>
      <c r="E31" s="2" t="s">
        <v>370</v>
      </c>
      <c r="F31" s="15" t="n">
        <v>9</v>
      </c>
      <c r="G31" s="15" t="n">
        <v>8</v>
      </c>
      <c r="H31" s="15" t="n">
        <v>8</v>
      </c>
      <c r="I31" s="15" t="n">
        <v>2</v>
      </c>
      <c r="J31" s="15" t="n">
        <v>7</v>
      </c>
      <c r="K31" s="15" t="n">
        <v>8</v>
      </c>
      <c r="L31" s="15" t="n">
        <v>8</v>
      </c>
      <c r="M31" s="4" t="n">
        <f aca="false">ROUND(F31*Rubric!$B$4+G31*Rubric!$B$5+H31*Rubric!$B$6+I31*Rubric!$B$7+J31*Rubric!$B$8+K31*Rubric!$B$9+L31*Rubric!$B$10-IF(OR(H31&lt;Rubric!$B$12,K31&lt;Rubric!$B$12),Rubric!$B$13,0),2)</f>
        <v>7.05</v>
      </c>
      <c r="N31" s="14" t="n">
        <v>23</v>
      </c>
      <c r="O31" s="2" t="s">
        <v>615</v>
      </c>
    </row>
    <row r="32" customFormat="false" ht="23.85" hidden="false" customHeight="false" outlineLevel="0" collapsed="false">
      <c r="A32" s="2" t="s">
        <v>21</v>
      </c>
      <c r="B32" s="2" t="s">
        <v>22</v>
      </c>
      <c r="C32" s="14" t="n">
        <v>0</v>
      </c>
      <c r="D32" s="14" t="n">
        <v>5</v>
      </c>
      <c r="E32" s="2" t="s">
        <v>616</v>
      </c>
      <c r="F32" s="15" t="n">
        <v>7</v>
      </c>
      <c r="G32" s="15" t="n">
        <v>7</v>
      </c>
      <c r="H32" s="15" t="n">
        <v>7</v>
      </c>
      <c r="I32" s="15" t="n">
        <v>7</v>
      </c>
      <c r="J32" s="15" t="n">
        <v>6</v>
      </c>
      <c r="K32" s="15" t="n">
        <v>6</v>
      </c>
      <c r="L32" s="15" t="n">
        <v>7</v>
      </c>
      <c r="M32" s="4" t="n">
        <f aca="false">ROUND(F32*Rubric!$B$4+G32*Rubric!$B$5+H32*Rubric!$B$6+I32*Rubric!$B$7+J32*Rubric!$B$8+K32*Rubric!$B$9+L32*Rubric!$B$10-IF(OR(H32&lt;Rubric!$B$12,K32&lt;Rubric!$B$12),Rubric!$B$13,0),2)</f>
        <v>5.5</v>
      </c>
      <c r="N32" s="14" t="n">
        <v>24</v>
      </c>
      <c r="O32" s="2" t="s">
        <v>586</v>
      </c>
    </row>
    <row r="33" customFormat="false" ht="23.85" hidden="false" customHeight="false" outlineLevel="0" collapsed="false">
      <c r="A33" s="2" t="s">
        <v>21</v>
      </c>
      <c r="B33" s="2" t="s">
        <v>22</v>
      </c>
      <c r="C33" s="14" t="n">
        <v>1</v>
      </c>
      <c r="D33" s="14" t="n">
        <v>5</v>
      </c>
      <c r="E33" s="2" t="s">
        <v>617</v>
      </c>
      <c r="F33" s="15" t="n">
        <v>9</v>
      </c>
      <c r="G33" s="15" t="n">
        <v>7</v>
      </c>
      <c r="H33" s="15" t="n">
        <v>8</v>
      </c>
      <c r="I33" s="15" t="n">
        <v>4</v>
      </c>
      <c r="J33" s="15" t="n">
        <v>6</v>
      </c>
      <c r="K33" s="15" t="n">
        <v>8</v>
      </c>
      <c r="L33" s="15" t="n">
        <v>8</v>
      </c>
      <c r="M33" s="4" t="n">
        <f aca="false">ROUND(F33*Rubric!$B$4+G33*Rubric!$B$5+H33*Rubric!$B$6+I33*Rubric!$B$7+J33*Rubric!$B$8+K33*Rubric!$B$9+L33*Rubric!$B$10-IF(OR(H33&lt;Rubric!$B$12,K33&lt;Rubric!$B$12),Rubric!$B$13,0),2)</f>
        <v>6.7</v>
      </c>
      <c r="N33" s="14" t="n">
        <v>24</v>
      </c>
      <c r="O33" s="2" t="s">
        <v>618</v>
      </c>
    </row>
    <row r="34" customFormat="false" ht="23.85" hidden="false" customHeight="false" outlineLevel="0" collapsed="false">
      <c r="A34" s="2" t="s">
        <v>21</v>
      </c>
      <c r="B34" s="2" t="s">
        <v>22</v>
      </c>
      <c r="C34" s="14" t="n">
        <v>2</v>
      </c>
      <c r="D34" s="14" t="n">
        <v>5</v>
      </c>
      <c r="E34" s="2" t="s">
        <v>371</v>
      </c>
      <c r="F34" s="15" t="n">
        <v>9</v>
      </c>
      <c r="G34" s="15" t="n">
        <v>7</v>
      </c>
      <c r="H34" s="15" t="n">
        <v>8</v>
      </c>
      <c r="I34" s="15" t="n">
        <v>4</v>
      </c>
      <c r="J34" s="15" t="n">
        <v>7</v>
      </c>
      <c r="K34" s="15" t="n">
        <v>8</v>
      </c>
      <c r="L34" s="15" t="n">
        <v>8</v>
      </c>
      <c r="M34" s="4" t="n">
        <f aca="false">ROUND(F34*Rubric!$B$4+G34*Rubric!$B$5+H34*Rubric!$B$6+I34*Rubric!$B$7+J34*Rubric!$B$8+K34*Rubric!$B$9+L34*Rubric!$B$10-IF(OR(H34&lt;Rubric!$B$12,K34&lt;Rubric!$B$12),Rubric!$B$13,0),2)</f>
        <v>7.1</v>
      </c>
      <c r="N34" s="14" t="n">
        <v>24</v>
      </c>
      <c r="O34" s="2" t="s">
        <v>619</v>
      </c>
    </row>
    <row r="35" customFormat="false" ht="23.85" hidden="false" customHeight="false" outlineLevel="0" collapsed="false">
      <c r="A35" s="2" t="s">
        <v>26</v>
      </c>
      <c r="B35" s="2" t="s">
        <v>27</v>
      </c>
      <c r="C35" s="14" t="n">
        <v>0</v>
      </c>
      <c r="D35" s="14" t="n">
        <v>1</v>
      </c>
      <c r="E35" s="2" t="s">
        <v>372</v>
      </c>
      <c r="F35" s="15" t="n">
        <v>8</v>
      </c>
      <c r="G35" s="15" t="n">
        <v>8</v>
      </c>
      <c r="H35" s="15" t="n">
        <v>8</v>
      </c>
      <c r="I35" s="15" t="n">
        <v>3</v>
      </c>
      <c r="J35" s="15" t="n">
        <v>9</v>
      </c>
      <c r="K35" s="15" t="n">
        <v>8</v>
      </c>
      <c r="L35" s="15" t="n">
        <v>7</v>
      </c>
      <c r="M35" s="4" t="n">
        <f aca="false">ROUND(F35*Rubric!$B$4+G35*Rubric!$B$5+H35*Rubric!$B$6+I35*Rubric!$B$7+J35*Rubric!$B$8+K35*Rubric!$B$9+L35*Rubric!$B$10-IF(OR(H35&lt;Rubric!$B$12,K35&lt;Rubric!$B$12),Rubric!$B$13,0),2)</f>
        <v>7.8</v>
      </c>
      <c r="N35" s="14" t="n">
        <v>30</v>
      </c>
      <c r="O35" s="2" t="s">
        <v>586</v>
      </c>
    </row>
    <row r="36" customFormat="false" ht="23.85" hidden="false" customHeight="false" outlineLevel="0" collapsed="false">
      <c r="A36" s="2" t="s">
        <v>26</v>
      </c>
      <c r="B36" s="2" t="s">
        <v>27</v>
      </c>
      <c r="C36" s="14" t="n">
        <v>0</v>
      </c>
      <c r="D36" s="14" t="n">
        <v>2</v>
      </c>
      <c r="E36" s="2" t="s">
        <v>373</v>
      </c>
      <c r="F36" s="15" t="n">
        <v>8</v>
      </c>
      <c r="G36" s="15" t="n">
        <v>9</v>
      </c>
      <c r="H36" s="15" t="n">
        <v>7</v>
      </c>
      <c r="I36" s="15" t="n">
        <v>3</v>
      </c>
      <c r="J36" s="15" t="n">
        <v>9</v>
      </c>
      <c r="K36" s="15" t="n">
        <v>8</v>
      </c>
      <c r="L36" s="15" t="n">
        <v>8</v>
      </c>
      <c r="M36" s="4" t="n">
        <f aca="false">ROUND(F36*Rubric!$B$4+G36*Rubric!$B$5+H36*Rubric!$B$6+I36*Rubric!$B$7+J36*Rubric!$B$8+K36*Rubric!$B$9+L36*Rubric!$B$10-IF(OR(H36&lt;Rubric!$B$12,K36&lt;Rubric!$B$12),Rubric!$B$13,0),2)</f>
        <v>7.95</v>
      </c>
      <c r="N36" s="14" t="n">
        <v>31</v>
      </c>
      <c r="O36" s="2" t="s">
        <v>586</v>
      </c>
    </row>
    <row r="37" customFormat="false" ht="23.85" hidden="false" customHeight="false" outlineLevel="0" collapsed="false">
      <c r="A37" s="2" t="s">
        <v>26</v>
      </c>
      <c r="B37" s="2" t="s">
        <v>27</v>
      </c>
      <c r="C37" s="14" t="n">
        <v>0</v>
      </c>
      <c r="D37" s="14" t="n">
        <v>3</v>
      </c>
      <c r="E37" s="2" t="s">
        <v>374</v>
      </c>
      <c r="F37" s="15" t="n">
        <v>9</v>
      </c>
      <c r="G37" s="15" t="n">
        <v>9</v>
      </c>
      <c r="H37" s="15" t="n">
        <v>8</v>
      </c>
      <c r="I37" s="15" t="n">
        <v>3</v>
      </c>
      <c r="J37" s="15" t="n">
        <v>9</v>
      </c>
      <c r="K37" s="15" t="n">
        <v>9</v>
      </c>
      <c r="L37" s="15" t="n">
        <v>8</v>
      </c>
      <c r="M37" s="4" t="n">
        <f aca="false">ROUND(F37*Rubric!$B$4+G37*Rubric!$B$5+H37*Rubric!$B$6+I37*Rubric!$B$7+J37*Rubric!$B$8+K37*Rubric!$B$9+L37*Rubric!$B$10-IF(OR(H37&lt;Rubric!$B$12,K37&lt;Rubric!$B$12),Rubric!$B$13,0),2)</f>
        <v>8.2</v>
      </c>
      <c r="N37" s="14" t="n">
        <v>32</v>
      </c>
      <c r="O37" s="2" t="s">
        <v>586</v>
      </c>
    </row>
    <row r="38" customFormat="false" ht="23.85" hidden="false" customHeight="false" outlineLevel="0" collapsed="false">
      <c r="A38" s="2" t="s">
        <v>26</v>
      </c>
      <c r="B38" s="2" t="s">
        <v>27</v>
      </c>
      <c r="C38" s="14" t="n">
        <v>0</v>
      </c>
      <c r="D38" s="14" t="n">
        <v>4</v>
      </c>
      <c r="E38" s="2" t="s">
        <v>620</v>
      </c>
      <c r="F38" s="15" t="n">
        <v>8</v>
      </c>
      <c r="G38" s="15" t="n">
        <v>7</v>
      </c>
      <c r="H38" s="15" t="n">
        <v>8</v>
      </c>
      <c r="I38" s="15" t="n">
        <v>3</v>
      </c>
      <c r="J38" s="15" t="n">
        <v>8</v>
      </c>
      <c r="K38" s="15" t="n">
        <v>8</v>
      </c>
      <c r="L38" s="15" t="n">
        <v>7</v>
      </c>
      <c r="M38" s="4" t="n">
        <f aca="false">ROUND(F38*Rubric!$B$4+G38*Rubric!$B$5+H38*Rubric!$B$6+I38*Rubric!$B$7+J38*Rubric!$B$8+K38*Rubric!$B$9+L38*Rubric!$B$10-IF(OR(H38&lt;Rubric!$B$12,K38&lt;Rubric!$B$12),Rubric!$B$13,0),2)</f>
        <v>7.25</v>
      </c>
      <c r="N38" s="14" t="n">
        <v>33</v>
      </c>
      <c r="O38" s="2" t="s">
        <v>586</v>
      </c>
    </row>
    <row r="39" customFormat="false" ht="23.85" hidden="false" customHeight="false" outlineLevel="0" collapsed="false">
      <c r="A39" s="2" t="s">
        <v>26</v>
      </c>
      <c r="B39" s="2" t="s">
        <v>27</v>
      </c>
      <c r="C39" s="14" t="n">
        <v>2</v>
      </c>
      <c r="D39" s="14" t="n">
        <v>4</v>
      </c>
      <c r="E39" s="2" t="s">
        <v>375</v>
      </c>
      <c r="F39" s="15" t="n">
        <v>8</v>
      </c>
      <c r="G39" s="15" t="n">
        <v>8</v>
      </c>
      <c r="H39" s="15" t="n">
        <v>8</v>
      </c>
      <c r="I39" s="15" t="n">
        <v>3</v>
      </c>
      <c r="J39" s="15" t="n">
        <v>8</v>
      </c>
      <c r="K39" s="15" t="n">
        <v>8</v>
      </c>
      <c r="L39" s="15" t="n">
        <v>7</v>
      </c>
      <c r="M39" s="4" t="n">
        <f aca="false">ROUND(F39*Rubric!$B$4+G39*Rubric!$B$5+H39*Rubric!$B$6+I39*Rubric!$B$7+J39*Rubric!$B$8+K39*Rubric!$B$9+L39*Rubric!$B$10-IF(OR(H39&lt;Rubric!$B$12,K39&lt;Rubric!$B$12),Rubric!$B$13,0),2)</f>
        <v>7.4</v>
      </c>
      <c r="N39" s="14" t="n">
        <v>33</v>
      </c>
      <c r="O39" s="2" t="s">
        <v>621</v>
      </c>
    </row>
    <row r="40" customFormat="false" ht="23.85" hidden="false" customHeight="false" outlineLevel="0" collapsed="false">
      <c r="A40" s="2" t="s">
        <v>26</v>
      </c>
      <c r="B40" s="2" t="s">
        <v>27</v>
      </c>
      <c r="C40" s="14" t="n">
        <v>0</v>
      </c>
      <c r="D40" s="14" t="n">
        <v>5</v>
      </c>
      <c r="E40" s="2" t="s">
        <v>376</v>
      </c>
      <c r="F40" s="15" t="n">
        <v>8</v>
      </c>
      <c r="G40" s="15" t="n">
        <v>8</v>
      </c>
      <c r="H40" s="15" t="n">
        <v>7</v>
      </c>
      <c r="I40" s="15" t="n">
        <v>9</v>
      </c>
      <c r="J40" s="15" t="n">
        <v>8</v>
      </c>
      <c r="K40" s="15" t="n">
        <v>8</v>
      </c>
      <c r="L40" s="15" t="n">
        <v>9</v>
      </c>
      <c r="M40" s="4" t="n">
        <f aca="false">ROUND(F40*Rubric!$B$4+G40*Rubric!$B$5+H40*Rubric!$B$6+I40*Rubric!$B$7+J40*Rubric!$B$8+K40*Rubric!$B$9+L40*Rubric!$B$10-IF(OR(H40&lt;Rubric!$B$12,K40&lt;Rubric!$B$12),Rubric!$B$13,0),2)</f>
        <v>8.1</v>
      </c>
      <c r="N40" s="14" t="n">
        <v>34</v>
      </c>
      <c r="O40" s="2" t="s">
        <v>586</v>
      </c>
    </row>
    <row r="41" customFormat="false" ht="23.85" hidden="false" customHeight="false" outlineLevel="0" collapsed="false">
      <c r="A41" s="2" t="s">
        <v>26</v>
      </c>
      <c r="B41" s="2" t="s">
        <v>31</v>
      </c>
      <c r="C41" s="14" t="n">
        <v>0</v>
      </c>
      <c r="D41" s="14" t="n">
        <v>1</v>
      </c>
      <c r="E41" s="2" t="s">
        <v>622</v>
      </c>
      <c r="F41" s="15" t="n">
        <v>8</v>
      </c>
      <c r="G41" s="15" t="n">
        <v>7</v>
      </c>
      <c r="H41" s="15" t="n">
        <v>8</v>
      </c>
      <c r="I41" s="15" t="n">
        <v>3</v>
      </c>
      <c r="J41" s="15" t="n">
        <v>8</v>
      </c>
      <c r="K41" s="15" t="n">
        <v>7</v>
      </c>
      <c r="L41" s="15" t="n">
        <v>6</v>
      </c>
      <c r="M41" s="4" t="n">
        <f aca="false">ROUND(F41*Rubric!$B$4+G41*Rubric!$B$5+H41*Rubric!$B$6+I41*Rubric!$B$7+J41*Rubric!$B$8+K41*Rubric!$B$9+L41*Rubric!$B$10-IF(OR(H41&lt;Rubric!$B$12,K41&lt;Rubric!$B$12),Rubric!$B$13,0),2)</f>
        <v>7.05</v>
      </c>
      <c r="N41" s="14" t="n">
        <v>40</v>
      </c>
      <c r="O41" s="2" t="s">
        <v>586</v>
      </c>
    </row>
    <row r="42" customFormat="false" ht="23.85" hidden="false" customHeight="false" outlineLevel="0" collapsed="false">
      <c r="A42" s="2" t="s">
        <v>26</v>
      </c>
      <c r="B42" s="2" t="s">
        <v>31</v>
      </c>
      <c r="C42" s="14" t="n">
        <v>2</v>
      </c>
      <c r="D42" s="14" t="n">
        <v>1</v>
      </c>
      <c r="E42" s="2" t="s">
        <v>623</v>
      </c>
      <c r="F42" s="15" t="n">
        <v>8</v>
      </c>
      <c r="G42" s="15" t="n">
        <v>8</v>
      </c>
      <c r="H42" s="15" t="n">
        <v>8</v>
      </c>
      <c r="I42" s="15" t="n">
        <v>3</v>
      </c>
      <c r="J42" s="15" t="n">
        <v>8</v>
      </c>
      <c r="K42" s="15" t="n">
        <v>8</v>
      </c>
      <c r="L42" s="15" t="n">
        <v>7</v>
      </c>
      <c r="M42" s="4" t="n">
        <f aca="false">ROUND(F42*Rubric!$B$4+G42*Rubric!$B$5+H42*Rubric!$B$6+I42*Rubric!$B$7+J42*Rubric!$B$8+K42*Rubric!$B$9+L42*Rubric!$B$10-IF(OR(H42&lt;Rubric!$B$12,K42&lt;Rubric!$B$12),Rubric!$B$13,0),2)</f>
        <v>7.4</v>
      </c>
      <c r="N42" s="14" t="n">
        <v>40</v>
      </c>
      <c r="O42" s="2" t="s">
        <v>624</v>
      </c>
    </row>
    <row r="43" customFormat="false" ht="23.85" hidden="false" customHeight="false" outlineLevel="0" collapsed="false">
      <c r="A43" s="2" t="s">
        <v>26</v>
      </c>
      <c r="B43" s="2" t="s">
        <v>31</v>
      </c>
      <c r="C43" s="14" t="n">
        <v>3</v>
      </c>
      <c r="D43" s="14" t="n">
        <v>1</v>
      </c>
      <c r="E43" s="2" t="s">
        <v>377</v>
      </c>
      <c r="F43" s="15" t="n">
        <v>9</v>
      </c>
      <c r="G43" s="15" t="n">
        <v>8</v>
      </c>
      <c r="H43" s="15" t="n">
        <v>8</v>
      </c>
      <c r="I43" s="15" t="n">
        <v>3</v>
      </c>
      <c r="J43" s="15" t="n">
        <v>8</v>
      </c>
      <c r="K43" s="15" t="n">
        <v>8</v>
      </c>
      <c r="L43" s="15" t="n">
        <v>7</v>
      </c>
      <c r="M43" s="4" t="n">
        <f aca="false">ROUND(F43*Rubric!$B$4+G43*Rubric!$B$5+H43*Rubric!$B$6+I43*Rubric!$B$7+J43*Rubric!$B$8+K43*Rubric!$B$9+L43*Rubric!$B$10-IF(OR(H43&lt;Rubric!$B$12,K43&lt;Rubric!$B$12),Rubric!$B$13,0),2)</f>
        <v>7.45</v>
      </c>
      <c r="N43" s="14" t="n">
        <v>40</v>
      </c>
      <c r="O43" s="2" t="s">
        <v>591</v>
      </c>
    </row>
    <row r="44" customFormat="false" ht="23.85" hidden="false" customHeight="false" outlineLevel="0" collapsed="false">
      <c r="A44" s="2" t="s">
        <v>26</v>
      </c>
      <c r="B44" s="2" t="s">
        <v>31</v>
      </c>
      <c r="C44" s="14" t="n">
        <v>0</v>
      </c>
      <c r="D44" s="14" t="n">
        <v>2</v>
      </c>
      <c r="E44" s="2" t="s">
        <v>625</v>
      </c>
      <c r="F44" s="15" t="n">
        <v>7</v>
      </c>
      <c r="G44" s="15" t="n">
        <v>7</v>
      </c>
      <c r="H44" s="15" t="n">
        <v>7</v>
      </c>
      <c r="I44" s="15" t="n">
        <v>3</v>
      </c>
      <c r="J44" s="15" t="n">
        <v>7</v>
      </c>
      <c r="K44" s="15" t="n">
        <v>6</v>
      </c>
      <c r="L44" s="15" t="n">
        <v>6</v>
      </c>
      <c r="M44" s="4" t="n">
        <f aca="false">ROUND(F44*Rubric!$B$4+G44*Rubric!$B$5+H44*Rubric!$B$6+I44*Rubric!$B$7+J44*Rubric!$B$8+K44*Rubric!$B$9+L44*Rubric!$B$10-IF(OR(H44&lt;Rubric!$B$12,K44&lt;Rubric!$B$12),Rubric!$B$13,0),2)</f>
        <v>5.4</v>
      </c>
      <c r="N44" s="14" t="n">
        <v>41</v>
      </c>
      <c r="O44" s="2" t="s">
        <v>586</v>
      </c>
    </row>
    <row r="45" customFormat="false" ht="23.85" hidden="false" customHeight="false" outlineLevel="0" collapsed="false">
      <c r="A45" s="2" t="s">
        <v>26</v>
      </c>
      <c r="B45" s="2" t="s">
        <v>31</v>
      </c>
      <c r="C45" s="14" t="n">
        <v>1</v>
      </c>
      <c r="D45" s="14" t="n">
        <v>2</v>
      </c>
      <c r="E45" s="2" t="s">
        <v>626</v>
      </c>
      <c r="F45" s="15" t="n">
        <v>8</v>
      </c>
      <c r="G45" s="15" t="n">
        <v>7</v>
      </c>
      <c r="H45" s="15" t="n">
        <v>8</v>
      </c>
      <c r="I45" s="15" t="n">
        <v>3</v>
      </c>
      <c r="J45" s="15" t="n">
        <v>7</v>
      </c>
      <c r="K45" s="15" t="n">
        <v>7</v>
      </c>
      <c r="L45" s="15" t="n">
        <v>7</v>
      </c>
      <c r="M45" s="4" t="n">
        <f aca="false">ROUND(F45*Rubric!$B$4+G45*Rubric!$B$5+H45*Rubric!$B$6+I45*Rubric!$B$7+J45*Rubric!$B$8+K45*Rubric!$B$9+L45*Rubric!$B$10-IF(OR(H45&lt;Rubric!$B$12,K45&lt;Rubric!$B$12),Rubric!$B$13,0),2)</f>
        <v>6.75</v>
      </c>
      <c r="N45" s="14" t="n">
        <v>41</v>
      </c>
      <c r="O45" s="2" t="s">
        <v>627</v>
      </c>
    </row>
    <row r="46" customFormat="false" ht="23.85" hidden="false" customHeight="false" outlineLevel="0" collapsed="false">
      <c r="A46" s="2" t="s">
        <v>26</v>
      </c>
      <c r="B46" s="2" t="s">
        <v>31</v>
      </c>
      <c r="C46" s="14" t="n">
        <v>2</v>
      </c>
      <c r="D46" s="14" t="n">
        <v>2</v>
      </c>
      <c r="E46" s="2" t="s">
        <v>628</v>
      </c>
      <c r="F46" s="15" t="n">
        <v>9</v>
      </c>
      <c r="G46" s="15" t="n">
        <v>7</v>
      </c>
      <c r="H46" s="15" t="n">
        <v>8</v>
      </c>
      <c r="I46" s="15" t="n">
        <v>3</v>
      </c>
      <c r="J46" s="15" t="n">
        <v>7</v>
      </c>
      <c r="K46" s="15" t="n">
        <v>8</v>
      </c>
      <c r="L46" s="15" t="n">
        <v>7</v>
      </c>
      <c r="M46" s="4" t="n">
        <f aca="false">ROUND(F46*Rubric!$B$4+G46*Rubric!$B$5+H46*Rubric!$B$6+I46*Rubric!$B$7+J46*Rubric!$B$8+K46*Rubric!$B$9+L46*Rubric!$B$10-IF(OR(H46&lt;Rubric!$B$12,K46&lt;Rubric!$B$12),Rubric!$B$13,0),2)</f>
        <v>6.9</v>
      </c>
      <c r="N46" s="14" t="n">
        <v>41</v>
      </c>
      <c r="O46" s="2" t="s">
        <v>629</v>
      </c>
    </row>
    <row r="47" customFormat="false" ht="23.85" hidden="false" customHeight="false" outlineLevel="0" collapsed="false">
      <c r="A47" s="2" t="s">
        <v>26</v>
      </c>
      <c r="B47" s="2" t="s">
        <v>31</v>
      </c>
      <c r="C47" s="14" t="n">
        <v>3</v>
      </c>
      <c r="D47" s="14" t="n">
        <v>2</v>
      </c>
      <c r="E47" s="2" t="s">
        <v>378</v>
      </c>
      <c r="F47" s="15" t="n">
        <v>8</v>
      </c>
      <c r="G47" s="15" t="n">
        <v>8</v>
      </c>
      <c r="H47" s="15" t="n">
        <v>8</v>
      </c>
      <c r="I47" s="15" t="n">
        <v>3</v>
      </c>
      <c r="J47" s="15" t="n">
        <v>7</v>
      </c>
      <c r="K47" s="15" t="n">
        <v>8</v>
      </c>
      <c r="L47" s="15" t="n">
        <v>8</v>
      </c>
      <c r="M47" s="4" t="n">
        <f aca="false">ROUND(F47*Rubric!$B$4+G47*Rubric!$B$5+H47*Rubric!$B$6+I47*Rubric!$B$7+J47*Rubric!$B$8+K47*Rubric!$B$9+L47*Rubric!$B$10-IF(OR(H47&lt;Rubric!$B$12,K47&lt;Rubric!$B$12),Rubric!$B$13,0),2)</f>
        <v>7.1</v>
      </c>
      <c r="N47" s="14" t="n">
        <v>41</v>
      </c>
      <c r="O47" s="2" t="s">
        <v>630</v>
      </c>
    </row>
    <row r="48" customFormat="false" ht="23.85" hidden="false" customHeight="false" outlineLevel="0" collapsed="false">
      <c r="A48" s="2" t="s">
        <v>26</v>
      </c>
      <c r="B48" s="2" t="s">
        <v>31</v>
      </c>
      <c r="C48" s="14" t="n">
        <v>0</v>
      </c>
      <c r="D48" s="14" t="n">
        <v>3</v>
      </c>
      <c r="E48" s="2" t="s">
        <v>631</v>
      </c>
      <c r="F48" s="15" t="n">
        <v>8</v>
      </c>
      <c r="G48" s="15" t="n">
        <v>8</v>
      </c>
      <c r="H48" s="15" t="n">
        <v>7</v>
      </c>
      <c r="I48" s="15" t="n">
        <v>3</v>
      </c>
      <c r="J48" s="15" t="n">
        <v>8</v>
      </c>
      <c r="K48" s="15" t="n">
        <v>7</v>
      </c>
      <c r="L48" s="15" t="n">
        <v>7</v>
      </c>
      <c r="M48" s="4" t="n">
        <f aca="false">ROUND(F48*Rubric!$B$4+G48*Rubric!$B$5+H48*Rubric!$B$6+I48*Rubric!$B$7+J48*Rubric!$B$8+K48*Rubric!$B$9+L48*Rubric!$B$10-IF(OR(H48&lt;Rubric!$B$12,K48&lt;Rubric!$B$12),Rubric!$B$13,0),2)</f>
        <v>7.2</v>
      </c>
      <c r="N48" s="14" t="n">
        <v>42</v>
      </c>
      <c r="O48" s="2" t="s">
        <v>586</v>
      </c>
    </row>
    <row r="49" customFormat="false" ht="23.85" hidden="false" customHeight="false" outlineLevel="0" collapsed="false">
      <c r="A49" s="2" t="s">
        <v>26</v>
      </c>
      <c r="B49" s="2" t="s">
        <v>31</v>
      </c>
      <c r="C49" s="14" t="n">
        <v>2</v>
      </c>
      <c r="D49" s="14" t="n">
        <v>3</v>
      </c>
      <c r="E49" s="2" t="s">
        <v>632</v>
      </c>
      <c r="F49" s="15" t="n">
        <v>8</v>
      </c>
      <c r="G49" s="15" t="n">
        <v>8</v>
      </c>
      <c r="H49" s="15" t="n">
        <v>7</v>
      </c>
      <c r="I49" s="15" t="n">
        <v>4</v>
      </c>
      <c r="J49" s="15" t="n">
        <v>8</v>
      </c>
      <c r="K49" s="15" t="n">
        <v>7</v>
      </c>
      <c r="L49" s="15" t="n">
        <v>7</v>
      </c>
      <c r="M49" s="4" t="n">
        <f aca="false">ROUND(F49*Rubric!$B$4+G49*Rubric!$B$5+H49*Rubric!$B$6+I49*Rubric!$B$7+J49*Rubric!$B$8+K49*Rubric!$B$9+L49*Rubric!$B$10-IF(OR(H49&lt;Rubric!$B$12,K49&lt;Rubric!$B$12),Rubric!$B$13,0),2)</f>
        <v>7.3</v>
      </c>
      <c r="N49" s="14" t="n">
        <v>42</v>
      </c>
      <c r="O49" s="2" t="s">
        <v>633</v>
      </c>
    </row>
    <row r="50" customFormat="false" ht="23.85" hidden="false" customHeight="false" outlineLevel="0" collapsed="false">
      <c r="A50" s="2" t="s">
        <v>26</v>
      </c>
      <c r="B50" s="2" t="s">
        <v>31</v>
      </c>
      <c r="C50" s="14" t="n">
        <v>3</v>
      </c>
      <c r="D50" s="14" t="n">
        <v>3</v>
      </c>
      <c r="E50" s="2" t="s">
        <v>379</v>
      </c>
      <c r="F50" s="15" t="n">
        <v>9</v>
      </c>
      <c r="G50" s="15" t="n">
        <v>8</v>
      </c>
      <c r="H50" s="15" t="n">
        <v>7</v>
      </c>
      <c r="I50" s="15" t="n">
        <v>4</v>
      </c>
      <c r="J50" s="15" t="n">
        <v>8</v>
      </c>
      <c r="K50" s="15" t="n">
        <v>7</v>
      </c>
      <c r="L50" s="15" t="n">
        <v>7</v>
      </c>
      <c r="M50" s="4" t="n">
        <f aca="false">ROUND(F50*Rubric!$B$4+G50*Rubric!$B$5+H50*Rubric!$B$6+I50*Rubric!$B$7+J50*Rubric!$B$8+K50*Rubric!$B$9+L50*Rubric!$B$10-IF(OR(H50&lt;Rubric!$B$12,K50&lt;Rubric!$B$12),Rubric!$B$13,0),2)</f>
        <v>7.35</v>
      </c>
      <c r="N50" s="14" t="n">
        <v>42</v>
      </c>
      <c r="O50" s="2" t="s">
        <v>591</v>
      </c>
    </row>
    <row r="51" customFormat="false" ht="23.85" hidden="false" customHeight="false" outlineLevel="0" collapsed="false">
      <c r="A51" s="2" t="s">
        <v>26</v>
      </c>
      <c r="B51" s="2" t="s">
        <v>31</v>
      </c>
      <c r="C51" s="14" t="n">
        <v>0</v>
      </c>
      <c r="D51" s="14" t="n">
        <v>4</v>
      </c>
      <c r="E51" s="2" t="s">
        <v>634</v>
      </c>
      <c r="F51" s="15" t="n">
        <v>7</v>
      </c>
      <c r="G51" s="15" t="n">
        <v>8</v>
      </c>
      <c r="H51" s="15" t="n">
        <v>8</v>
      </c>
      <c r="I51" s="15" t="n">
        <v>3</v>
      </c>
      <c r="J51" s="15" t="n">
        <v>8</v>
      </c>
      <c r="K51" s="15" t="n">
        <v>8</v>
      </c>
      <c r="L51" s="15" t="n">
        <v>7</v>
      </c>
      <c r="M51" s="4" t="n">
        <f aca="false">ROUND(F51*Rubric!$B$4+G51*Rubric!$B$5+H51*Rubric!$B$6+I51*Rubric!$B$7+J51*Rubric!$B$8+K51*Rubric!$B$9+L51*Rubric!$B$10-IF(OR(H51&lt;Rubric!$B$12,K51&lt;Rubric!$B$12),Rubric!$B$13,0),2)</f>
        <v>7.35</v>
      </c>
      <c r="N51" s="14" t="n">
        <v>43</v>
      </c>
      <c r="O51" s="2" t="s">
        <v>586</v>
      </c>
    </row>
    <row r="52" customFormat="false" ht="23.85" hidden="false" customHeight="false" outlineLevel="0" collapsed="false">
      <c r="A52" s="2" t="s">
        <v>26</v>
      </c>
      <c r="B52" s="2" t="s">
        <v>31</v>
      </c>
      <c r="C52" s="14" t="n">
        <v>3</v>
      </c>
      <c r="D52" s="14" t="n">
        <v>4</v>
      </c>
      <c r="E52" s="2" t="s">
        <v>380</v>
      </c>
      <c r="F52" s="15" t="n">
        <v>8</v>
      </c>
      <c r="G52" s="15" t="n">
        <v>8</v>
      </c>
      <c r="H52" s="15" t="n">
        <v>8</v>
      </c>
      <c r="I52" s="15" t="n">
        <v>3</v>
      </c>
      <c r="J52" s="15" t="n">
        <v>8</v>
      </c>
      <c r="K52" s="15" t="n">
        <v>8</v>
      </c>
      <c r="L52" s="15" t="n">
        <v>7</v>
      </c>
      <c r="M52" s="4" t="n">
        <f aca="false">ROUND(F52*Rubric!$B$4+G52*Rubric!$B$5+H52*Rubric!$B$6+I52*Rubric!$B$7+J52*Rubric!$B$8+K52*Rubric!$B$9+L52*Rubric!$B$10-IF(OR(H52&lt;Rubric!$B$12,K52&lt;Rubric!$B$12),Rubric!$B$13,0),2)</f>
        <v>7.4</v>
      </c>
      <c r="N52" s="14" t="n">
        <v>43</v>
      </c>
      <c r="O52" s="2" t="s">
        <v>635</v>
      </c>
    </row>
    <row r="53" customFormat="false" ht="23.85" hidden="false" customHeight="false" outlineLevel="0" collapsed="false">
      <c r="A53" s="2" t="s">
        <v>26</v>
      </c>
      <c r="B53" s="2" t="s">
        <v>31</v>
      </c>
      <c r="C53" s="14" t="n">
        <v>0</v>
      </c>
      <c r="D53" s="14" t="n">
        <v>5</v>
      </c>
      <c r="E53" s="2" t="s">
        <v>636</v>
      </c>
      <c r="F53" s="15" t="n">
        <v>8</v>
      </c>
      <c r="G53" s="15" t="n">
        <v>7</v>
      </c>
      <c r="H53" s="15" t="n">
        <v>8</v>
      </c>
      <c r="I53" s="15" t="n">
        <v>8</v>
      </c>
      <c r="J53" s="15" t="n">
        <v>6</v>
      </c>
      <c r="K53" s="15" t="n">
        <v>7</v>
      </c>
      <c r="L53" s="15" t="n">
        <v>8</v>
      </c>
      <c r="M53" s="4" t="n">
        <f aca="false">ROUND(F53*Rubric!$B$4+G53*Rubric!$B$5+H53*Rubric!$B$6+I53*Rubric!$B$7+J53*Rubric!$B$8+K53*Rubric!$B$9+L53*Rubric!$B$10-IF(OR(H53&lt;Rubric!$B$12,K53&lt;Rubric!$B$12),Rubric!$B$13,0),2)</f>
        <v>6.95</v>
      </c>
      <c r="N53" s="14" t="n">
        <v>44</v>
      </c>
      <c r="O53" s="2" t="s">
        <v>586</v>
      </c>
    </row>
    <row r="54" customFormat="false" ht="23.85" hidden="false" customHeight="false" outlineLevel="0" collapsed="false">
      <c r="A54" s="2" t="s">
        <v>26</v>
      </c>
      <c r="B54" s="2" t="s">
        <v>31</v>
      </c>
      <c r="C54" s="14" t="n">
        <v>3</v>
      </c>
      <c r="D54" s="14" t="n">
        <v>5</v>
      </c>
      <c r="E54" s="2" t="s">
        <v>381</v>
      </c>
      <c r="F54" s="15" t="n">
        <v>8</v>
      </c>
      <c r="G54" s="15" t="n">
        <v>8</v>
      </c>
      <c r="H54" s="15" t="n">
        <v>8</v>
      </c>
      <c r="I54" s="15" t="n">
        <v>8</v>
      </c>
      <c r="J54" s="15" t="n">
        <v>7</v>
      </c>
      <c r="K54" s="15" t="n">
        <v>7</v>
      </c>
      <c r="L54" s="15" t="n">
        <v>8</v>
      </c>
      <c r="M54" s="4" t="n">
        <f aca="false">ROUND(F54*Rubric!$B$4+G54*Rubric!$B$5+H54*Rubric!$B$6+I54*Rubric!$B$7+J54*Rubric!$B$8+K54*Rubric!$B$9+L54*Rubric!$B$10-IF(OR(H54&lt;Rubric!$B$12,K54&lt;Rubric!$B$12),Rubric!$B$13,0),2)</f>
        <v>7.5</v>
      </c>
      <c r="N54" s="14" t="n">
        <v>44</v>
      </c>
      <c r="O54" s="2" t="s">
        <v>637</v>
      </c>
    </row>
    <row r="55" customFormat="false" ht="23.85" hidden="false" customHeight="false" outlineLevel="0" collapsed="false">
      <c r="A55" s="2" t="s">
        <v>35</v>
      </c>
      <c r="B55" s="2" t="s">
        <v>36</v>
      </c>
      <c r="C55" s="14" t="n">
        <v>0</v>
      </c>
      <c r="D55" s="14" t="n">
        <v>1</v>
      </c>
      <c r="E55" s="2" t="s">
        <v>638</v>
      </c>
      <c r="F55" s="15" t="n">
        <v>8</v>
      </c>
      <c r="G55" s="15" t="n">
        <v>8</v>
      </c>
      <c r="H55" s="15" t="n">
        <v>8</v>
      </c>
      <c r="I55" s="15" t="n">
        <v>4</v>
      </c>
      <c r="J55" s="15" t="n">
        <v>8</v>
      </c>
      <c r="K55" s="15" t="n">
        <v>8</v>
      </c>
      <c r="L55" s="15" t="n">
        <v>7</v>
      </c>
      <c r="M55" s="4" t="n">
        <f aca="false">ROUND(F55*Rubric!$B$4+G55*Rubric!$B$5+H55*Rubric!$B$6+I55*Rubric!$B$7+J55*Rubric!$B$8+K55*Rubric!$B$9+L55*Rubric!$B$10-IF(OR(H55&lt;Rubric!$B$12,K55&lt;Rubric!$B$12),Rubric!$B$13,0),2)</f>
        <v>7.5</v>
      </c>
      <c r="N55" s="14" t="n">
        <v>50</v>
      </c>
      <c r="O55" s="2" t="s">
        <v>586</v>
      </c>
    </row>
    <row r="56" customFormat="false" ht="23.85" hidden="false" customHeight="false" outlineLevel="0" collapsed="false">
      <c r="A56" s="2" t="s">
        <v>35</v>
      </c>
      <c r="B56" s="2" t="s">
        <v>36</v>
      </c>
      <c r="C56" s="14" t="n">
        <v>3</v>
      </c>
      <c r="D56" s="14" t="n">
        <v>1</v>
      </c>
      <c r="E56" s="2" t="s">
        <v>382</v>
      </c>
      <c r="F56" s="15" t="n">
        <v>9</v>
      </c>
      <c r="G56" s="15" t="n">
        <v>8</v>
      </c>
      <c r="H56" s="15" t="n">
        <v>8</v>
      </c>
      <c r="I56" s="15" t="n">
        <v>4</v>
      </c>
      <c r="J56" s="15" t="n">
        <v>8</v>
      </c>
      <c r="K56" s="15" t="n">
        <v>8</v>
      </c>
      <c r="L56" s="15" t="n">
        <v>7</v>
      </c>
      <c r="M56" s="4" t="n">
        <f aca="false">ROUND(F56*Rubric!$B$4+G56*Rubric!$B$5+H56*Rubric!$B$6+I56*Rubric!$B$7+J56*Rubric!$B$8+K56*Rubric!$B$9+L56*Rubric!$B$10-IF(OR(H56&lt;Rubric!$B$12,K56&lt;Rubric!$B$12),Rubric!$B$13,0),2)</f>
        <v>7.55</v>
      </c>
      <c r="N56" s="14" t="n">
        <v>50</v>
      </c>
      <c r="O56" s="2" t="s">
        <v>591</v>
      </c>
    </row>
    <row r="57" customFormat="false" ht="23.85" hidden="false" customHeight="false" outlineLevel="0" collapsed="false">
      <c r="A57" s="2" t="s">
        <v>35</v>
      </c>
      <c r="B57" s="2" t="s">
        <v>36</v>
      </c>
      <c r="C57" s="14" t="n">
        <v>0</v>
      </c>
      <c r="D57" s="14" t="n">
        <v>2</v>
      </c>
      <c r="E57" s="2" t="s">
        <v>383</v>
      </c>
      <c r="F57" s="15" t="n">
        <v>9</v>
      </c>
      <c r="G57" s="15" t="n">
        <v>9</v>
      </c>
      <c r="H57" s="15" t="n">
        <v>7</v>
      </c>
      <c r="I57" s="15" t="n">
        <v>3</v>
      </c>
      <c r="J57" s="15" t="n">
        <v>9</v>
      </c>
      <c r="K57" s="15" t="n">
        <v>8</v>
      </c>
      <c r="L57" s="15" t="n">
        <v>8</v>
      </c>
      <c r="M57" s="4" t="n">
        <f aca="false">ROUND(F57*Rubric!$B$4+G57*Rubric!$B$5+H57*Rubric!$B$6+I57*Rubric!$B$7+J57*Rubric!$B$8+K57*Rubric!$B$9+L57*Rubric!$B$10-IF(OR(H57&lt;Rubric!$B$12,K57&lt;Rubric!$B$12),Rubric!$B$13,0),2)</f>
        <v>8</v>
      </c>
      <c r="N57" s="14" t="n">
        <v>51</v>
      </c>
      <c r="O57" s="2" t="s">
        <v>586</v>
      </c>
    </row>
    <row r="58" customFormat="false" ht="23.85" hidden="false" customHeight="false" outlineLevel="0" collapsed="false">
      <c r="A58" s="2" t="s">
        <v>35</v>
      </c>
      <c r="B58" s="2" t="s">
        <v>36</v>
      </c>
      <c r="C58" s="14" t="n">
        <v>0</v>
      </c>
      <c r="D58" s="14" t="n">
        <v>3</v>
      </c>
      <c r="E58" s="2" t="s">
        <v>639</v>
      </c>
      <c r="F58" s="15" t="n">
        <v>8</v>
      </c>
      <c r="G58" s="15" t="n">
        <v>8</v>
      </c>
      <c r="H58" s="15" t="n">
        <v>8</v>
      </c>
      <c r="I58" s="15" t="n">
        <v>3</v>
      </c>
      <c r="J58" s="15" t="n">
        <v>7</v>
      </c>
      <c r="K58" s="15" t="n">
        <v>8</v>
      </c>
      <c r="L58" s="15" t="n">
        <v>6</v>
      </c>
      <c r="M58" s="4" t="n">
        <f aca="false">ROUND(F58*Rubric!$B$4+G58*Rubric!$B$5+H58*Rubric!$B$6+I58*Rubric!$B$7+J58*Rubric!$B$8+K58*Rubric!$B$9+L58*Rubric!$B$10-IF(OR(H58&lt;Rubric!$B$12,K58&lt;Rubric!$B$12),Rubric!$B$13,0),2)</f>
        <v>6.9</v>
      </c>
      <c r="N58" s="14" t="n">
        <v>52</v>
      </c>
      <c r="O58" s="2" t="s">
        <v>586</v>
      </c>
    </row>
    <row r="59" customFormat="false" ht="23.85" hidden="false" customHeight="false" outlineLevel="0" collapsed="false">
      <c r="A59" s="2" t="s">
        <v>35</v>
      </c>
      <c r="B59" s="2" t="s">
        <v>36</v>
      </c>
      <c r="C59" s="14" t="n">
        <v>2</v>
      </c>
      <c r="D59" s="14" t="n">
        <v>3</v>
      </c>
      <c r="E59" s="2" t="s">
        <v>384</v>
      </c>
      <c r="F59" s="15" t="n">
        <v>9</v>
      </c>
      <c r="G59" s="15" t="n">
        <v>8</v>
      </c>
      <c r="H59" s="15" t="n">
        <v>8</v>
      </c>
      <c r="I59" s="15" t="n">
        <v>3</v>
      </c>
      <c r="J59" s="15" t="n">
        <v>8</v>
      </c>
      <c r="K59" s="15" t="n">
        <v>8</v>
      </c>
      <c r="L59" s="15" t="n">
        <v>7</v>
      </c>
      <c r="M59" s="4" t="n">
        <f aca="false">ROUND(F59*Rubric!$B$4+G59*Rubric!$B$5+H59*Rubric!$B$6+I59*Rubric!$B$7+J59*Rubric!$B$8+K59*Rubric!$B$9+L59*Rubric!$B$10-IF(OR(H59&lt;Rubric!$B$12,K59&lt;Rubric!$B$12),Rubric!$B$13,0),2)</f>
        <v>7.45</v>
      </c>
      <c r="N59" s="14" t="n">
        <v>52</v>
      </c>
      <c r="O59" s="2" t="s">
        <v>640</v>
      </c>
    </row>
    <row r="60" customFormat="false" ht="23.85" hidden="false" customHeight="false" outlineLevel="0" collapsed="false">
      <c r="A60" s="2" t="s">
        <v>35</v>
      </c>
      <c r="B60" s="2" t="s">
        <v>36</v>
      </c>
      <c r="C60" s="14" t="n">
        <v>0</v>
      </c>
      <c r="D60" s="14" t="n">
        <v>4</v>
      </c>
      <c r="E60" s="2" t="s">
        <v>641</v>
      </c>
      <c r="F60" s="15" t="n">
        <v>8</v>
      </c>
      <c r="G60" s="15" t="n">
        <v>8</v>
      </c>
      <c r="H60" s="15" t="n">
        <v>6</v>
      </c>
      <c r="I60" s="15" t="n">
        <v>10</v>
      </c>
      <c r="J60" s="15" t="n">
        <v>9</v>
      </c>
      <c r="K60" s="15" t="n">
        <v>6</v>
      </c>
      <c r="L60" s="15" t="n">
        <v>9</v>
      </c>
      <c r="M60" s="4" t="n">
        <f aca="false">ROUND(F60*Rubric!$B$4+G60*Rubric!$B$5+H60*Rubric!$B$6+I60*Rubric!$B$7+J60*Rubric!$B$8+K60*Rubric!$B$9+L60*Rubric!$B$10-IF(OR(H60&lt;Rubric!$B$12,K60&lt;Rubric!$B$12),Rubric!$B$13,0),2)</f>
        <v>7.3</v>
      </c>
      <c r="N60" s="14" t="n">
        <v>53</v>
      </c>
      <c r="O60" s="2" t="s">
        <v>586</v>
      </c>
    </row>
    <row r="61" customFormat="false" ht="23.85" hidden="false" customHeight="false" outlineLevel="0" collapsed="false">
      <c r="A61" s="2" t="s">
        <v>35</v>
      </c>
      <c r="B61" s="2" t="s">
        <v>36</v>
      </c>
      <c r="C61" s="14" t="n">
        <v>1</v>
      </c>
      <c r="D61" s="14" t="n">
        <v>4</v>
      </c>
      <c r="E61" s="2" t="s">
        <v>385</v>
      </c>
      <c r="F61" s="15" t="n">
        <v>8</v>
      </c>
      <c r="G61" s="15" t="n">
        <v>8</v>
      </c>
      <c r="H61" s="15" t="n">
        <v>7</v>
      </c>
      <c r="I61" s="15" t="n">
        <v>10</v>
      </c>
      <c r="J61" s="15" t="n">
        <v>9</v>
      </c>
      <c r="K61" s="15" t="n">
        <v>7</v>
      </c>
      <c r="L61" s="15" t="n">
        <v>9</v>
      </c>
      <c r="M61" s="4" t="n">
        <f aca="false">ROUND(F61*Rubric!$B$4+G61*Rubric!$B$5+H61*Rubric!$B$6+I61*Rubric!$B$7+J61*Rubric!$B$8+K61*Rubric!$B$9+L61*Rubric!$B$10-IF(OR(H61&lt;Rubric!$B$12,K61&lt;Rubric!$B$12),Rubric!$B$13,0),2)</f>
        <v>8.5</v>
      </c>
      <c r="N61" s="14" t="n">
        <v>53</v>
      </c>
      <c r="O61" s="2" t="s">
        <v>642</v>
      </c>
    </row>
    <row r="62" customFormat="false" ht="23.85" hidden="false" customHeight="false" outlineLevel="0" collapsed="false">
      <c r="A62" s="2" t="s">
        <v>35</v>
      </c>
      <c r="B62" s="2" t="s">
        <v>36</v>
      </c>
      <c r="C62" s="14" t="n">
        <v>0</v>
      </c>
      <c r="D62" s="14" t="n">
        <v>5</v>
      </c>
      <c r="E62" s="2" t="s">
        <v>643</v>
      </c>
      <c r="F62" s="15" t="n">
        <v>8</v>
      </c>
      <c r="G62" s="15" t="n">
        <v>7</v>
      </c>
      <c r="H62" s="15" t="n">
        <v>7</v>
      </c>
      <c r="I62" s="15" t="n">
        <v>3</v>
      </c>
      <c r="J62" s="15" t="n">
        <v>7</v>
      </c>
      <c r="K62" s="15" t="n">
        <v>7</v>
      </c>
      <c r="L62" s="15" t="n">
        <v>6</v>
      </c>
      <c r="M62" s="4" t="n">
        <f aca="false">ROUND(F62*Rubric!$B$4+G62*Rubric!$B$5+H62*Rubric!$B$6+I62*Rubric!$B$7+J62*Rubric!$B$8+K62*Rubric!$B$9+L62*Rubric!$B$10-IF(OR(H62&lt;Rubric!$B$12,K62&lt;Rubric!$B$12),Rubric!$B$13,0),2)</f>
        <v>6.55</v>
      </c>
      <c r="N62" s="14" t="n">
        <v>54</v>
      </c>
      <c r="O62" s="2" t="s">
        <v>586</v>
      </c>
    </row>
    <row r="63" customFormat="false" ht="23.85" hidden="false" customHeight="false" outlineLevel="0" collapsed="false">
      <c r="A63" s="2" t="s">
        <v>35</v>
      </c>
      <c r="B63" s="2" t="s">
        <v>36</v>
      </c>
      <c r="C63" s="14" t="n">
        <v>1</v>
      </c>
      <c r="D63" s="14" t="n">
        <v>5</v>
      </c>
      <c r="E63" s="2" t="s">
        <v>644</v>
      </c>
      <c r="F63" s="15" t="n">
        <v>8</v>
      </c>
      <c r="G63" s="15" t="n">
        <v>7</v>
      </c>
      <c r="H63" s="15" t="n">
        <v>8</v>
      </c>
      <c r="I63" s="15" t="n">
        <v>3</v>
      </c>
      <c r="J63" s="15" t="n">
        <v>7</v>
      </c>
      <c r="K63" s="15" t="n">
        <v>7</v>
      </c>
      <c r="L63" s="15" t="n">
        <v>7</v>
      </c>
      <c r="M63" s="4" t="n">
        <f aca="false">ROUND(F63*Rubric!$B$4+G63*Rubric!$B$5+H63*Rubric!$B$6+I63*Rubric!$B$7+J63*Rubric!$B$8+K63*Rubric!$B$9+L63*Rubric!$B$10-IF(OR(H63&lt;Rubric!$B$12,K63&lt;Rubric!$B$12),Rubric!$B$13,0),2)</f>
        <v>6.75</v>
      </c>
      <c r="N63" s="14" t="n">
        <v>54</v>
      </c>
      <c r="O63" s="2" t="s">
        <v>645</v>
      </c>
    </row>
    <row r="64" customFormat="false" ht="23.85" hidden="false" customHeight="false" outlineLevel="0" collapsed="false">
      <c r="A64" s="2" t="s">
        <v>35</v>
      </c>
      <c r="B64" s="2" t="s">
        <v>36</v>
      </c>
      <c r="C64" s="14" t="n">
        <v>2</v>
      </c>
      <c r="D64" s="14" t="n">
        <v>5</v>
      </c>
      <c r="E64" s="2" t="s">
        <v>646</v>
      </c>
      <c r="F64" s="15" t="n">
        <v>9</v>
      </c>
      <c r="G64" s="15" t="n">
        <v>7</v>
      </c>
      <c r="H64" s="15" t="n">
        <v>8</v>
      </c>
      <c r="I64" s="15" t="n">
        <v>3</v>
      </c>
      <c r="J64" s="15" t="n">
        <v>8</v>
      </c>
      <c r="K64" s="15" t="n">
        <v>8</v>
      </c>
      <c r="L64" s="15" t="n">
        <v>7</v>
      </c>
      <c r="M64" s="4" t="n">
        <f aca="false">ROUND(F64*Rubric!$B$4+G64*Rubric!$B$5+H64*Rubric!$B$6+I64*Rubric!$B$7+J64*Rubric!$B$8+K64*Rubric!$B$9+L64*Rubric!$B$10-IF(OR(H64&lt;Rubric!$B$12,K64&lt;Rubric!$B$12),Rubric!$B$13,0),2)</f>
        <v>7.3</v>
      </c>
      <c r="N64" s="14" t="n">
        <v>54</v>
      </c>
      <c r="O64" s="2" t="s">
        <v>647</v>
      </c>
    </row>
    <row r="65" customFormat="false" ht="23.85" hidden="false" customHeight="false" outlineLevel="0" collapsed="false">
      <c r="A65" s="2" t="s">
        <v>35</v>
      </c>
      <c r="B65" s="2" t="s">
        <v>36</v>
      </c>
      <c r="C65" s="14" t="n">
        <v>3</v>
      </c>
      <c r="D65" s="14" t="n">
        <v>5</v>
      </c>
      <c r="E65" s="2" t="s">
        <v>386</v>
      </c>
      <c r="F65" s="15" t="n">
        <v>9</v>
      </c>
      <c r="G65" s="15" t="n">
        <v>8</v>
      </c>
      <c r="H65" s="15" t="n">
        <v>8</v>
      </c>
      <c r="I65" s="15" t="n">
        <v>3</v>
      </c>
      <c r="J65" s="15" t="n">
        <v>8</v>
      </c>
      <c r="K65" s="15" t="n">
        <v>8</v>
      </c>
      <c r="L65" s="15" t="n">
        <v>7</v>
      </c>
      <c r="M65" s="4" t="n">
        <f aca="false">ROUND(F65*Rubric!$B$4+G65*Rubric!$B$5+H65*Rubric!$B$6+I65*Rubric!$B$7+J65*Rubric!$B$8+K65*Rubric!$B$9+L65*Rubric!$B$10-IF(OR(H65&lt;Rubric!$B$12,K65&lt;Rubric!$B$12),Rubric!$B$13,0),2)</f>
        <v>7.45</v>
      </c>
      <c r="N65" s="14" t="n">
        <v>54</v>
      </c>
      <c r="O65" s="2" t="s">
        <v>591</v>
      </c>
    </row>
    <row r="66" customFormat="false" ht="23.85" hidden="false" customHeight="false" outlineLevel="0" collapsed="false">
      <c r="A66" s="2" t="s">
        <v>40</v>
      </c>
      <c r="B66" s="2" t="s">
        <v>41</v>
      </c>
      <c r="C66" s="14" t="n">
        <v>0</v>
      </c>
      <c r="D66" s="14" t="n">
        <v>1</v>
      </c>
      <c r="E66" s="2" t="s">
        <v>648</v>
      </c>
      <c r="F66" s="15" t="n">
        <v>8</v>
      </c>
      <c r="G66" s="15" t="n">
        <v>7</v>
      </c>
      <c r="H66" s="15" t="n">
        <v>6</v>
      </c>
      <c r="I66" s="15" t="n">
        <v>3</v>
      </c>
      <c r="J66" s="15" t="n">
        <v>8</v>
      </c>
      <c r="K66" s="15" t="n">
        <v>6</v>
      </c>
      <c r="L66" s="15" t="n">
        <v>5</v>
      </c>
      <c r="M66" s="4" t="n">
        <f aca="false">ROUND(F66*Rubric!$B$4+G66*Rubric!$B$5+H66*Rubric!$B$6+I66*Rubric!$B$7+J66*Rubric!$B$8+K66*Rubric!$B$9+L66*Rubric!$B$10-IF(OR(H66&lt;Rubric!$B$12,K66&lt;Rubric!$B$12),Rubric!$B$13,0),2)</f>
        <v>5.65</v>
      </c>
      <c r="N66" s="14" t="n">
        <v>60</v>
      </c>
      <c r="O66" s="2" t="s">
        <v>586</v>
      </c>
    </row>
    <row r="67" customFormat="false" ht="23.85" hidden="false" customHeight="false" outlineLevel="0" collapsed="false">
      <c r="A67" s="2" t="s">
        <v>40</v>
      </c>
      <c r="B67" s="2" t="s">
        <v>41</v>
      </c>
      <c r="C67" s="14" t="n">
        <v>1</v>
      </c>
      <c r="D67" s="14" t="n">
        <v>1</v>
      </c>
      <c r="E67" s="2" t="s">
        <v>649</v>
      </c>
      <c r="F67" s="15" t="n">
        <v>8</v>
      </c>
      <c r="G67" s="15" t="n">
        <v>7</v>
      </c>
      <c r="H67" s="15" t="n">
        <v>8</v>
      </c>
      <c r="I67" s="15" t="n">
        <v>3</v>
      </c>
      <c r="J67" s="15" t="n">
        <v>8</v>
      </c>
      <c r="K67" s="15" t="n">
        <v>8</v>
      </c>
      <c r="L67" s="15" t="n">
        <v>6</v>
      </c>
      <c r="M67" s="4" t="n">
        <f aca="false">ROUND(F67*Rubric!$B$4+G67*Rubric!$B$5+H67*Rubric!$B$6+I67*Rubric!$B$7+J67*Rubric!$B$8+K67*Rubric!$B$9+L67*Rubric!$B$10-IF(OR(H67&lt;Rubric!$B$12,K67&lt;Rubric!$B$12),Rubric!$B$13,0),2)</f>
        <v>7.15</v>
      </c>
      <c r="N67" s="14" t="n">
        <v>60</v>
      </c>
      <c r="O67" s="2" t="s">
        <v>650</v>
      </c>
    </row>
    <row r="68" customFormat="false" ht="23.85" hidden="false" customHeight="false" outlineLevel="0" collapsed="false">
      <c r="A68" s="2" t="s">
        <v>40</v>
      </c>
      <c r="B68" s="2" t="s">
        <v>41</v>
      </c>
      <c r="C68" s="14" t="n">
        <v>2</v>
      </c>
      <c r="D68" s="14" t="n">
        <v>1</v>
      </c>
      <c r="E68" s="2" t="s">
        <v>651</v>
      </c>
      <c r="F68" s="15" t="n">
        <v>8</v>
      </c>
      <c r="G68" s="15" t="n">
        <v>7</v>
      </c>
      <c r="H68" s="15" t="n">
        <v>8</v>
      </c>
      <c r="I68" s="15" t="n">
        <v>3</v>
      </c>
      <c r="J68" s="15" t="n">
        <v>8</v>
      </c>
      <c r="K68" s="15" t="n">
        <v>8</v>
      </c>
      <c r="L68" s="15" t="n">
        <v>7</v>
      </c>
      <c r="M68" s="4" t="n">
        <f aca="false">ROUND(F68*Rubric!$B$4+G68*Rubric!$B$5+H68*Rubric!$B$6+I68*Rubric!$B$7+J68*Rubric!$B$8+K68*Rubric!$B$9+L68*Rubric!$B$10-IF(OR(H68&lt;Rubric!$B$12,K68&lt;Rubric!$B$12),Rubric!$B$13,0),2)</f>
        <v>7.25</v>
      </c>
      <c r="N68" s="14" t="n">
        <v>60</v>
      </c>
      <c r="O68" s="2" t="s">
        <v>652</v>
      </c>
    </row>
    <row r="69" customFormat="false" ht="23.85" hidden="false" customHeight="false" outlineLevel="0" collapsed="false">
      <c r="A69" s="2" t="s">
        <v>40</v>
      </c>
      <c r="B69" s="2" t="s">
        <v>41</v>
      </c>
      <c r="C69" s="14" t="n">
        <v>3</v>
      </c>
      <c r="D69" s="14" t="n">
        <v>1</v>
      </c>
      <c r="E69" s="2" t="s">
        <v>387</v>
      </c>
      <c r="F69" s="15" t="n">
        <v>9</v>
      </c>
      <c r="G69" s="15" t="n">
        <v>8</v>
      </c>
      <c r="H69" s="15" t="n">
        <v>8</v>
      </c>
      <c r="I69" s="15" t="n">
        <v>3</v>
      </c>
      <c r="J69" s="15" t="n">
        <v>8</v>
      </c>
      <c r="K69" s="15" t="n">
        <v>8</v>
      </c>
      <c r="L69" s="15" t="n">
        <v>8</v>
      </c>
      <c r="M69" s="4" t="n">
        <f aca="false">ROUND(F69*Rubric!$B$4+G69*Rubric!$B$5+H69*Rubric!$B$6+I69*Rubric!$B$7+J69*Rubric!$B$8+K69*Rubric!$B$9+L69*Rubric!$B$10-IF(OR(H69&lt;Rubric!$B$12,K69&lt;Rubric!$B$12),Rubric!$B$13,0),2)</f>
        <v>7.55</v>
      </c>
      <c r="N69" s="14" t="n">
        <v>60</v>
      </c>
      <c r="O69" s="2" t="s">
        <v>653</v>
      </c>
    </row>
    <row r="70" customFormat="false" ht="23.85" hidden="false" customHeight="false" outlineLevel="0" collapsed="false">
      <c r="A70" s="2" t="s">
        <v>40</v>
      </c>
      <c r="B70" s="2" t="s">
        <v>41</v>
      </c>
      <c r="C70" s="14" t="n">
        <v>0</v>
      </c>
      <c r="D70" s="14" t="n">
        <v>2</v>
      </c>
      <c r="E70" s="2" t="s">
        <v>654</v>
      </c>
      <c r="F70" s="15" t="n">
        <v>8</v>
      </c>
      <c r="G70" s="15" t="n">
        <v>9</v>
      </c>
      <c r="H70" s="15" t="n">
        <v>7</v>
      </c>
      <c r="I70" s="15" t="n">
        <v>3</v>
      </c>
      <c r="J70" s="15" t="n">
        <v>9</v>
      </c>
      <c r="K70" s="15" t="n">
        <v>7</v>
      </c>
      <c r="L70" s="15" t="n">
        <v>8</v>
      </c>
      <c r="M70" s="4" t="n">
        <f aca="false">ROUND(F70*Rubric!$B$4+G70*Rubric!$B$5+H70*Rubric!$B$6+I70*Rubric!$B$7+J70*Rubric!$B$8+K70*Rubric!$B$9+L70*Rubric!$B$10-IF(OR(H70&lt;Rubric!$B$12,K70&lt;Rubric!$B$12),Rubric!$B$13,0),2)</f>
        <v>7.85</v>
      </c>
      <c r="N70" s="14" t="n">
        <v>61</v>
      </c>
      <c r="O70" s="2" t="s">
        <v>586</v>
      </c>
    </row>
    <row r="71" customFormat="false" ht="23.85" hidden="false" customHeight="false" outlineLevel="0" collapsed="false">
      <c r="A71" s="2" t="s">
        <v>40</v>
      </c>
      <c r="B71" s="2" t="s">
        <v>41</v>
      </c>
      <c r="C71" s="14" t="n">
        <v>3</v>
      </c>
      <c r="D71" s="14" t="n">
        <v>2</v>
      </c>
      <c r="E71" s="2" t="s">
        <v>388</v>
      </c>
      <c r="F71" s="15" t="n">
        <v>9</v>
      </c>
      <c r="G71" s="15" t="n">
        <v>9</v>
      </c>
      <c r="H71" s="15" t="n">
        <v>7</v>
      </c>
      <c r="I71" s="15" t="n">
        <v>3</v>
      </c>
      <c r="J71" s="15" t="n">
        <v>9</v>
      </c>
      <c r="K71" s="15" t="n">
        <v>7</v>
      </c>
      <c r="L71" s="15" t="n">
        <v>8</v>
      </c>
      <c r="M71" s="4" t="n">
        <f aca="false">ROUND(F71*Rubric!$B$4+G71*Rubric!$B$5+H71*Rubric!$B$6+I71*Rubric!$B$7+J71*Rubric!$B$8+K71*Rubric!$B$9+L71*Rubric!$B$10-IF(OR(H71&lt;Rubric!$B$12,K71&lt;Rubric!$B$12),Rubric!$B$13,0),2)</f>
        <v>7.9</v>
      </c>
      <c r="N71" s="14" t="n">
        <v>61</v>
      </c>
      <c r="O71" s="2" t="s">
        <v>591</v>
      </c>
    </row>
    <row r="72" customFormat="false" ht="23.85" hidden="false" customHeight="false" outlineLevel="0" collapsed="false">
      <c r="A72" s="2" t="s">
        <v>40</v>
      </c>
      <c r="B72" s="2" t="s">
        <v>41</v>
      </c>
      <c r="C72" s="14" t="n">
        <v>0</v>
      </c>
      <c r="D72" s="14" t="n">
        <v>3</v>
      </c>
      <c r="E72" s="2" t="s">
        <v>389</v>
      </c>
      <c r="F72" s="15" t="n">
        <v>9</v>
      </c>
      <c r="G72" s="15" t="n">
        <v>8</v>
      </c>
      <c r="H72" s="15" t="n">
        <v>8</v>
      </c>
      <c r="I72" s="15" t="n">
        <v>3</v>
      </c>
      <c r="J72" s="15" t="n">
        <v>8</v>
      </c>
      <c r="K72" s="15" t="n">
        <v>8</v>
      </c>
      <c r="L72" s="15" t="n">
        <v>8</v>
      </c>
      <c r="M72" s="4" t="n">
        <f aca="false">ROUND(F72*Rubric!$B$4+G72*Rubric!$B$5+H72*Rubric!$B$6+I72*Rubric!$B$7+J72*Rubric!$B$8+K72*Rubric!$B$9+L72*Rubric!$B$10-IF(OR(H72&lt;Rubric!$B$12,K72&lt;Rubric!$B$12),Rubric!$B$13,0),2)</f>
        <v>7.55</v>
      </c>
      <c r="N72" s="14" t="n">
        <v>62</v>
      </c>
      <c r="O72" s="2" t="s">
        <v>586</v>
      </c>
    </row>
    <row r="73" customFormat="false" ht="23.85" hidden="false" customHeight="false" outlineLevel="0" collapsed="false">
      <c r="A73" s="2" t="s">
        <v>40</v>
      </c>
      <c r="B73" s="2" t="s">
        <v>41</v>
      </c>
      <c r="C73" s="14" t="n">
        <v>0</v>
      </c>
      <c r="D73" s="14" t="n">
        <v>4</v>
      </c>
      <c r="E73" s="2" t="s">
        <v>655</v>
      </c>
      <c r="F73" s="15" t="n">
        <v>8</v>
      </c>
      <c r="G73" s="15" t="n">
        <v>7</v>
      </c>
      <c r="H73" s="15" t="n">
        <v>8</v>
      </c>
      <c r="I73" s="15" t="n">
        <v>3</v>
      </c>
      <c r="J73" s="15" t="n">
        <v>7</v>
      </c>
      <c r="K73" s="15" t="n">
        <v>7</v>
      </c>
      <c r="L73" s="15" t="n">
        <v>6</v>
      </c>
      <c r="M73" s="4" t="n">
        <f aca="false">ROUND(F73*Rubric!$B$4+G73*Rubric!$B$5+H73*Rubric!$B$6+I73*Rubric!$B$7+J73*Rubric!$B$8+K73*Rubric!$B$9+L73*Rubric!$B$10-IF(OR(H73&lt;Rubric!$B$12,K73&lt;Rubric!$B$12),Rubric!$B$13,0),2)</f>
        <v>6.65</v>
      </c>
      <c r="N73" s="14" t="n">
        <v>63</v>
      </c>
      <c r="O73" s="2" t="s">
        <v>586</v>
      </c>
    </row>
    <row r="74" customFormat="false" ht="23.85" hidden="false" customHeight="false" outlineLevel="0" collapsed="false">
      <c r="A74" s="2" t="s">
        <v>40</v>
      </c>
      <c r="B74" s="2" t="s">
        <v>41</v>
      </c>
      <c r="C74" s="14" t="n">
        <v>1</v>
      </c>
      <c r="D74" s="14" t="n">
        <v>4</v>
      </c>
      <c r="E74" s="2" t="s">
        <v>656</v>
      </c>
      <c r="F74" s="15" t="n">
        <v>8</v>
      </c>
      <c r="G74" s="15" t="n">
        <v>7</v>
      </c>
      <c r="H74" s="15" t="n">
        <v>8</v>
      </c>
      <c r="I74" s="15" t="n">
        <v>3</v>
      </c>
      <c r="J74" s="15" t="n">
        <v>7</v>
      </c>
      <c r="K74" s="15" t="n">
        <v>7</v>
      </c>
      <c r="L74" s="15" t="n">
        <v>6</v>
      </c>
      <c r="M74" s="4" t="n">
        <f aca="false">ROUND(F74*Rubric!$B$4+G74*Rubric!$B$5+H74*Rubric!$B$6+I74*Rubric!$B$7+J74*Rubric!$B$8+K74*Rubric!$B$9+L74*Rubric!$B$10-IF(OR(H74&lt;Rubric!$B$12,K74&lt;Rubric!$B$12),Rubric!$B$13,0),2)</f>
        <v>6.65</v>
      </c>
      <c r="N74" s="14" t="n">
        <v>63</v>
      </c>
      <c r="O74" s="2" t="s">
        <v>657</v>
      </c>
    </row>
    <row r="75" customFormat="false" ht="23.85" hidden="false" customHeight="false" outlineLevel="0" collapsed="false">
      <c r="A75" s="2" t="s">
        <v>40</v>
      </c>
      <c r="B75" s="2" t="s">
        <v>41</v>
      </c>
      <c r="C75" s="14" t="n">
        <v>2</v>
      </c>
      <c r="D75" s="14" t="n">
        <v>4</v>
      </c>
      <c r="E75" s="2" t="s">
        <v>390</v>
      </c>
      <c r="F75" s="15" t="n">
        <v>9</v>
      </c>
      <c r="G75" s="15" t="n">
        <v>8</v>
      </c>
      <c r="H75" s="15" t="n">
        <v>8</v>
      </c>
      <c r="I75" s="15" t="n">
        <v>3</v>
      </c>
      <c r="J75" s="15" t="n">
        <v>8</v>
      </c>
      <c r="K75" s="15" t="n">
        <v>8</v>
      </c>
      <c r="L75" s="15" t="n">
        <v>7</v>
      </c>
      <c r="M75" s="4" t="n">
        <f aca="false">ROUND(F75*Rubric!$B$4+G75*Rubric!$B$5+H75*Rubric!$B$6+I75*Rubric!$B$7+J75*Rubric!$B$8+K75*Rubric!$B$9+L75*Rubric!$B$10-IF(OR(H75&lt;Rubric!$B$12,K75&lt;Rubric!$B$12),Rubric!$B$13,0),2)</f>
        <v>7.45</v>
      </c>
      <c r="N75" s="14" t="n">
        <v>63</v>
      </c>
      <c r="O75" s="2" t="s">
        <v>658</v>
      </c>
    </row>
    <row r="76" customFormat="false" ht="23.85" hidden="false" customHeight="false" outlineLevel="0" collapsed="false">
      <c r="A76" s="2" t="s">
        <v>40</v>
      </c>
      <c r="B76" s="2" t="s">
        <v>41</v>
      </c>
      <c r="C76" s="14" t="n">
        <v>0</v>
      </c>
      <c r="D76" s="14" t="n">
        <v>5</v>
      </c>
      <c r="E76" s="2" t="s">
        <v>659</v>
      </c>
      <c r="F76" s="15" t="n">
        <v>8</v>
      </c>
      <c r="G76" s="15" t="n">
        <v>6</v>
      </c>
      <c r="H76" s="15" t="n">
        <v>8</v>
      </c>
      <c r="I76" s="15" t="n">
        <v>8</v>
      </c>
      <c r="J76" s="15" t="n">
        <v>6</v>
      </c>
      <c r="K76" s="15" t="n">
        <v>7</v>
      </c>
      <c r="L76" s="15" t="n">
        <v>7</v>
      </c>
      <c r="M76" s="4" t="n">
        <f aca="false">ROUND(F76*Rubric!$B$4+G76*Rubric!$B$5+H76*Rubric!$B$6+I76*Rubric!$B$7+J76*Rubric!$B$8+K76*Rubric!$B$9+L76*Rubric!$B$10-IF(OR(H76&lt;Rubric!$B$12,K76&lt;Rubric!$B$12),Rubric!$B$13,0),2)</f>
        <v>6.7</v>
      </c>
      <c r="N76" s="14" t="n">
        <v>64</v>
      </c>
      <c r="O76" s="2" t="s">
        <v>586</v>
      </c>
    </row>
    <row r="77" customFormat="false" ht="23.85" hidden="false" customHeight="false" outlineLevel="0" collapsed="false">
      <c r="A77" s="2" t="s">
        <v>40</v>
      </c>
      <c r="B77" s="2" t="s">
        <v>41</v>
      </c>
      <c r="C77" s="14" t="n">
        <v>2</v>
      </c>
      <c r="D77" s="14" t="n">
        <v>5</v>
      </c>
      <c r="E77" s="2" t="s">
        <v>391</v>
      </c>
      <c r="F77" s="15" t="n">
        <v>8</v>
      </c>
      <c r="G77" s="15" t="n">
        <v>7</v>
      </c>
      <c r="H77" s="15" t="n">
        <v>8</v>
      </c>
      <c r="I77" s="15" t="n">
        <v>8</v>
      </c>
      <c r="J77" s="15" t="n">
        <v>7</v>
      </c>
      <c r="K77" s="15" t="n">
        <v>8</v>
      </c>
      <c r="L77" s="15" t="n">
        <v>8</v>
      </c>
      <c r="M77" s="4" t="n">
        <f aca="false">ROUND(F77*Rubric!$B$4+G77*Rubric!$B$5+H77*Rubric!$B$6+I77*Rubric!$B$7+J77*Rubric!$B$8+K77*Rubric!$B$9+L77*Rubric!$B$10-IF(OR(H77&lt;Rubric!$B$12,K77&lt;Rubric!$B$12),Rubric!$B$13,0),2)</f>
        <v>7.45</v>
      </c>
      <c r="N77" s="14" t="n">
        <v>64</v>
      </c>
      <c r="O77" s="2" t="s">
        <v>660</v>
      </c>
    </row>
    <row r="78" customFormat="false" ht="35.05" hidden="false" customHeight="false" outlineLevel="0" collapsed="false">
      <c r="A78" s="2" t="s">
        <v>45</v>
      </c>
      <c r="B78" s="2" t="s">
        <v>46</v>
      </c>
      <c r="C78" s="14" t="n">
        <v>0</v>
      </c>
      <c r="D78" s="14" t="n">
        <v>1</v>
      </c>
      <c r="E78" s="2" t="s">
        <v>392</v>
      </c>
      <c r="F78" s="15" t="n">
        <v>9</v>
      </c>
      <c r="G78" s="15" t="n">
        <v>9</v>
      </c>
      <c r="H78" s="15" t="n">
        <v>8</v>
      </c>
      <c r="I78" s="15" t="n">
        <v>3</v>
      </c>
      <c r="J78" s="15" t="n">
        <v>9</v>
      </c>
      <c r="K78" s="15" t="n">
        <v>8</v>
      </c>
      <c r="L78" s="15" t="n">
        <v>9</v>
      </c>
      <c r="M78" s="4" t="n">
        <f aca="false">ROUND(F78*Rubric!$B$4+G78*Rubric!$B$5+H78*Rubric!$B$6+I78*Rubric!$B$7+J78*Rubric!$B$8+K78*Rubric!$B$9+L78*Rubric!$B$10-IF(OR(H78&lt;Rubric!$B$12,K78&lt;Rubric!$B$12),Rubric!$B$13,0),2)</f>
        <v>8.2</v>
      </c>
      <c r="N78" s="14" t="n">
        <v>70</v>
      </c>
      <c r="O78" s="2" t="s">
        <v>586</v>
      </c>
    </row>
    <row r="79" customFormat="false" ht="35.05" hidden="false" customHeight="false" outlineLevel="0" collapsed="false">
      <c r="A79" s="2" t="s">
        <v>45</v>
      </c>
      <c r="B79" s="2" t="s">
        <v>46</v>
      </c>
      <c r="C79" s="14" t="n">
        <v>0</v>
      </c>
      <c r="D79" s="14" t="n">
        <v>2</v>
      </c>
      <c r="E79" s="2" t="s">
        <v>393</v>
      </c>
      <c r="F79" s="15" t="n">
        <v>8</v>
      </c>
      <c r="G79" s="15" t="n">
        <v>9</v>
      </c>
      <c r="H79" s="15" t="n">
        <v>8</v>
      </c>
      <c r="I79" s="15" t="n">
        <v>3</v>
      </c>
      <c r="J79" s="15" t="n">
        <v>9</v>
      </c>
      <c r="K79" s="15" t="n">
        <v>8</v>
      </c>
      <c r="L79" s="15" t="n">
        <v>8</v>
      </c>
      <c r="M79" s="4" t="n">
        <f aca="false">ROUND(F79*Rubric!$B$4+G79*Rubric!$B$5+H79*Rubric!$B$6+I79*Rubric!$B$7+J79*Rubric!$B$8+K79*Rubric!$B$9+L79*Rubric!$B$10-IF(OR(H79&lt;Rubric!$B$12,K79&lt;Rubric!$B$12),Rubric!$B$13,0),2)</f>
        <v>8.05</v>
      </c>
      <c r="N79" s="14" t="n">
        <v>71</v>
      </c>
      <c r="O79" s="2" t="s">
        <v>586</v>
      </c>
    </row>
    <row r="80" customFormat="false" ht="35.05" hidden="false" customHeight="false" outlineLevel="0" collapsed="false">
      <c r="A80" s="2" t="s">
        <v>45</v>
      </c>
      <c r="B80" s="2" t="s">
        <v>46</v>
      </c>
      <c r="C80" s="14" t="n">
        <v>0</v>
      </c>
      <c r="D80" s="14" t="n">
        <v>3</v>
      </c>
      <c r="E80" s="2" t="s">
        <v>661</v>
      </c>
      <c r="F80" s="15" t="n">
        <v>7</v>
      </c>
      <c r="G80" s="15" t="n">
        <v>7</v>
      </c>
      <c r="H80" s="15" t="n">
        <v>6</v>
      </c>
      <c r="I80" s="15" t="n">
        <v>2</v>
      </c>
      <c r="J80" s="15" t="n">
        <v>8</v>
      </c>
      <c r="K80" s="15" t="n">
        <v>6</v>
      </c>
      <c r="L80" s="15" t="n">
        <v>6</v>
      </c>
      <c r="M80" s="4" t="n">
        <f aca="false">ROUND(F80*Rubric!$B$4+G80*Rubric!$B$5+H80*Rubric!$B$6+I80*Rubric!$B$7+J80*Rubric!$B$8+K80*Rubric!$B$9+L80*Rubric!$B$10-IF(OR(H80&lt;Rubric!$B$12,K80&lt;Rubric!$B$12),Rubric!$B$13,0),2)</f>
        <v>5.6</v>
      </c>
      <c r="N80" s="14" t="n">
        <v>72</v>
      </c>
      <c r="O80" s="2" t="s">
        <v>586</v>
      </c>
    </row>
    <row r="81" customFormat="false" ht="35.05" hidden="false" customHeight="false" outlineLevel="0" collapsed="false">
      <c r="A81" s="2" t="s">
        <v>45</v>
      </c>
      <c r="B81" s="2" t="s">
        <v>46</v>
      </c>
      <c r="C81" s="14" t="n">
        <v>1</v>
      </c>
      <c r="D81" s="14" t="n">
        <v>3</v>
      </c>
      <c r="E81" s="2" t="s">
        <v>394</v>
      </c>
      <c r="F81" s="15" t="n">
        <v>8</v>
      </c>
      <c r="G81" s="15" t="n">
        <v>8</v>
      </c>
      <c r="H81" s="15" t="n">
        <v>8</v>
      </c>
      <c r="I81" s="15" t="n">
        <v>3</v>
      </c>
      <c r="J81" s="15" t="n">
        <v>8</v>
      </c>
      <c r="K81" s="15" t="n">
        <v>8</v>
      </c>
      <c r="L81" s="15" t="n">
        <v>8</v>
      </c>
      <c r="M81" s="4" t="n">
        <f aca="false">ROUND(F81*Rubric!$B$4+G81*Rubric!$B$5+H81*Rubric!$B$6+I81*Rubric!$B$7+J81*Rubric!$B$8+K81*Rubric!$B$9+L81*Rubric!$B$10-IF(OR(H81&lt;Rubric!$B$12,K81&lt;Rubric!$B$12),Rubric!$B$13,0),2)</f>
        <v>7.5</v>
      </c>
      <c r="N81" s="14" t="n">
        <v>72</v>
      </c>
      <c r="O81" s="2" t="s">
        <v>662</v>
      </c>
    </row>
    <row r="82" customFormat="false" ht="35.05" hidden="false" customHeight="false" outlineLevel="0" collapsed="false">
      <c r="A82" s="2" t="s">
        <v>45</v>
      </c>
      <c r="B82" s="2" t="s">
        <v>46</v>
      </c>
      <c r="C82" s="14" t="n">
        <v>0</v>
      </c>
      <c r="D82" s="14" t="n">
        <v>4</v>
      </c>
      <c r="E82" s="2" t="s">
        <v>663</v>
      </c>
      <c r="F82" s="15" t="n">
        <v>8</v>
      </c>
      <c r="G82" s="15" t="n">
        <v>7</v>
      </c>
      <c r="H82" s="15" t="n">
        <v>8</v>
      </c>
      <c r="I82" s="15" t="n">
        <v>3</v>
      </c>
      <c r="J82" s="15" t="n">
        <v>7</v>
      </c>
      <c r="K82" s="15" t="n">
        <v>7</v>
      </c>
      <c r="L82" s="15" t="n">
        <v>7</v>
      </c>
      <c r="M82" s="4" t="n">
        <f aca="false">ROUND(F82*Rubric!$B$4+G82*Rubric!$B$5+H82*Rubric!$B$6+I82*Rubric!$B$7+J82*Rubric!$B$8+K82*Rubric!$B$9+L82*Rubric!$B$10-IF(OR(H82&lt;Rubric!$B$12,K82&lt;Rubric!$B$12),Rubric!$B$13,0),2)</f>
        <v>6.75</v>
      </c>
      <c r="N82" s="14" t="n">
        <v>73</v>
      </c>
      <c r="O82" s="2" t="s">
        <v>586</v>
      </c>
    </row>
    <row r="83" customFormat="false" ht="35.05" hidden="false" customHeight="false" outlineLevel="0" collapsed="false">
      <c r="A83" s="2" t="s">
        <v>45</v>
      </c>
      <c r="B83" s="2" t="s">
        <v>46</v>
      </c>
      <c r="C83" s="14" t="n">
        <v>1</v>
      </c>
      <c r="D83" s="14" t="n">
        <v>4</v>
      </c>
      <c r="E83" s="2" t="s">
        <v>395</v>
      </c>
      <c r="F83" s="15" t="n">
        <v>9</v>
      </c>
      <c r="G83" s="15" t="n">
        <v>8</v>
      </c>
      <c r="H83" s="15" t="n">
        <v>8</v>
      </c>
      <c r="I83" s="15" t="n">
        <v>3</v>
      </c>
      <c r="J83" s="15" t="n">
        <v>7</v>
      </c>
      <c r="K83" s="15" t="n">
        <v>8</v>
      </c>
      <c r="L83" s="15" t="n">
        <v>9</v>
      </c>
      <c r="M83" s="4" t="n">
        <f aca="false">ROUND(F83*Rubric!$B$4+G83*Rubric!$B$5+H83*Rubric!$B$6+I83*Rubric!$B$7+J83*Rubric!$B$8+K83*Rubric!$B$9+L83*Rubric!$B$10-IF(OR(H83&lt;Rubric!$B$12,K83&lt;Rubric!$B$12),Rubric!$B$13,0),2)</f>
        <v>7.25</v>
      </c>
      <c r="N83" s="14" t="n">
        <v>73</v>
      </c>
      <c r="O83" s="2" t="s">
        <v>664</v>
      </c>
    </row>
    <row r="84" customFormat="false" ht="35.05" hidden="false" customHeight="false" outlineLevel="0" collapsed="false">
      <c r="A84" s="2" t="s">
        <v>45</v>
      </c>
      <c r="B84" s="2" t="s">
        <v>46</v>
      </c>
      <c r="C84" s="14" t="n">
        <v>0</v>
      </c>
      <c r="D84" s="14" t="n">
        <v>5</v>
      </c>
      <c r="E84" s="2" t="s">
        <v>396</v>
      </c>
      <c r="F84" s="15" t="n">
        <v>8</v>
      </c>
      <c r="G84" s="15" t="n">
        <v>8</v>
      </c>
      <c r="H84" s="15" t="n">
        <v>8</v>
      </c>
      <c r="I84" s="15" t="n">
        <v>9</v>
      </c>
      <c r="J84" s="15" t="n">
        <v>8</v>
      </c>
      <c r="K84" s="15" t="n">
        <v>8</v>
      </c>
      <c r="L84" s="15" t="n">
        <v>9</v>
      </c>
      <c r="M84" s="4" t="n">
        <f aca="false">ROUND(F84*Rubric!$B$4+G84*Rubric!$B$5+H84*Rubric!$B$6+I84*Rubric!$B$7+J84*Rubric!$B$8+K84*Rubric!$B$9+L84*Rubric!$B$10-IF(OR(H84&lt;Rubric!$B$12,K84&lt;Rubric!$B$12),Rubric!$B$13,0),2)</f>
        <v>8.2</v>
      </c>
      <c r="N84" s="14" t="n">
        <v>74</v>
      </c>
      <c r="O84" s="2" t="s">
        <v>586</v>
      </c>
    </row>
    <row r="85" customFormat="false" ht="23.85" hidden="false" customHeight="false" outlineLevel="0" collapsed="false">
      <c r="A85" s="2" t="s">
        <v>50</v>
      </c>
      <c r="B85" s="2" t="s">
        <v>51</v>
      </c>
      <c r="C85" s="14" t="n">
        <v>0</v>
      </c>
      <c r="D85" s="14" t="n">
        <v>1</v>
      </c>
      <c r="E85" s="2" t="s">
        <v>665</v>
      </c>
      <c r="F85" s="15" t="n">
        <v>7</v>
      </c>
      <c r="G85" s="15" t="n">
        <v>7</v>
      </c>
      <c r="H85" s="15" t="n">
        <v>8</v>
      </c>
      <c r="I85" s="15" t="n">
        <v>3</v>
      </c>
      <c r="J85" s="15" t="n">
        <v>8</v>
      </c>
      <c r="K85" s="15" t="n">
        <v>7</v>
      </c>
      <c r="L85" s="15" t="n">
        <v>6</v>
      </c>
      <c r="M85" s="4" t="n">
        <f aca="false">ROUND(F85*Rubric!$B$4+G85*Rubric!$B$5+H85*Rubric!$B$6+I85*Rubric!$B$7+J85*Rubric!$B$8+K85*Rubric!$B$9+L85*Rubric!$B$10-IF(OR(H85&lt;Rubric!$B$12,K85&lt;Rubric!$B$12),Rubric!$B$13,0),2)</f>
        <v>7</v>
      </c>
      <c r="N85" s="14" t="n">
        <v>80</v>
      </c>
      <c r="O85" s="2" t="s">
        <v>586</v>
      </c>
    </row>
    <row r="86" customFormat="false" ht="23.85" hidden="false" customHeight="false" outlineLevel="0" collapsed="false">
      <c r="A86" s="2" t="s">
        <v>50</v>
      </c>
      <c r="B86" s="2" t="s">
        <v>51</v>
      </c>
      <c r="C86" s="14" t="n">
        <v>1</v>
      </c>
      <c r="D86" s="14" t="n">
        <v>1</v>
      </c>
      <c r="E86" s="2" t="s">
        <v>666</v>
      </c>
      <c r="F86" s="15" t="n">
        <v>8</v>
      </c>
      <c r="G86" s="15" t="n">
        <v>7</v>
      </c>
      <c r="H86" s="15" t="n">
        <v>8</v>
      </c>
      <c r="I86" s="15" t="n">
        <v>3</v>
      </c>
      <c r="J86" s="15" t="n">
        <v>8</v>
      </c>
      <c r="K86" s="15" t="n">
        <v>7</v>
      </c>
      <c r="L86" s="15" t="n">
        <v>6</v>
      </c>
      <c r="M86" s="4" t="n">
        <f aca="false">ROUND(F86*Rubric!$B$4+G86*Rubric!$B$5+H86*Rubric!$B$6+I86*Rubric!$B$7+J86*Rubric!$B$8+K86*Rubric!$B$9+L86*Rubric!$B$10-IF(OR(H86&lt;Rubric!$B$12,K86&lt;Rubric!$B$12),Rubric!$B$13,0),2)</f>
        <v>7.05</v>
      </c>
      <c r="N86" s="14" t="n">
        <v>80</v>
      </c>
      <c r="O86" s="2" t="s">
        <v>667</v>
      </c>
    </row>
    <row r="87" customFormat="false" ht="23.85" hidden="false" customHeight="false" outlineLevel="0" collapsed="false">
      <c r="A87" s="2" t="s">
        <v>50</v>
      </c>
      <c r="B87" s="2" t="s">
        <v>51</v>
      </c>
      <c r="C87" s="14" t="n">
        <v>2</v>
      </c>
      <c r="D87" s="14" t="n">
        <v>1</v>
      </c>
      <c r="E87" s="2" t="s">
        <v>397</v>
      </c>
      <c r="F87" s="15" t="n">
        <v>8</v>
      </c>
      <c r="G87" s="15" t="n">
        <v>8</v>
      </c>
      <c r="H87" s="15" t="n">
        <v>7</v>
      </c>
      <c r="I87" s="15" t="n">
        <v>3</v>
      </c>
      <c r="J87" s="15" t="n">
        <v>8</v>
      </c>
      <c r="K87" s="15" t="n">
        <v>7</v>
      </c>
      <c r="L87" s="15" t="n">
        <v>8</v>
      </c>
      <c r="M87" s="4" t="n">
        <f aca="false">ROUND(F87*Rubric!$B$4+G87*Rubric!$B$5+H87*Rubric!$B$6+I87*Rubric!$B$7+J87*Rubric!$B$8+K87*Rubric!$B$9+L87*Rubric!$B$10-IF(OR(H87&lt;Rubric!$B$12,K87&lt;Rubric!$B$12),Rubric!$B$13,0),2)</f>
        <v>7.3</v>
      </c>
      <c r="N87" s="14" t="n">
        <v>80</v>
      </c>
      <c r="O87" s="2" t="s">
        <v>668</v>
      </c>
    </row>
    <row r="88" customFormat="false" ht="23.85" hidden="false" customHeight="false" outlineLevel="0" collapsed="false">
      <c r="A88" s="2" t="s">
        <v>50</v>
      </c>
      <c r="B88" s="2" t="s">
        <v>51</v>
      </c>
      <c r="C88" s="14" t="n">
        <v>0</v>
      </c>
      <c r="D88" s="14" t="n">
        <v>2</v>
      </c>
      <c r="E88" s="2" t="s">
        <v>669</v>
      </c>
      <c r="F88" s="15" t="n">
        <v>8</v>
      </c>
      <c r="G88" s="15" t="n">
        <v>8</v>
      </c>
      <c r="H88" s="15" t="n">
        <v>6</v>
      </c>
      <c r="I88" s="15" t="n">
        <v>6</v>
      </c>
      <c r="J88" s="15" t="n">
        <v>9</v>
      </c>
      <c r="K88" s="15" t="n">
        <v>5</v>
      </c>
      <c r="L88" s="15" t="n">
        <v>8</v>
      </c>
      <c r="M88" s="4" t="n">
        <f aca="false">ROUND(F88*Rubric!$B$4+G88*Rubric!$B$5+H88*Rubric!$B$6+I88*Rubric!$B$7+J88*Rubric!$B$8+K88*Rubric!$B$9+L88*Rubric!$B$10-IF(OR(H88&lt;Rubric!$B$12,K88&lt;Rubric!$B$12),Rubric!$B$13,0),2)</f>
        <v>6.7</v>
      </c>
      <c r="N88" s="14" t="n">
        <v>81</v>
      </c>
      <c r="O88" s="2" t="s">
        <v>586</v>
      </c>
    </row>
    <row r="89" customFormat="false" ht="23.85" hidden="false" customHeight="false" outlineLevel="0" collapsed="false">
      <c r="A89" s="2" t="s">
        <v>50</v>
      </c>
      <c r="B89" s="2" t="s">
        <v>51</v>
      </c>
      <c r="C89" s="14" t="n">
        <v>1</v>
      </c>
      <c r="D89" s="14" t="n">
        <v>2</v>
      </c>
      <c r="E89" s="2" t="s">
        <v>398</v>
      </c>
      <c r="F89" s="15" t="n">
        <v>8</v>
      </c>
      <c r="G89" s="15" t="n">
        <v>8</v>
      </c>
      <c r="H89" s="15" t="n">
        <v>7</v>
      </c>
      <c r="I89" s="15" t="n">
        <v>9</v>
      </c>
      <c r="J89" s="15" t="n">
        <v>9</v>
      </c>
      <c r="K89" s="15" t="n">
        <v>7</v>
      </c>
      <c r="L89" s="15" t="n">
        <v>9</v>
      </c>
      <c r="M89" s="4" t="n">
        <f aca="false">ROUND(F89*Rubric!$B$4+G89*Rubric!$B$5+H89*Rubric!$B$6+I89*Rubric!$B$7+J89*Rubric!$B$8+K89*Rubric!$B$9+L89*Rubric!$B$10-IF(OR(H89&lt;Rubric!$B$12,K89&lt;Rubric!$B$12),Rubric!$B$13,0),2)</f>
        <v>8.4</v>
      </c>
      <c r="N89" s="14" t="n">
        <v>81</v>
      </c>
      <c r="O89" s="2" t="s">
        <v>670</v>
      </c>
    </row>
    <row r="90" customFormat="false" ht="23.85" hidden="false" customHeight="false" outlineLevel="0" collapsed="false">
      <c r="A90" s="2" t="s">
        <v>50</v>
      </c>
      <c r="B90" s="2" t="s">
        <v>51</v>
      </c>
      <c r="C90" s="14" t="n">
        <v>0</v>
      </c>
      <c r="D90" s="14" t="n">
        <v>3</v>
      </c>
      <c r="E90" s="2" t="s">
        <v>399</v>
      </c>
      <c r="F90" s="15" t="n">
        <v>9</v>
      </c>
      <c r="G90" s="15" t="n">
        <v>9</v>
      </c>
      <c r="H90" s="15" t="n">
        <v>7</v>
      </c>
      <c r="I90" s="15" t="n">
        <v>10</v>
      </c>
      <c r="J90" s="15" t="n">
        <v>10</v>
      </c>
      <c r="K90" s="15" t="n">
        <v>8</v>
      </c>
      <c r="L90" s="15" t="n">
        <v>10</v>
      </c>
      <c r="M90" s="4" t="n">
        <f aca="false">ROUND(F90*Rubric!$B$4+G90*Rubric!$B$5+H90*Rubric!$B$6+I90*Rubric!$B$7+J90*Rubric!$B$8+K90*Rubric!$B$9+L90*Rubric!$B$10-IF(OR(H90&lt;Rubric!$B$12,K90&lt;Rubric!$B$12),Rubric!$B$13,0),2)</f>
        <v>9.3</v>
      </c>
      <c r="N90" s="14" t="n">
        <v>82</v>
      </c>
      <c r="O90" s="2" t="s">
        <v>586</v>
      </c>
    </row>
    <row r="91" customFormat="false" ht="23.85" hidden="false" customHeight="false" outlineLevel="0" collapsed="false">
      <c r="A91" s="2" t="s">
        <v>50</v>
      </c>
      <c r="B91" s="2" t="s">
        <v>51</v>
      </c>
      <c r="C91" s="14" t="n">
        <v>0</v>
      </c>
      <c r="D91" s="14" t="n">
        <v>4</v>
      </c>
      <c r="E91" s="2" t="s">
        <v>671</v>
      </c>
      <c r="F91" s="15" t="n">
        <v>8</v>
      </c>
      <c r="G91" s="15" t="n">
        <v>8</v>
      </c>
      <c r="H91" s="15" t="n">
        <v>7</v>
      </c>
      <c r="I91" s="15" t="n">
        <v>10</v>
      </c>
      <c r="J91" s="15" t="n">
        <v>9</v>
      </c>
      <c r="K91" s="15" t="n">
        <v>6</v>
      </c>
      <c r="L91" s="15" t="n">
        <v>8</v>
      </c>
      <c r="M91" s="4" t="n">
        <f aca="false">ROUND(F91*Rubric!$B$4+G91*Rubric!$B$5+H91*Rubric!$B$6+I91*Rubric!$B$7+J91*Rubric!$B$8+K91*Rubric!$B$9+L91*Rubric!$B$10-IF(OR(H91&lt;Rubric!$B$12,K91&lt;Rubric!$B$12),Rubric!$B$13,0),2)</f>
        <v>7.3</v>
      </c>
      <c r="N91" s="14" t="n">
        <v>83</v>
      </c>
      <c r="O91" s="2" t="s">
        <v>586</v>
      </c>
    </row>
    <row r="92" customFormat="false" ht="23.85" hidden="false" customHeight="false" outlineLevel="0" collapsed="false">
      <c r="A92" s="2" t="s">
        <v>50</v>
      </c>
      <c r="B92" s="2" t="s">
        <v>51</v>
      </c>
      <c r="C92" s="14" t="n">
        <v>1</v>
      </c>
      <c r="D92" s="14" t="n">
        <v>4</v>
      </c>
      <c r="E92" s="2" t="s">
        <v>400</v>
      </c>
      <c r="F92" s="15" t="n">
        <v>7</v>
      </c>
      <c r="G92" s="15" t="n">
        <v>8</v>
      </c>
      <c r="H92" s="15" t="n">
        <v>8</v>
      </c>
      <c r="I92" s="15" t="n">
        <v>10</v>
      </c>
      <c r="J92" s="15" t="n">
        <v>9</v>
      </c>
      <c r="K92" s="15" t="n">
        <v>8</v>
      </c>
      <c r="L92" s="15" t="n">
        <v>9</v>
      </c>
      <c r="M92" s="4" t="n">
        <f aca="false">ROUND(F92*Rubric!$B$4+G92*Rubric!$B$5+H92*Rubric!$B$6+I92*Rubric!$B$7+J92*Rubric!$B$8+K92*Rubric!$B$9+L92*Rubric!$B$10-IF(OR(H92&lt;Rubric!$B$12,K92&lt;Rubric!$B$12),Rubric!$B$13,0),2)</f>
        <v>8.65</v>
      </c>
      <c r="N92" s="14" t="n">
        <v>83</v>
      </c>
      <c r="O92" s="2" t="s">
        <v>672</v>
      </c>
    </row>
    <row r="93" customFormat="false" ht="23.85" hidden="false" customHeight="false" outlineLevel="0" collapsed="false">
      <c r="A93" s="2" t="s">
        <v>50</v>
      </c>
      <c r="B93" s="2" t="s">
        <v>51</v>
      </c>
      <c r="C93" s="14" t="n">
        <v>0</v>
      </c>
      <c r="D93" s="14" t="n">
        <v>5</v>
      </c>
      <c r="E93" s="2" t="s">
        <v>673</v>
      </c>
      <c r="F93" s="15" t="n">
        <v>8</v>
      </c>
      <c r="G93" s="15" t="n">
        <v>7</v>
      </c>
      <c r="H93" s="15" t="n">
        <v>8</v>
      </c>
      <c r="I93" s="15" t="n">
        <v>4</v>
      </c>
      <c r="J93" s="15" t="n">
        <v>9</v>
      </c>
      <c r="K93" s="15" t="n">
        <v>7</v>
      </c>
      <c r="L93" s="15" t="n">
        <v>7</v>
      </c>
      <c r="M93" s="4" t="n">
        <f aca="false">ROUND(F93*Rubric!$B$4+G93*Rubric!$B$5+H93*Rubric!$B$6+I93*Rubric!$B$7+J93*Rubric!$B$8+K93*Rubric!$B$9+L93*Rubric!$B$10-IF(OR(H93&lt;Rubric!$B$12,K93&lt;Rubric!$B$12),Rubric!$B$13,0),2)</f>
        <v>7.65</v>
      </c>
      <c r="N93" s="14" t="n">
        <v>84</v>
      </c>
      <c r="O93" s="2" t="s">
        <v>586</v>
      </c>
    </row>
    <row r="94" customFormat="false" ht="23.85" hidden="false" customHeight="false" outlineLevel="0" collapsed="false">
      <c r="A94" s="2" t="s">
        <v>50</v>
      </c>
      <c r="B94" s="2" t="s">
        <v>51</v>
      </c>
      <c r="C94" s="14" t="n">
        <v>3</v>
      </c>
      <c r="D94" s="14" t="n">
        <v>5</v>
      </c>
      <c r="E94" s="2" t="s">
        <v>401</v>
      </c>
      <c r="F94" s="15" t="n">
        <v>8</v>
      </c>
      <c r="G94" s="15" t="n">
        <v>9</v>
      </c>
      <c r="H94" s="15" t="n">
        <v>8</v>
      </c>
      <c r="I94" s="15" t="n">
        <v>5</v>
      </c>
      <c r="J94" s="15" t="n">
        <v>9</v>
      </c>
      <c r="K94" s="15" t="n">
        <v>8</v>
      </c>
      <c r="L94" s="15" t="n">
        <v>8</v>
      </c>
      <c r="M94" s="4" t="n">
        <f aca="false">ROUND(F94*Rubric!$B$4+G94*Rubric!$B$5+H94*Rubric!$B$6+I94*Rubric!$B$7+J94*Rubric!$B$8+K94*Rubric!$B$9+L94*Rubric!$B$10-IF(OR(H94&lt;Rubric!$B$12,K94&lt;Rubric!$B$12),Rubric!$B$13,0),2)</f>
        <v>8.25</v>
      </c>
      <c r="N94" s="14" t="n">
        <v>84</v>
      </c>
      <c r="O94" s="2" t="s">
        <v>674</v>
      </c>
    </row>
    <row r="95" customFormat="false" ht="23.85" hidden="false" customHeight="false" outlineLevel="0" collapsed="false">
      <c r="A95" s="2" t="s">
        <v>55</v>
      </c>
      <c r="B95" s="2" t="s">
        <v>56</v>
      </c>
      <c r="C95" s="14" t="n">
        <v>0</v>
      </c>
      <c r="D95" s="14" t="n">
        <v>1</v>
      </c>
      <c r="E95" s="2" t="s">
        <v>402</v>
      </c>
      <c r="F95" s="15" t="n">
        <v>9</v>
      </c>
      <c r="G95" s="15" t="n">
        <v>9</v>
      </c>
      <c r="H95" s="15" t="n">
        <v>7</v>
      </c>
      <c r="I95" s="15" t="n">
        <v>4</v>
      </c>
      <c r="J95" s="15" t="n">
        <v>8</v>
      </c>
      <c r="K95" s="15" t="n">
        <v>7</v>
      </c>
      <c r="L95" s="15" t="n">
        <v>8</v>
      </c>
      <c r="M95" s="4" t="n">
        <f aca="false">ROUND(F95*Rubric!$B$4+G95*Rubric!$B$5+H95*Rubric!$B$6+I95*Rubric!$B$7+J95*Rubric!$B$8+K95*Rubric!$B$9+L95*Rubric!$B$10-IF(OR(H95&lt;Rubric!$B$12,K95&lt;Rubric!$B$12),Rubric!$B$13,0),2)</f>
        <v>7.6</v>
      </c>
      <c r="N95" s="14" t="n">
        <v>90</v>
      </c>
      <c r="O95" s="2" t="s">
        <v>586</v>
      </c>
    </row>
    <row r="96" customFormat="false" ht="23.85" hidden="false" customHeight="false" outlineLevel="0" collapsed="false">
      <c r="A96" s="2" t="s">
        <v>55</v>
      </c>
      <c r="B96" s="2" t="s">
        <v>56</v>
      </c>
      <c r="C96" s="14" t="n">
        <v>0</v>
      </c>
      <c r="D96" s="14" t="n">
        <v>2</v>
      </c>
      <c r="E96" s="2" t="s">
        <v>675</v>
      </c>
      <c r="F96" s="15" t="n">
        <v>8</v>
      </c>
      <c r="G96" s="15" t="n">
        <v>7</v>
      </c>
      <c r="H96" s="15" t="n">
        <v>8</v>
      </c>
      <c r="I96" s="15" t="n">
        <v>3</v>
      </c>
      <c r="J96" s="15" t="n">
        <v>7</v>
      </c>
      <c r="K96" s="15" t="n">
        <v>7</v>
      </c>
      <c r="L96" s="15" t="n">
        <v>5</v>
      </c>
      <c r="M96" s="4" t="n">
        <f aca="false">ROUND(F96*Rubric!$B$4+G96*Rubric!$B$5+H96*Rubric!$B$6+I96*Rubric!$B$7+J96*Rubric!$B$8+K96*Rubric!$B$9+L96*Rubric!$B$10-IF(OR(H96&lt;Rubric!$B$12,K96&lt;Rubric!$B$12),Rubric!$B$13,0),2)</f>
        <v>6.55</v>
      </c>
      <c r="N96" s="14" t="n">
        <v>91</v>
      </c>
      <c r="O96" s="2" t="s">
        <v>586</v>
      </c>
    </row>
    <row r="97" customFormat="false" ht="23.85" hidden="false" customHeight="false" outlineLevel="0" collapsed="false">
      <c r="A97" s="2" t="s">
        <v>55</v>
      </c>
      <c r="B97" s="2" t="s">
        <v>56</v>
      </c>
      <c r="C97" s="14" t="n">
        <v>1</v>
      </c>
      <c r="D97" s="14" t="n">
        <v>2</v>
      </c>
      <c r="E97" s="2" t="s">
        <v>676</v>
      </c>
      <c r="F97" s="15" t="n">
        <v>8</v>
      </c>
      <c r="G97" s="15" t="n">
        <v>7</v>
      </c>
      <c r="H97" s="15" t="n">
        <v>8</v>
      </c>
      <c r="I97" s="15" t="n">
        <v>3</v>
      </c>
      <c r="J97" s="15" t="n">
        <v>7</v>
      </c>
      <c r="K97" s="15" t="n">
        <v>7</v>
      </c>
      <c r="L97" s="15" t="n">
        <v>6</v>
      </c>
      <c r="M97" s="4" t="n">
        <f aca="false">ROUND(F97*Rubric!$B$4+G97*Rubric!$B$5+H97*Rubric!$B$6+I97*Rubric!$B$7+J97*Rubric!$B$8+K97*Rubric!$B$9+L97*Rubric!$B$10-IF(OR(H97&lt;Rubric!$B$12,K97&lt;Rubric!$B$12),Rubric!$B$13,0),2)</f>
        <v>6.65</v>
      </c>
      <c r="N97" s="14" t="n">
        <v>91</v>
      </c>
      <c r="O97" s="2" t="s">
        <v>677</v>
      </c>
    </row>
    <row r="98" customFormat="false" ht="23.85" hidden="false" customHeight="false" outlineLevel="0" collapsed="false">
      <c r="A98" s="2" t="s">
        <v>55</v>
      </c>
      <c r="B98" s="2" t="s">
        <v>56</v>
      </c>
      <c r="C98" s="14" t="n">
        <v>2</v>
      </c>
      <c r="D98" s="14" t="n">
        <v>2</v>
      </c>
      <c r="E98" s="2" t="s">
        <v>403</v>
      </c>
      <c r="F98" s="15" t="n">
        <v>7</v>
      </c>
      <c r="G98" s="15" t="n">
        <v>8</v>
      </c>
      <c r="H98" s="15" t="n">
        <v>8</v>
      </c>
      <c r="I98" s="15" t="n">
        <v>7</v>
      </c>
      <c r="J98" s="15" t="n">
        <v>8</v>
      </c>
      <c r="K98" s="15" t="n">
        <v>8</v>
      </c>
      <c r="L98" s="15" t="n">
        <v>8</v>
      </c>
      <c r="M98" s="4" t="n">
        <f aca="false">ROUND(F98*Rubric!$B$4+G98*Rubric!$B$5+H98*Rubric!$B$6+I98*Rubric!$B$7+J98*Rubric!$B$8+K98*Rubric!$B$9+L98*Rubric!$B$10-IF(OR(H98&lt;Rubric!$B$12,K98&lt;Rubric!$B$12),Rubric!$B$13,0),2)</f>
        <v>7.85</v>
      </c>
      <c r="N98" s="14" t="n">
        <v>91</v>
      </c>
      <c r="O98" s="2" t="s">
        <v>678</v>
      </c>
    </row>
    <row r="99" customFormat="false" ht="23.85" hidden="false" customHeight="false" outlineLevel="0" collapsed="false">
      <c r="A99" s="2" t="s">
        <v>55</v>
      </c>
      <c r="B99" s="2" t="s">
        <v>56</v>
      </c>
      <c r="C99" s="14" t="n">
        <v>0</v>
      </c>
      <c r="D99" s="14" t="n">
        <v>3</v>
      </c>
      <c r="E99" s="2" t="s">
        <v>404</v>
      </c>
      <c r="F99" s="15" t="n">
        <v>8</v>
      </c>
      <c r="G99" s="15" t="n">
        <v>8</v>
      </c>
      <c r="H99" s="15" t="n">
        <v>7</v>
      </c>
      <c r="I99" s="15" t="n">
        <v>10</v>
      </c>
      <c r="J99" s="15" t="n">
        <v>10</v>
      </c>
      <c r="K99" s="15" t="n">
        <v>7</v>
      </c>
      <c r="L99" s="15" t="n">
        <v>9</v>
      </c>
      <c r="M99" s="4" t="n">
        <f aca="false">ROUND(F99*Rubric!$B$4+G99*Rubric!$B$5+H99*Rubric!$B$6+I99*Rubric!$B$7+J99*Rubric!$B$8+K99*Rubric!$B$9+L99*Rubric!$B$10-IF(OR(H99&lt;Rubric!$B$12,K99&lt;Rubric!$B$12),Rubric!$B$13,0),2)</f>
        <v>8.9</v>
      </c>
      <c r="N99" s="14" t="n">
        <v>92</v>
      </c>
      <c r="O99" s="2" t="s">
        <v>586</v>
      </c>
    </row>
    <row r="100" customFormat="false" ht="23.85" hidden="false" customHeight="false" outlineLevel="0" collapsed="false">
      <c r="A100" s="2" t="s">
        <v>55</v>
      </c>
      <c r="B100" s="2" t="s">
        <v>56</v>
      </c>
      <c r="C100" s="14" t="n">
        <v>0</v>
      </c>
      <c r="D100" s="14" t="n">
        <v>4</v>
      </c>
      <c r="E100" s="2" t="s">
        <v>679</v>
      </c>
      <c r="F100" s="15" t="n">
        <v>7</v>
      </c>
      <c r="G100" s="15" t="n">
        <v>6</v>
      </c>
      <c r="H100" s="15" t="n">
        <v>7</v>
      </c>
      <c r="I100" s="15" t="n">
        <v>3</v>
      </c>
      <c r="J100" s="15" t="n">
        <v>7</v>
      </c>
      <c r="K100" s="15" t="n">
        <v>7</v>
      </c>
      <c r="L100" s="15" t="n">
        <v>6</v>
      </c>
      <c r="M100" s="4" t="n">
        <f aca="false">ROUND(F100*Rubric!$B$4+G100*Rubric!$B$5+H100*Rubric!$B$6+I100*Rubric!$B$7+J100*Rubric!$B$8+K100*Rubric!$B$9+L100*Rubric!$B$10-IF(OR(H100&lt;Rubric!$B$12,K100&lt;Rubric!$B$12),Rubric!$B$13,0),2)</f>
        <v>6.35</v>
      </c>
      <c r="N100" s="14" t="n">
        <v>93</v>
      </c>
      <c r="O100" s="2" t="s">
        <v>586</v>
      </c>
    </row>
    <row r="101" customFormat="false" ht="23.85" hidden="false" customHeight="false" outlineLevel="0" collapsed="false">
      <c r="A101" s="2" t="s">
        <v>55</v>
      </c>
      <c r="B101" s="2" t="s">
        <v>56</v>
      </c>
      <c r="C101" s="14" t="n">
        <v>1</v>
      </c>
      <c r="D101" s="14" t="n">
        <v>4</v>
      </c>
      <c r="E101" s="2" t="s">
        <v>680</v>
      </c>
      <c r="F101" s="15" t="n">
        <v>8</v>
      </c>
      <c r="G101" s="15" t="n">
        <v>7</v>
      </c>
      <c r="H101" s="15" t="n">
        <v>8</v>
      </c>
      <c r="I101" s="15" t="n">
        <v>4</v>
      </c>
      <c r="J101" s="15" t="n">
        <v>7</v>
      </c>
      <c r="K101" s="15" t="n">
        <v>7</v>
      </c>
      <c r="L101" s="15" t="n">
        <v>8</v>
      </c>
      <c r="M101" s="4" t="n">
        <f aca="false">ROUND(F101*Rubric!$B$4+G101*Rubric!$B$5+H101*Rubric!$B$6+I101*Rubric!$B$7+J101*Rubric!$B$8+K101*Rubric!$B$9+L101*Rubric!$B$10-IF(OR(H101&lt;Rubric!$B$12,K101&lt;Rubric!$B$12),Rubric!$B$13,0),2)</f>
        <v>6.95</v>
      </c>
      <c r="N101" s="14" t="n">
        <v>93</v>
      </c>
      <c r="O101" s="2" t="s">
        <v>681</v>
      </c>
    </row>
    <row r="102" customFormat="false" ht="23.85" hidden="false" customHeight="false" outlineLevel="0" collapsed="false">
      <c r="A102" s="2" t="s">
        <v>55</v>
      </c>
      <c r="B102" s="2" t="s">
        <v>56</v>
      </c>
      <c r="C102" s="14" t="n">
        <v>2</v>
      </c>
      <c r="D102" s="14" t="n">
        <v>4</v>
      </c>
      <c r="E102" s="2" t="s">
        <v>405</v>
      </c>
      <c r="F102" s="15" t="n">
        <v>9</v>
      </c>
      <c r="G102" s="15" t="n">
        <v>8</v>
      </c>
      <c r="H102" s="15" t="n">
        <v>8</v>
      </c>
      <c r="I102" s="15" t="n">
        <v>4</v>
      </c>
      <c r="J102" s="15" t="n">
        <v>7</v>
      </c>
      <c r="K102" s="15" t="n">
        <v>8</v>
      </c>
      <c r="L102" s="15" t="n">
        <v>8</v>
      </c>
      <c r="M102" s="4" t="n">
        <f aca="false">ROUND(F102*Rubric!$B$4+G102*Rubric!$B$5+H102*Rubric!$B$6+I102*Rubric!$B$7+J102*Rubric!$B$8+K102*Rubric!$B$9+L102*Rubric!$B$10-IF(OR(H102&lt;Rubric!$B$12,K102&lt;Rubric!$B$12),Rubric!$B$13,0),2)</f>
        <v>7.25</v>
      </c>
      <c r="N102" s="14" t="n">
        <v>93</v>
      </c>
      <c r="O102" s="2" t="s">
        <v>682</v>
      </c>
    </row>
    <row r="103" customFormat="false" ht="23.85" hidden="false" customHeight="false" outlineLevel="0" collapsed="false">
      <c r="A103" s="2" t="s">
        <v>55</v>
      </c>
      <c r="B103" s="2" t="s">
        <v>56</v>
      </c>
      <c r="C103" s="14" t="n">
        <v>0</v>
      </c>
      <c r="D103" s="14" t="n">
        <v>5</v>
      </c>
      <c r="E103" s="2" t="s">
        <v>683</v>
      </c>
      <c r="F103" s="15" t="n">
        <v>8</v>
      </c>
      <c r="G103" s="15" t="n">
        <v>7</v>
      </c>
      <c r="H103" s="15" t="n">
        <v>8</v>
      </c>
      <c r="I103" s="15" t="n">
        <v>3</v>
      </c>
      <c r="J103" s="15" t="n">
        <v>6</v>
      </c>
      <c r="K103" s="15" t="n">
        <v>7</v>
      </c>
      <c r="L103" s="15" t="n">
        <v>6</v>
      </c>
      <c r="M103" s="4" t="n">
        <f aca="false">ROUND(F103*Rubric!$B$4+G103*Rubric!$B$5+H103*Rubric!$B$6+I103*Rubric!$B$7+J103*Rubric!$B$8+K103*Rubric!$B$9+L103*Rubric!$B$10-IF(OR(H103&lt;Rubric!$B$12,K103&lt;Rubric!$B$12),Rubric!$B$13,0),2)</f>
        <v>6.25</v>
      </c>
      <c r="N103" s="14" t="n">
        <v>94</v>
      </c>
      <c r="O103" s="2" t="s">
        <v>586</v>
      </c>
    </row>
    <row r="104" customFormat="false" ht="23.85" hidden="false" customHeight="false" outlineLevel="0" collapsed="false">
      <c r="A104" s="2" t="s">
        <v>55</v>
      </c>
      <c r="B104" s="2" t="s">
        <v>56</v>
      </c>
      <c r="C104" s="14" t="n">
        <v>1</v>
      </c>
      <c r="D104" s="14" t="n">
        <v>5</v>
      </c>
      <c r="E104" s="2" t="s">
        <v>406</v>
      </c>
      <c r="F104" s="15" t="n">
        <v>9</v>
      </c>
      <c r="G104" s="15" t="n">
        <v>8</v>
      </c>
      <c r="H104" s="15" t="n">
        <v>8</v>
      </c>
      <c r="I104" s="15" t="n">
        <v>3</v>
      </c>
      <c r="J104" s="15" t="n">
        <v>7</v>
      </c>
      <c r="K104" s="15" t="n">
        <v>8</v>
      </c>
      <c r="L104" s="15" t="n">
        <v>9</v>
      </c>
      <c r="M104" s="4" t="n">
        <f aca="false">ROUND(F104*Rubric!$B$4+G104*Rubric!$B$5+H104*Rubric!$B$6+I104*Rubric!$B$7+J104*Rubric!$B$8+K104*Rubric!$B$9+L104*Rubric!$B$10-IF(OR(H104&lt;Rubric!$B$12,K104&lt;Rubric!$B$12),Rubric!$B$13,0),2)</f>
        <v>7.25</v>
      </c>
      <c r="N104" s="14" t="n">
        <v>94</v>
      </c>
      <c r="O104" s="2" t="s">
        <v>684</v>
      </c>
    </row>
    <row r="105" customFormat="false" ht="23.85" hidden="false" customHeight="false" outlineLevel="0" collapsed="false">
      <c r="A105" s="2" t="s">
        <v>59</v>
      </c>
      <c r="B105" s="2" t="s">
        <v>60</v>
      </c>
      <c r="C105" s="14" t="n">
        <v>0</v>
      </c>
      <c r="D105" s="14" t="n">
        <v>1</v>
      </c>
      <c r="E105" s="2" t="s">
        <v>685</v>
      </c>
      <c r="F105" s="15" t="n">
        <v>8</v>
      </c>
      <c r="G105" s="15" t="n">
        <v>8</v>
      </c>
      <c r="H105" s="15" t="n">
        <v>7</v>
      </c>
      <c r="I105" s="15" t="n">
        <v>10</v>
      </c>
      <c r="J105" s="15" t="n">
        <v>10</v>
      </c>
      <c r="K105" s="15" t="n">
        <v>6</v>
      </c>
      <c r="L105" s="15" t="n">
        <v>8</v>
      </c>
      <c r="M105" s="4" t="n">
        <f aca="false">ROUND(F105*Rubric!$B$4+G105*Rubric!$B$5+H105*Rubric!$B$6+I105*Rubric!$B$7+J105*Rubric!$B$8+K105*Rubric!$B$9+L105*Rubric!$B$10-IF(OR(H105&lt;Rubric!$B$12,K105&lt;Rubric!$B$12),Rubric!$B$13,0),2)</f>
        <v>7.7</v>
      </c>
      <c r="N105" s="14" t="n">
        <v>100</v>
      </c>
      <c r="O105" s="2" t="s">
        <v>586</v>
      </c>
    </row>
    <row r="106" customFormat="false" ht="23.85" hidden="false" customHeight="false" outlineLevel="0" collapsed="false">
      <c r="A106" s="2" t="s">
        <v>59</v>
      </c>
      <c r="B106" s="2" t="s">
        <v>60</v>
      </c>
      <c r="C106" s="14" t="n">
        <v>2</v>
      </c>
      <c r="D106" s="14" t="n">
        <v>1</v>
      </c>
      <c r="E106" s="2" t="s">
        <v>407</v>
      </c>
      <c r="F106" s="15" t="n">
        <v>8</v>
      </c>
      <c r="G106" s="15" t="n">
        <v>8</v>
      </c>
      <c r="H106" s="15" t="n">
        <v>7</v>
      </c>
      <c r="I106" s="15" t="n">
        <v>10</v>
      </c>
      <c r="J106" s="15" t="n">
        <v>10</v>
      </c>
      <c r="K106" s="15" t="n">
        <v>7</v>
      </c>
      <c r="L106" s="15" t="n">
        <v>9</v>
      </c>
      <c r="M106" s="4" t="n">
        <f aca="false">ROUND(F106*Rubric!$B$4+G106*Rubric!$B$5+H106*Rubric!$B$6+I106*Rubric!$B$7+J106*Rubric!$B$8+K106*Rubric!$B$9+L106*Rubric!$B$10-IF(OR(H106&lt;Rubric!$B$12,K106&lt;Rubric!$B$12),Rubric!$B$13,0),2)</f>
        <v>8.9</v>
      </c>
      <c r="N106" s="14" t="n">
        <v>100</v>
      </c>
      <c r="O106" s="2" t="s">
        <v>686</v>
      </c>
    </row>
    <row r="107" customFormat="false" ht="23.85" hidden="false" customHeight="false" outlineLevel="0" collapsed="false">
      <c r="A107" s="2" t="s">
        <v>59</v>
      </c>
      <c r="B107" s="2" t="s">
        <v>60</v>
      </c>
      <c r="C107" s="14" t="n">
        <v>0</v>
      </c>
      <c r="D107" s="14" t="n">
        <v>2</v>
      </c>
      <c r="E107" s="2" t="s">
        <v>408</v>
      </c>
      <c r="F107" s="15" t="n">
        <v>9</v>
      </c>
      <c r="G107" s="15" t="n">
        <v>8</v>
      </c>
      <c r="H107" s="15" t="n">
        <v>8</v>
      </c>
      <c r="I107" s="15" t="n">
        <v>10</v>
      </c>
      <c r="J107" s="15" t="n">
        <v>9</v>
      </c>
      <c r="K107" s="15" t="n">
        <v>8</v>
      </c>
      <c r="L107" s="15" t="n">
        <v>9</v>
      </c>
      <c r="M107" s="4" t="n">
        <f aca="false">ROUND(F107*Rubric!$B$4+G107*Rubric!$B$5+H107*Rubric!$B$6+I107*Rubric!$B$7+J107*Rubric!$B$8+K107*Rubric!$B$9+L107*Rubric!$B$10-IF(OR(H107&lt;Rubric!$B$12,K107&lt;Rubric!$B$12),Rubric!$B$13,0),2)</f>
        <v>8.75</v>
      </c>
      <c r="N107" s="14" t="n">
        <v>101</v>
      </c>
      <c r="O107" s="2" t="s">
        <v>586</v>
      </c>
    </row>
    <row r="108" customFormat="false" ht="23.85" hidden="false" customHeight="false" outlineLevel="0" collapsed="false">
      <c r="A108" s="2" t="s">
        <v>59</v>
      </c>
      <c r="B108" s="2" t="s">
        <v>60</v>
      </c>
      <c r="C108" s="14" t="n">
        <v>0</v>
      </c>
      <c r="D108" s="14" t="n">
        <v>3</v>
      </c>
      <c r="E108" s="2" t="s">
        <v>409</v>
      </c>
      <c r="F108" s="15" t="n">
        <v>9</v>
      </c>
      <c r="G108" s="15" t="n">
        <v>9</v>
      </c>
      <c r="H108" s="15" t="n">
        <v>8</v>
      </c>
      <c r="I108" s="15" t="n">
        <v>3</v>
      </c>
      <c r="J108" s="15" t="n">
        <v>8</v>
      </c>
      <c r="K108" s="15" t="n">
        <v>9</v>
      </c>
      <c r="L108" s="15" t="n">
        <v>8</v>
      </c>
      <c r="M108" s="4" t="n">
        <f aca="false">ROUND(F108*Rubric!$B$4+G108*Rubric!$B$5+H108*Rubric!$B$6+I108*Rubric!$B$7+J108*Rubric!$B$8+K108*Rubric!$B$9+L108*Rubric!$B$10-IF(OR(H108&lt;Rubric!$B$12,K108&lt;Rubric!$B$12),Rubric!$B$13,0),2)</f>
        <v>7.8</v>
      </c>
      <c r="N108" s="14" t="n">
        <v>102</v>
      </c>
      <c r="O108" s="2" t="s">
        <v>586</v>
      </c>
    </row>
    <row r="109" customFormat="false" ht="23.85" hidden="false" customHeight="false" outlineLevel="0" collapsed="false">
      <c r="A109" s="2" t="s">
        <v>59</v>
      </c>
      <c r="B109" s="2" t="s">
        <v>60</v>
      </c>
      <c r="C109" s="14" t="n">
        <v>0</v>
      </c>
      <c r="D109" s="14" t="n">
        <v>4</v>
      </c>
      <c r="E109" s="2" t="s">
        <v>687</v>
      </c>
      <c r="F109" s="15" t="n">
        <v>8</v>
      </c>
      <c r="G109" s="15" t="n">
        <v>7</v>
      </c>
      <c r="H109" s="15" t="n">
        <v>8</v>
      </c>
      <c r="I109" s="15" t="n">
        <v>5</v>
      </c>
      <c r="J109" s="15" t="n">
        <v>8</v>
      </c>
      <c r="K109" s="15" t="n">
        <v>7</v>
      </c>
      <c r="L109" s="15" t="n">
        <v>8</v>
      </c>
      <c r="M109" s="4" t="n">
        <f aca="false">ROUND(F109*Rubric!$B$4+G109*Rubric!$B$5+H109*Rubric!$B$6+I109*Rubric!$B$7+J109*Rubric!$B$8+K109*Rubric!$B$9+L109*Rubric!$B$10-IF(OR(H109&lt;Rubric!$B$12,K109&lt;Rubric!$B$12),Rubric!$B$13,0),2)</f>
        <v>7.45</v>
      </c>
      <c r="N109" s="14" t="n">
        <v>103</v>
      </c>
      <c r="O109" s="2" t="s">
        <v>586</v>
      </c>
    </row>
    <row r="110" customFormat="false" ht="23.85" hidden="false" customHeight="false" outlineLevel="0" collapsed="false">
      <c r="A110" s="2" t="s">
        <v>59</v>
      </c>
      <c r="B110" s="2" t="s">
        <v>60</v>
      </c>
      <c r="C110" s="14" t="n">
        <v>3</v>
      </c>
      <c r="D110" s="14" t="n">
        <v>4</v>
      </c>
      <c r="E110" s="2" t="s">
        <v>410</v>
      </c>
      <c r="F110" s="15" t="n">
        <v>9</v>
      </c>
      <c r="G110" s="15" t="n">
        <v>8</v>
      </c>
      <c r="H110" s="15" t="n">
        <v>8</v>
      </c>
      <c r="I110" s="15" t="n">
        <v>5</v>
      </c>
      <c r="J110" s="15" t="n">
        <v>8</v>
      </c>
      <c r="K110" s="15" t="n">
        <v>7</v>
      </c>
      <c r="L110" s="15" t="n">
        <v>8</v>
      </c>
      <c r="M110" s="4" t="n">
        <f aca="false">ROUND(F110*Rubric!$B$4+G110*Rubric!$B$5+H110*Rubric!$B$6+I110*Rubric!$B$7+J110*Rubric!$B$8+K110*Rubric!$B$9+L110*Rubric!$B$10-IF(OR(H110&lt;Rubric!$B$12,K110&lt;Rubric!$B$12),Rubric!$B$13,0),2)</f>
        <v>7.65</v>
      </c>
      <c r="N110" s="14" t="n">
        <v>103</v>
      </c>
      <c r="O110" s="2" t="s">
        <v>688</v>
      </c>
    </row>
    <row r="111" customFormat="false" ht="23.85" hidden="false" customHeight="false" outlineLevel="0" collapsed="false">
      <c r="A111" s="2" t="s">
        <v>59</v>
      </c>
      <c r="B111" s="2" t="s">
        <v>60</v>
      </c>
      <c r="C111" s="14" t="n">
        <v>0</v>
      </c>
      <c r="D111" s="14" t="n">
        <v>5</v>
      </c>
      <c r="E111" s="2" t="s">
        <v>689</v>
      </c>
      <c r="F111" s="15" t="n">
        <v>7</v>
      </c>
      <c r="G111" s="15" t="n">
        <v>6</v>
      </c>
      <c r="H111" s="15" t="n">
        <v>8</v>
      </c>
      <c r="I111" s="15" t="n">
        <v>3</v>
      </c>
      <c r="J111" s="15" t="n">
        <v>6</v>
      </c>
      <c r="K111" s="15" t="n">
        <v>6</v>
      </c>
      <c r="L111" s="15" t="n">
        <v>5</v>
      </c>
      <c r="M111" s="4" t="n">
        <f aca="false">ROUND(F111*Rubric!$B$4+G111*Rubric!$B$5+H111*Rubric!$B$6+I111*Rubric!$B$7+J111*Rubric!$B$8+K111*Rubric!$B$9+L111*Rubric!$B$10-IF(OR(H111&lt;Rubric!$B$12,K111&lt;Rubric!$B$12),Rubric!$B$13,0),2)</f>
        <v>4.85</v>
      </c>
      <c r="N111" s="14" t="n">
        <v>104</v>
      </c>
      <c r="O111" s="2" t="s">
        <v>586</v>
      </c>
    </row>
    <row r="112" customFormat="false" ht="23.85" hidden="false" customHeight="false" outlineLevel="0" collapsed="false">
      <c r="A112" s="2" t="s">
        <v>59</v>
      </c>
      <c r="B112" s="2" t="s">
        <v>60</v>
      </c>
      <c r="C112" s="14" t="n">
        <v>1</v>
      </c>
      <c r="D112" s="14" t="n">
        <v>5</v>
      </c>
      <c r="E112" s="2" t="s">
        <v>690</v>
      </c>
      <c r="F112" s="15" t="n">
        <v>8</v>
      </c>
      <c r="G112" s="15" t="n">
        <v>7</v>
      </c>
      <c r="H112" s="15" t="n">
        <v>8</v>
      </c>
      <c r="I112" s="15" t="n">
        <v>3</v>
      </c>
      <c r="J112" s="15" t="n">
        <v>7</v>
      </c>
      <c r="K112" s="15" t="n">
        <v>8</v>
      </c>
      <c r="L112" s="15" t="n">
        <v>7</v>
      </c>
      <c r="M112" s="4" t="n">
        <f aca="false">ROUND(F112*Rubric!$B$4+G112*Rubric!$B$5+H112*Rubric!$B$6+I112*Rubric!$B$7+J112*Rubric!$B$8+K112*Rubric!$B$9+L112*Rubric!$B$10-IF(OR(H112&lt;Rubric!$B$12,K112&lt;Rubric!$B$12),Rubric!$B$13,0),2)</f>
        <v>6.85</v>
      </c>
      <c r="N112" s="14" t="n">
        <v>104</v>
      </c>
      <c r="O112" s="2" t="s">
        <v>691</v>
      </c>
    </row>
    <row r="113" customFormat="false" ht="23.85" hidden="false" customHeight="false" outlineLevel="0" collapsed="false">
      <c r="A113" s="2" t="s">
        <v>59</v>
      </c>
      <c r="B113" s="2" t="s">
        <v>60</v>
      </c>
      <c r="C113" s="14" t="n">
        <v>2</v>
      </c>
      <c r="D113" s="14" t="n">
        <v>5</v>
      </c>
      <c r="E113" s="2" t="s">
        <v>411</v>
      </c>
      <c r="F113" s="15" t="n">
        <v>7</v>
      </c>
      <c r="G113" s="15" t="n">
        <v>7</v>
      </c>
      <c r="H113" s="15" t="n">
        <v>8</v>
      </c>
      <c r="I113" s="15" t="n">
        <v>8</v>
      </c>
      <c r="J113" s="15" t="n">
        <v>8</v>
      </c>
      <c r="K113" s="15" t="n">
        <v>8</v>
      </c>
      <c r="L113" s="15" t="n">
        <v>8</v>
      </c>
      <c r="M113" s="4" t="n">
        <f aca="false">ROUND(F113*Rubric!$B$4+G113*Rubric!$B$5+H113*Rubric!$B$6+I113*Rubric!$B$7+J113*Rubric!$B$8+K113*Rubric!$B$9+L113*Rubric!$B$10-IF(OR(H113&lt;Rubric!$B$12,K113&lt;Rubric!$B$12),Rubric!$B$13,0),2)</f>
        <v>7.8</v>
      </c>
      <c r="N113" s="14" t="n">
        <v>104</v>
      </c>
      <c r="O113" s="2" t="s">
        <v>692</v>
      </c>
    </row>
    <row r="114" customFormat="false" ht="23.85" hidden="false" customHeight="false" outlineLevel="0" collapsed="false">
      <c r="A114" s="2" t="s">
        <v>64</v>
      </c>
      <c r="B114" s="2" t="s">
        <v>65</v>
      </c>
      <c r="C114" s="14" t="n">
        <v>0</v>
      </c>
      <c r="D114" s="14" t="n">
        <v>1</v>
      </c>
      <c r="E114" s="2" t="s">
        <v>693</v>
      </c>
      <c r="F114" s="15" t="n">
        <v>8</v>
      </c>
      <c r="G114" s="15" t="n">
        <v>8</v>
      </c>
      <c r="H114" s="15" t="n">
        <v>7</v>
      </c>
      <c r="I114" s="15" t="n">
        <v>3</v>
      </c>
      <c r="J114" s="15" t="n">
        <v>8</v>
      </c>
      <c r="K114" s="15" t="n">
        <v>7</v>
      </c>
      <c r="L114" s="15" t="n">
        <v>7</v>
      </c>
      <c r="M114" s="4" t="n">
        <f aca="false">ROUND(F114*Rubric!$B$4+G114*Rubric!$B$5+H114*Rubric!$B$6+I114*Rubric!$B$7+J114*Rubric!$B$8+K114*Rubric!$B$9+L114*Rubric!$B$10-IF(OR(H114&lt;Rubric!$B$12,K114&lt;Rubric!$B$12),Rubric!$B$13,0),2)</f>
        <v>7.2</v>
      </c>
      <c r="N114" s="14" t="n">
        <v>110</v>
      </c>
      <c r="O114" s="2" t="s">
        <v>586</v>
      </c>
    </row>
    <row r="115" customFormat="false" ht="23.85" hidden="false" customHeight="false" outlineLevel="0" collapsed="false">
      <c r="A115" s="2" t="s">
        <v>64</v>
      </c>
      <c r="B115" s="2" t="s">
        <v>65</v>
      </c>
      <c r="C115" s="14" t="n">
        <v>2</v>
      </c>
      <c r="D115" s="14" t="n">
        <v>1</v>
      </c>
      <c r="E115" s="2" t="s">
        <v>412</v>
      </c>
      <c r="F115" s="15" t="n">
        <v>9</v>
      </c>
      <c r="G115" s="15" t="n">
        <v>8</v>
      </c>
      <c r="H115" s="15" t="n">
        <v>8</v>
      </c>
      <c r="I115" s="15" t="n">
        <v>3</v>
      </c>
      <c r="J115" s="15" t="n">
        <v>8</v>
      </c>
      <c r="K115" s="15" t="n">
        <v>8</v>
      </c>
      <c r="L115" s="15" t="n">
        <v>7</v>
      </c>
      <c r="M115" s="4" t="n">
        <f aca="false">ROUND(F115*Rubric!$B$4+G115*Rubric!$B$5+H115*Rubric!$B$6+I115*Rubric!$B$7+J115*Rubric!$B$8+K115*Rubric!$B$9+L115*Rubric!$B$10-IF(OR(H115&lt;Rubric!$B$12,K115&lt;Rubric!$B$12),Rubric!$B$13,0),2)</f>
        <v>7.45</v>
      </c>
      <c r="N115" s="14" t="n">
        <v>110</v>
      </c>
      <c r="O115" s="2" t="s">
        <v>694</v>
      </c>
    </row>
    <row r="116" customFormat="false" ht="23.85" hidden="false" customHeight="false" outlineLevel="0" collapsed="false">
      <c r="A116" s="2" t="s">
        <v>64</v>
      </c>
      <c r="B116" s="2" t="s">
        <v>65</v>
      </c>
      <c r="C116" s="14" t="n">
        <v>0</v>
      </c>
      <c r="D116" s="14" t="n">
        <v>2</v>
      </c>
      <c r="E116" s="2" t="s">
        <v>413</v>
      </c>
      <c r="F116" s="15" t="n">
        <v>9</v>
      </c>
      <c r="G116" s="15" t="n">
        <v>9</v>
      </c>
      <c r="H116" s="15" t="n">
        <v>8</v>
      </c>
      <c r="I116" s="15" t="n">
        <v>3</v>
      </c>
      <c r="J116" s="15" t="n">
        <v>8</v>
      </c>
      <c r="K116" s="15" t="n">
        <v>9</v>
      </c>
      <c r="L116" s="15" t="n">
        <v>8</v>
      </c>
      <c r="M116" s="4" t="n">
        <f aca="false">ROUND(F116*Rubric!$B$4+G116*Rubric!$B$5+H116*Rubric!$B$6+I116*Rubric!$B$7+J116*Rubric!$B$8+K116*Rubric!$B$9+L116*Rubric!$B$10-IF(OR(H116&lt;Rubric!$B$12,K116&lt;Rubric!$B$12),Rubric!$B$13,0),2)</f>
        <v>7.8</v>
      </c>
      <c r="N116" s="14" t="n">
        <v>111</v>
      </c>
      <c r="O116" s="2" t="s">
        <v>586</v>
      </c>
    </row>
    <row r="117" customFormat="false" ht="23.85" hidden="false" customHeight="false" outlineLevel="0" collapsed="false">
      <c r="A117" s="2" t="s">
        <v>64</v>
      </c>
      <c r="B117" s="2" t="s">
        <v>65</v>
      </c>
      <c r="C117" s="14" t="n">
        <v>0</v>
      </c>
      <c r="D117" s="14" t="n">
        <v>3</v>
      </c>
      <c r="E117" s="2" t="s">
        <v>695</v>
      </c>
      <c r="F117" s="15" t="n">
        <v>8</v>
      </c>
      <c r="G117" s="15" t="n">
        <v>8</v>
      </c>
      <c r="H117" s="15" t="n">
        <v>6</v>
      </c>
      <c r="I117" s="15" t="n">
        <v>3</v>
      </c>
      <c r="J117" s="15" t="n">
        <v>8</v>
      </c>
      <c r="K117" s="15" t="n">
        <v>6</v>
      </c>
      <c r="L117" s="15" t="n">
        <v>7</v>
      </c>
      <c r="M117" s="4" t="n">
        <f aca="false">ROUND(F117*Rubric!$B$4+G117*Rubric!$B$5+H117*Rubric!$B$6+I117*Rubric!$B$7+J117*Rubric!$B$8+K117*Rubric!$B$9+L117*Rubric!$B$10-IF(OR(H117&lt;Rubric!$B$12,K117&lt;Rubric!$B$12),Rubric!$B$13,0),2)</f>
        <v>6</v>
      </c>
      <c r="N117" s="14" t="n">
        <v>112</v>
      </c>
      <c r="O117" s="2" t="s">
        <v>586</v>
      </c>
    </row>
    <row r="118" customFormat="false" ht="23.85" hidden="false" customHeight="false" outlineLevel="0" collapsed="false">
      <c r="A118" s="2" t="s">
        <v>64</v>
      </c>
      <c r="B118" s="2" t="s">
        <v>65</v>
      </c>
      <c r="C118" s="14" t="n">
        <v>1</v>
      </c>
      <c r="D118" s="14" t="n">
        <v>3</v>
      </c>
      <c r="E118" s="2" t="s">
        <v>696</v>
      </c>
      <c r="F118" s="15" t="n">
        <v>8</v>
      </c>
      <c r="G118" s="15" t="n">
        <v>7</v>
      </c>
      <c r="H118" s="15" t="n">
        <v>8</v>
      </c>
      <c r="I118" s="15" t="n">
        <v>3</v>
      </c>
      <c r="J118" s="15" t="n">
        <v>8</v>
      </c>
      <c r="K118" s="15" t="n">
        <v>8</v>
      </c>
      <c r="L118" s="15" t="n">
        <v>8</v>
      </c>
      <c r="M118" s="4" t="n">
        <f aca="false">ROUND(F118*Rubric!$B$4+G118*Rubric!$B$5+H118*Rubric!$B$6+I118*Rubric!$B$7+J118*Rubric!$B$8+K118*Rubric!$B$9+L118*Rubric!$B$10-IF(OR(H118&lt;Rubric!$B$12,K118&lt;Rubric!$B$12),Rubric!$B$13,0),2)</f>
        <v>7.35</v>
      </c>
      <c r="N118" s="14" t="n">
        <v>112</v>
      </c>
      <c r="O118" s="2" t="s">
        <v>697</v>
      </c>
    </row>
    <row r="119" customFormat="false" ht="23.85" hidden="false" customHeight="false" outlineLevel="0" collapsed="false">
      <c r="A119" s="2" t="s">
        <v>64</v>
      </c>
      <c r="B119" s="2" t="s">
        <v>65</v>
      </c>
      <c r="C119" s="14" t="n">
        <v>3</v>
      </c>
      <c r="D119" s="14" t="n">
        <v>3</v>
      </c>
      <c r="E119" s="2" t="s">
        <v>414</v>
      </c>
      <c r="F119" s="15" t="n">
        <v>9</v>
      </c>
      <c r="G119" s="15" t="n">
        <v>8</v>
      </c>
      <c r="H119" s="15" t="n">
        <v>8</v>
      </c>
      <c r="I119" s="15" t="n">
        <v>3</v>
      </c>
      <c r="J119" s="15" t="n">
        <v>8</v>
      </c>
      <c r="K119" s="15" t="n">
        <v>8</v>
      </c>
      <c r="L119" s="15" t="n">
        <v>8</v>
      </c>
      <c r="M119" s="4" t="n">
        <f aca="false">ROUND(F119*Rubric!$B$4+G119*Rubric!$B$5+H119*Rubric!$B$6+I119*Rubric!$B$7+J119*Rubric!$B$8+K119*Rubric!$B$9+L119*Rubric!$B$10-IF(OR(H119&lt;Rubric!$B$12,K119&lt;Rubric!$B$12),Rubric!$B$13,0),2)</f>
        <v>7.55</v>
      </c>
      <c r="N119" s="14" t="n">
        <v>112</v>
      </c>
      <c r="O119" s="2" t="s">
        <v>698</v>
      </c>
    </row>
    <row r="120" customFormat="false" ht="23.85" hidden="false" customHeight="false" outlineLevel="0" collapsed="false">
      <c r="A120" s="2" t="s">
        <v>64</v>
      </c>
      <c r="B120" s="2" t="s">
        <v>65</v>
      </c>
      <c r="C120" s="14" t="n">
        <v>0</v>
      </c>
      <c r="D120" s="14" t="n">
        <v>4</v>
      </c>
      <c r="E120" s="2" t="s">
        <v>699</v>
      </c>
      <c r="F120" s="15" t="n">
        <v>8</v>
      </c>
      <c r="G120" s="15" t="n">
        <v>6</v>
      </c>
      <c r="H120" s="15" t="n">
        <v>8</v>
      </c>
      <c r="I120" s="15" t="n">
        <v>8</v>
      </c>
      <c r="J120" s="15" t="n">
        <v>6</v>
      </c>
      <c r="K120" s="15" t="n">
        <v>7</v>
      </c>
      <c r="L120" s="15" t="n">
        <v>6</v>
      </c>
      <c r="M120" s="4" t="n">
        <f aca="false">ROUND(F120*Rubric!$B$4+G120*Rubric!$B$5+H120*Rubric!$B$6+I120*Rubric!$B$7+J120*Rubric!$B$8+K120*Rubric!$B$9+L120*Rubric!$B$10-IF(OR(H120&lt;Rubric!$B$12,K120&lt;Rubric!$B$12),Rubric!$B$13,0),2)</f>
        <v>6.6</v>
      </c>
      <c r="N120" s="14" t="n">
        <v>113</v>
      </c>
      <c r="O120" s="2" t="s">
        <v>586</v>
      </c>
    </row>
    <row r="121" customFormat="false" ht="23.85" hidden="false" customHeight="false" outlineLevel="0" collapsed="false">
      <c r="A121" s="2" t="s">
        <v>64</v>
      </c>
      <c r="B121" s="2" t="s">
        <v>65</v>
      </c>
      <c r="C121" s="14" t="n">
        <v>2</v>
      </c>
      <c r="D121" s="14" t="n">
        <v>4</v>
      </c>
      <c r="E121" s="2" t="s">
        <v>700</v>
      </c>
      <c r="F121" s="15" t="n">
        <v>8</v>
      </c>
      <c r="G121" s="15" t="n">
        <v>7</v>
      </c>
      <c r="H121" s="15" t="n">
        <v>8</v>
      </c>
      <c r="I121" s="15" t="n">
        <v>8</v>
      </c>
      <c r="J121" s="15" t="n">
        <v>7</v>
      </c>
      <c r="K121" s="15" t="n">
        <v>7</v>
      </c>
      <c r="L121" s="15" t="n">
        <v>7</v>
      </c>
      <c r="M121" s="4" t="n">
        <f aca="false">ROUND(F121*Rubric!$B$4+G121*Rubric!$B$5+H121*Rubric!$B$6+I121*Rubric!$B$7+J121*Rubric!$B$8+K121*Rubric!$B$9+L121*Rubric!$B$10-IF(OR(H121&lt;Rubric!$B$12,K121&lt;Rubric!$B$12),Rubric!$B$13,0),2)</f>
        <v>7.25</v>
      </c>
      <c r="N121" s="14" t="n">
        <v>113</v>
      </c>
      <c r="O121" s="2" t="s">
        <v>701</v>
      </c>
    </row>
    <row r="122" customFormat="false" ht="23.85" hidden="false" customHeight="false" outlineLevel="0" collapsed="false">
      <c r="A122" s="2" t="s">
        <v>64</v>
      </c>
      <c r="B122" s="2" t="s">
        <v>65</v>
      </c>
      <c r="C122" s="14" t="n">
        <v>3</v>
      </c>
      <c r="D122" s="14" t="n">
        <v>4</v>
      </c>
      <c r="E122" s="2" t="s">
        <v>415</v>
      </c>
      <c r="F122" s="15" t="n">
        <v>9</v>
      </c>
      <c r="G122" s="15" t="n">
        <v>7</v>
      </c>
      <c r="H122" s="15" t="n">
        <v>8</v>
      </c>
      <c r="I122" s="15" t="n">
        <v>8</v>
      </c>
      <c r="J122" s="15" t="n">
        <v>7</v>
      </c>
      <c r="K122" s="15" t="n">
        <v>7</v>
      </c>
      <c r="L122" s="15" t="n">
        <v>7</v>
      </c>
      <c r="M122" s="4" t="n">
        <f aca="false">ROUND(F122*Rubric!$B$4+G122*Rubric!$B$5+H122*Rubric!$B$6+I122*Rubric!$B$7+J122*Rubric!$B$8+K122*Rubric!$B$9+L122*Rubric!$B$10-IF(OR(H122&lt;Rubric!$B$12,K122&lt;Rubric!$B$12),Rubric!$B$13,0),2)</f>
        <v>7.3</v>
      </c>
      <c r="N122" s="14" t="n">
        <v>113</v>
      </c>
      <c r="O122" s="2" t="s">
        <v>591</v>
      </c>
    </row>
    <row r="123" customFormat="false" ht="23.85" hidden="false" customHeight="false" outlineLevel="0" collapsed="false">
      <c r="A123" s="2" t="s">
        <v>64</v>
      </c>
      <c r="B123" s="2" t="s">
        <v>65</v>
      </c>
      <c r="C123" s="14" t="n">
        <v>0</v>
      </c>
      <c r="D123" s="14" t="n">
        <v>5</v>
      </c>
      <c r="E123" s="2" t="s">
        <v>702</v>
      </c>
      <c r="F123" s="15" t="n">
        <v>8</v>
      </c>
      <c r="G123" s="15" t="n">
        <v>7</v>
      </c>
      <c r="H123" s="15" t="n">
        <v>8</v>
      </c>
      <c r="I123" s="15" t="n">
        <v>2</v>
      </c>
      <c r="J123" s="15" t="n">
        <v>8</v>
      </c>
      <c r="K123" s="15" t="n">
        <v>7</v>
      </c>
      <c r="L123" s="15" t="n">
        <v>6</v>
      </c>
      <c r="M123" s="4" t="n">
        <f aca="false">ROUND(F123*Rubric!$B$4+G123*Rubric!$B$5+H123*Rubric!$B$6+I123*Rubric!$B$7+J123*Rubric!$B$8+K123*Rubric!$B$9+L123*Rubric!$B$10-IF(OR(H123&lt;Rubric!$B$12,K123&lt;Rubric!$B$12),Rubric!$B$13,0),2)</f>
        <v>6.95</v>
      </c>
      <c r="N123" s="14" t="n">
        <v>114</v>
      </c>
      <c r="O123" s="2" t="s">
        <v>586</v>
      </c>
    </row>
    <row r="124" customFormat="false" ht="23.85" hidden="false" customHeight="false" outlineLevel="0" collapsed="false">
      <c r="A124" s="2" t="s">
        <v>64</v>
      </c>
      <c r="B124" s="2" t="s">
        <v>65</v>
      </c>
      <c r="C124" s="14" t="n">
        <v>1</v>
      </c>
      <c r="D124" s="14" t="n">
        <v>5</v>
      </c>
      <c r="E124" s="2" t="s">
        <v>703</v>
      </c>
      <c r="F124" s="15" t="n">
        <v>8</v>
      </c>
      <c r="G124" s="15" t="n">
        <v>7</v>
      </c>
      <c r="H124" s="15" t="n">
        <v>8</v>
      </c>
      <c r="I124" s="15" t="n">
        <v>3</v>
      </c>
      <c r="J124" s="15" t="n">
        <v>8</v>
      </c>
      <c r="K124" s="15" t="n">
        <v>8</v>
      </c>
      <c r="L124" s="15" t="n">
        <v>7</v>
      </c>
      <c r="M124" s="4" t="n">
        <f aca="false">ROUND(F124*Rubric!$B$4+G124*Rubric!$B$5+H124*Rubric!$B$6+I124*Rubric!$B$7+J124*Rubric!$B$8+K124*Rubric!$B$9+L124*Rubric!$B$10-IF(OR(H124&lt;Rubric!$B$12,K124&lt;Rubric!$B$12),Rubric!$B$13,0),2)</f>
        <v>7.25</v>
      </c>
      <c r="N124" s="14" t="n">
        <v>114</v>
      </c>
      <c r="O124" s="2" t="s">
        <v>704</v>
      </c>
    </row>
    <row r="125" customFormat="false" ht="23.85" hidden="false" customHeight="false" outlineLevel="0" collapsed="false">
      <c r="A125" s="2" t="s">
        <v>64</v>
      </c>
      <c r="B125" s="2" t="s">
        <v>65</v>
      </c>
      <c r="C125" s="14" t="n">
        <v>2</v>
      </c>
      <c r="D125" s="14" t="n">
        <v>5</v>
      </c>
      <c r="E125" s="2" t="s">
        <v>416</v>
      </c>
      <c r="F125" s="15" t="n">
        <v>8</v>
      </c>
      <c r="G125" s="15" t="n">
        <v>8</v>
      </c>
      <c r="H125" s="15" t="n">
        <v>8</v>
      </c>
      <c r="I125" s="15" t="n">
        <v>3</v>
      </c>
      <c r="J125" s="15" t="n">
        <v>8</v>
      </c>
      <c r="K125" s="15" t="n">
        <v>8</v>
      </c>
      <c r="L125" s="15" t="n">
        <v>8</v>
      </c>
      <c r="M125" s="4" t="n">
        <f aca="false">ROUND(F125*Rubric!$B$4+G125*Rubric!$B$5+H125*Rubric!$B$6+I125*Rubric!$B$7+J125*Rubric!$B$8+K125*Rubric!$B$9+L125*Rubric!$B$10-IF(OR(H125&lt;Rubric!$B$12,K125&lt;Rubric!$B$12),Rubric!$B$13,0),2)</f>
        <v>7.5</v>
      </c>
      <c r="N125" s="14" t="n">
        <v>114</v>
      </c>
      <c r="O125" s="2" t="s">
        <v>705</v>
      </c>
    </row>
    <row r="126" customFormat="false" ht="23.85" hidden="false" customHeight="false" outlineLevel="0" collapsed="false">
      <c r="A126" s="2" t="s">
        <v>69</v>
      </c>
      <c r="B126" s="2" t="s">
        <v>70</v>
      </c>
      <c r="C126" s="14" t="n">
        <v>0</v>
      </c>
      <c r="D126" s="14" t="n">
        <v>1</v>
      </c>
      <c r="E126" s="2" t="s">
        <v>706</v>
      </c>
      <c r="F126" s="15" t="n">
        <v>8</v>
      </c>
      <c r="G126" s="15" t="n">
        <v>8</v>
      </c>
      <c r="H126" s="15" t="n">
        <v>7</v>
      </c>
      <c r="I126" s="15" t="n">
        <v>3</v>
      </c>
      <c r="J126" s="15" t="n">
        <v>8</v>
      </c>
      <c r="K126" s="15" t="n">
        <v>7</v>
      </c>
      <c r="L126" s="15" t="n">
        <v>7</v>
      </c>
      <c r="M126" s="4" t="n">
        <f aca="false">ROUND(F126*Rubric!$B$4+G126*Rubric!$B$5+H126*Rubric!$B$6+I126*Rubric!$B$7+J126*Rubric!$B$8+K126*Rubric!$B$9+L126*Rubric!$B$10-IF(OR(H126&lt;Rubric!$B$12,K126&lt;Rubric!$B$12),Rubric!$B$13,0),2)</f>
        <v>7.2</v>
      </c>
      <c r="N126" s="14" t="n">
        <v>120</v>
      </c>
      <c r="O126" s="2" t="s">
        <v>586</v>
      </c>
    </row>
    <row r="127" customFormat="false" ht="23.85" hidden="false" customHeight="false" outlineLevel="0" collapsed="false">
      <c r="A127" s="2" t="s">
        <v>69</v>
      </c>
      <c r="B127" s="2" t="s">
        <v>70</v>
      </c>
      <c r="C127" s="14" t="n">
        <v>2</v>
      </c>
      <c r="D127" s="14" t="n">
        <v>1</v>
      </c>
      <c r="E127" s="2" t="s">
        <v>417</v>
      </c>
      <c r="F127" s="15" t="n">
        <v>8</v>
      </c>
      <c r="G127" s="15" t="n">
        <v>8</v>
      </c>
      <c r="H127" s="15" t="n">
        <v>8</v>
      </c>
      <c r="I127" s="15" t="n">
        <v>3</v>
      </c>
      <c r="J127" s="15" t="n">
        <v>8</v>
      </c>
      <c r="K127" s="15" t="n">
        <v>8</v>
      </c>
      <c r="L127" s="15" t="n">
        <v>9</v>
      </c>
      <c r="M127" s="4" t="n">
        <f aca="false">ROUND(F127*Rubric!$B$4+G127*Rubric!$B$5+H127*Rubric!$B$6+I127*Rubric!$B$7+J127*Rubric!$B$8+K127*Rubric!$B$9+L127*Rubric!$B$10-IF(OR(H127&lt;Rubric!$B$12,K127&lt;Rubric!$B$12),Rubric!$B$13,0),2)</f>
        <v>7.6</v>
      </c>
      <c r="N127" s="14" t="n">
        <v>120</v>
      </c>
      <c r="O127" s="2" t="s">
        <v>707</v>
      </c>
    </row>
    <row r="128" customFormat="false" ht="23.85" hidden="false" customHeight="false" outlineLevel="0" collapsed="false">
      <c r="A128" s="2" t="s">
        <v>69</v>
      </c>
      <c r="B128" s="2" t="s">
        <v>70</v>
      </c>
      <c r="C128" s="14" t="n">
        <v>0</v>
      </c>
      <c r="D128" s="14" t="n">
        <v>2</v>
      </c>
      <c r="E128" s="2" t="s">
        <v>418</v>
      </c>
      <c r="F128" s="15" t="n">
        <v>9</v>
      </c>
      <c r="G128" s="15" t="n">
        <v>9</v>
      </c>
      <c r="H128" s="15" t="n">
        <v>7</v>
      </c>
      <c r="I128" s="15" t="n">
        <v>3</v>
      </c>
      <c r="J128" s="15" t="n">
        <v>9</v>
      </c>
      <c r="K128" s="15" t="n">
        <v>8</v>
      </c>
      <c r="L128" s="15" t="n">
        <v>8</v>
      </c>
      <c r="M128" s="4" t="n">
        <f aca="false">ROUND(F128*Rubric!$B$4+G128*Rubric!$B$5+H128*Rubric!$B$6+I128*Rubric!$B$7+J128*Rubric!$B$8+K128*Rubric!$B$9+L128*Rubric!$B$10-IF(OR(H128&lt;Rubric!$B$12,K128&lt;Rubric!$B$12),Rubric!$B$13,0),2)</f>
        <v>8</v>
      </c>
      <c r="N128" s="14" t="n">
        <v>121</v>
      </c>
      <c r="O128" s="2" t="s">
        <v>586</v>
      </c>
    </row>
    <row r="129" customFormat="false" ht="23.85" hidden="false" customHeight="false" outlineLevel="0" collapsed="false">
      <c r="A129" s="2" t="s">
        <v>69</v>
      </c>
      <c r="B129" s="2" t="s">
        <v>70</v>
      </c>
      <c r="C129" s="14" t="n">
        <v>0</v>
      </c>
      <c r="D129" s="14" t="n">
        <v>3</v>
      </c>
      <c r="E129" s="2" t="s">
        <v>708</v>
      </c>
      <c r="F129" s="15" t="n">
        <v>8</v>
      </c>
      <c r="G129" s="15" t="n">
        <v>7</v>
      </c>
      <c r="H129" s="15" t="n">
        <v>8</v>
      </c>
      <c r="I129" s="15" t="n">
        <v>3</v>
      </c>
      <c r="J129" s="15" t="n">
        <v>7</v>
      </c>
      <c r="K129" s="15" t="n">
        <v>7</v>
      </c>
      <c r="L129" s="15" t="n">
        <v>5</v>
      </c>
      <c r="M129" s="4" t="n">
        <f aca="false">ROUND(F129*Rubric!$B$4+G129*Rubric!$B$5+H129*Rubric!$B$6+I129*Rubric!$B$7+J129*Rubric!$B$8+K129*Rubric!$B$9+L129*Rubric!$B$10-IF(OR(H129&lt;Rubric!$B$12,K129&lt;Rubric!$B$12),Rubric!$B$13,0),2)</f>
        <v>6.55</v>
      </c>
      <c r="N129" s="14" t="n">
        <v>122</v>
      </c>
      <c r="O129" s="2" t="s">
        <v>586</v>
      </c>
    </row>
    <row r="130" customFormat="false" ht="23.85" hidden="false" customHeight="false" outlineLevel="0" collapsed="false">
      <c r="A130" s="2" t="s">
        <v>69</v>
      </c>
      <c r="B130" s="2" t="s">
        <v>70</v>
      </c>
      <c r="C130" s="14" t="n">
        <v>1</v>
      </c>
      <c r="D130" s="14" t="n">
        <v>3</v>
      </c>
      <c r="E130" s="2" t="s">
        <v>709</v>
      </c>
      <c r="F130" s="15" t="n">
        <v>8</v>
      </c>
      <c r="G130" s="15" t="n">
        <v>7</v>
      </c>
      <c r="H130" s="15" t="n">
        <v>7</v>
      </c>
      <c r="I130" s="15" t="n">
        <v>3</v>
      </c>
      <c r="J130" s="15" t="n">
        <v>7</v>
      </c>
      <c r="K130" s="15" t="n">
        <v>7</v>
      </c>
      <c r="L130" s="15" t="n">
        <v>8</v>
      </c>
      <c r="M130" s="4" t="n">
        <f aca="false">ROUND(F130*Rubric!$B$4+G130*Rubric!$B$5+H130*Rubric!$B$6+I130*Rubric!$B$7+J130*Rubric!$B$8+K130*Rubric!$B$9+L130*Rubric!$B$10-IF(OR(H130&lt;Rubric!$B$12,K130&lt;Rubric!$B$12),Rubric!$B$13,0),2)</f>
        <v>6.75</v>
      </c>
      <c r="N130" s="14" t="n">
        <v>122</v>
      </c>
      <c r="O130" s="2" t="s">
        <v>710</v>
      </c>
    </row>
    <row r="131" customFormat="false" ht="23.85" hidden="false" customHeight="false" outlineLevel="0" collapsed="false">
      <c r="A131" s="2" t="s">
        <v>69</v>
      </c>
      <c r="B131" s="2" t="s">
        <v>70</v>
      </c>
      <c r="C131" s="14" t="n">
        <v>2</v>
      </c>
      <c r="D131" s="14" t="n">
        <v>3</v>
      </c>
      <c r="E131" s="2" t="s">
        <v>711</v>
      </c>
      <c r="F131" s="15" t="n">
        <v>8</v>
      </c>
      <c r="G131" s="15" t="n">
        <v>7</v>
      </c>
      <c r="H131" s="15" t="n">
        <v>8</v>
      </c>
      <c r="I131" s="15" t="n">
        <v>3</v>
      </c>
      <c r="J131" s="15" t="n">
        <v>7</v>
      </c>
      <c r="K131" s="15" t="n">
        <v>8</v>
      </c>
      <c r="L131" s="15" t="n">
        <v>9</v>
      </c>
      <c r="M131" s="4" t="n">
        <f aca="false">ROUND(F131*Rubric!$B$4+G131*Rubric!$B$5+H131*Rubric!$B$6+I131*Rubric!$B$7+J131*Rubric!$B$8+K131*Rubric!$B$9+L131*Rubric!$B$10-IF(OR(H131&lt;Rubric!$B$12,K131&lt;Rubric!$B$12),Rubric!$B$13,0),2)</f>
        <v>7.05</v>
      </c>
      <c r="N131" s="14" t="n">
        <v>122</v>
      </c>
      <c r="O131" s="2" t="s">
        <v>712</v>
      </c>
    </row>
    <row r="132" customFormat="false" ht="23.85" hidden="false" customHeight="false" outlineLevel="0" collapsed="false">
      <c r="A132" s="2" t="s">
        <v>69</v>
      </c>
      <c r="B132" s="2" t="s">
        <v>70</v>
      </c>
      <c r="C132" s="14" t="n">
        <v>3</v>
      </c>
      <c r="D132" s="14" t="n">
        <v>3</v>
      </c>
      <c r="E132" s="2" t="s">
        <v>419</v>
      </c>
      <c r="F132" s="15" t="n">
        <v>8</v>
      </c>
      <c r="G132" s="15" t="n">
        <v>8</v>
      </c>
      <c r="H132" s="15" t="n">
        <v>8</v>
      </c>
      <c r="I132" s="15" t="n">
        <v>3</v>
      </c>
      <c r="J132" s="15" t="n">
        <v>7</v>
      </c>
      <c r="K132" s="15" t="n">
        <v>8</v>
      </c>
      <c r="L132" s="15" t="n">
        <v>9</v>
      </c>
      <c r="M132" s="4" t="n">
        <f aca="false">ROUND(F132*Rubric!$B$4+G132*Rubric!$B$5+H132*Rubric!$B$6+I132*Rubric!$B$7+J132*Rubric!$B$8+K132*Rubric!$B$9+L132*Rubric!$B$10-IF(OR(H132&lt;Rubric!$B$12,K132&lt;Rubric!$B$12),Rubric!$B$13,0),2)</f>
        <v>7.2</v>
      </c>
      <c r="N132" s="14" t="n">
        <v>122</v>
      </c>
      <c r="O132" s="2" t="s">
        <v>713</v>
      </c>
    </row>
    <row r="133" customFormat="false" ht="23.85" hidden="false" customHeight="false" outlineLevel="0" collapsed="false">
      <c r="A133" s="2" t="s">
        <v>69</v>
      </c>
      <c r="B133" s="2" t="s">
        <v>70</v>
      </c>
      <c r="C133" s="14" t="n">
        <v>0</v>
      </c>
      <c r="D133" s="14" t="n">
        <v>4</v>
      </c>
      <c r="E133" s="2" t="s">
        <v>714</v>
      </c>
      <c r="F133" s="15" t="n">
        <v>8</v>
      </c>
      <c r="G133" s="15" t="n">
        <v>8</v>
      </c>
      <c r="H133" s="15" t="n">
        <v>7</v>
      </c>
      <c r="I133" s="15" t="n">
        <v>3</v>
      </c>
      <c r="J133" s="15" t="n">
        <v>8</v>
      </c>
      <c r="K133" s="15" t="n">
        <v>7</v>
      </c>
      <c r="L133" s="15" t="n">
        <v>7</v>
      </c>
      <c r="M133" s="4" t="n">
        <f aca="false">ROUND(F133*Rubric!$B$4+G133*Rubric!$B$5+H133*Rubric!$B$6+I133*Rubric!$B$7+J133*Rubric!$B$8+K133*Rubric!$B$9+L133*Rubric!$B$10-IF(OR(H133&lt;Rubric!$B$12,K133&lt;Rubric!$B$12),Rubric!$B$13,0),2)</f>
        <v>7.2</v>
      </c>
      <c r="N133" s="14" t="n">
        <v>123</v>
      </c>
      <c r="O133" s="2" t="s">
        <v>586</v>
      </c>
    </row>
    <row r="134" customFormat="false" ht="23.85" hidden="false" customHeight="false" outlineLevel="0" collapsed="false">
      <c r="A134" s="2" t="s">
        <v>69</v>
      </c>
      <c r="B134" s="2" t="s">
        <v>70</v>
      </c>
      <c r="C134" s="14" t="n">
        <v>2</v>
      </c>
      <c r="D134" s="14" t="n">
        <v>4</v>
      </c>
      <c r="E134" s="2" t="s">
        <v>715</v>
      </c>
      <c r="F134" s="15" t="n">
        <v>9</v>
      </c>
      <c r="G134" s="15" t="n">
        <v>8</v>
      </c>
      <c r="H134" s="15" t="n">
        <v>7</v>
      </c>
      <c r="I134" s="15" t="n">
        <v>3</v>
      </c>
      <c r="J134" s="15" t="n">
        <v>8</v>
      </c>
      <c r="K134" s="15" t="n">
        <v>7</v>
      </c>
      <c r="L134" s="15" t="n">
        <v>8</v>
      </c>
      <c r="M134" s="4" t="n">
        <f aca="false">ROUND(F134*Rubric!$B$4+G134*Rubric!$B$5+H134*Rubric!$B$6+I134*Rubric!$B$7+J134*Rubric!$B$8+K134*Rubric!$B$9+L134*Rubric!$B$10-IF(OR(H134&lt;Rubric!$B$12,K134&lt;Rubric!$B$12),Rubric!$B$13,0),2)</f>
        <v>7.35</v>
      </c>
      <c r="N134" s="14" t="n">
        <v>123</v>
      </c>
      <c r="O134" s="2" t="s">
        <v>716</v>
      </c>
    </row>
    <row r="135" customFormat="false" ht="23.85" hidden="false" customHeight="false" outlineLevel="0" collapsed="false">
      <c r="A135" s="2" t="s">
        <v>69</v>
      </c>
      <c r="B135" s="2" t="s">
        <v>70</v>
      </c>
      <c r="C135" s="14" t="n">
        <v>3</v>
      </c>
      <c r="D135" s="14" t="n">
        <v>4</v>
      </c>
      <c r="E135" s="2" t="s">
        <v>420</v>
      </c>
      <c r="F135" s="15" t="n">
        <v>8</v>
      </c>
      <c r="G135" s="15" t="n">
        <v>8</v>
      </c>
      <c r="H135" s="15" t="n">
        <v>8</v>
      </c>
      <c r="I135" s="15" t="n">
        <v>3</v>
      </c>
      <c r="J135" s="15" t="n">
        <v>8</v>
      </c>
      <c r="K135" s="15" t="n">
        <v>8</v>
      </c>
      <c r="L135" s="15" t="n">
        <v>8</v>
      </c>
      <c r="M135" s="4" t="n">
        <f aca="false">ROUND(F135*Rubric!$B$4+G135*Rubric!$B$5+H135*Rubric!$B$6+I135*Rubric!$B$7+J135*Rubric!$B$8+K135*Rubric!$B$9+L135*Rubric!$B$10-IF(OR(H135&lt;Rubric!$B$12,K135&lt;Rubric!$B$12),Rubric!$B$13,0),2)</f>
        <v>7.5</v>
      </c>
      <c r="N135" s="14" t="n">
        <v>123</v>
      </c>
      <c r="O135" s="2" t="s">
        <v>717</v>
      </c>
    </row>
    <row r="136" customFormat="false" ht="23.85" hidden="false" customHeight="false" outlineLevel="0" collapsed="false">
      <c r="A136" s="2" t="s">
        <v>69</v>
      </c>
      <c r="B136" s="2" t="s">
        <v>70</v>
      </c>
      <c r="C136" s="14" t="n">
        <v>0</v>
      </c>
      <c r="D136" s="14" t="n">
        <v>5</v>
      </c>
      <c r="E136" s="2" t="s">
        <v>718</v>
      </c>
      <c r="F136" s="15" t="n">
        <v>7</v>
      </c>
      <c r="G136" s="15" t="n">
        <v>7</v>
      </c>
      <c r="H136" s="15" t="n">
        <v>7</v>
      </c>
      <c r="I136" s="15" t="n">
        <v>9</v>
      </c>
      <c r="J136" s="15" t="n">
        <v>7</v>
      </c>
      <c r="K136" s="15" t="n">
        <v>7</v>
      </c>
      <c r="L136" s="15" t="n">
        <v>7</v>
      </c>
      <c r="M136" s="4" t="n">
        <f aca="false">ROUND(F136*Rubric!$B$4+G136*Rubric!$B$5+H136*Rubric!$B$6+I136*Rubric!$B$7+J136*Rubric!$B$8+K136*Rubric!$B$9+L136*Rubric!$B$10-IF(OR(H136&lt;Rubric!$B$12,K136&lt;Rubric!$B$12),Rubric!$B$13,0),2)</f>
        <v>7.2</v>
      </c>
      <c r="N136" s="14" t="n">
        <v>124</v>
      </c>
      <c r="O136" s="2" t="s">
        <v>586</v>
      </c>
    </row>
    <row r="137" customFormat="false" ht="23.85" hidden="false" customHeight="false" outlineLevel="0" collapsed="false">
      <c r="A137" s="2" t="s">
        <v>69</v>
      </c>
      <c r="B137" s="2" t="s">
        <v>70</v>
      </c>
      <c r="C137" s="14" t="n">
        <v>2</v>
      </c>
      <c r="D137" s="14" t="n">
        <v>5</v>
      </c>
      <c r="E137" s="2" t="s">
        <v>421</v>
      </c>
      <c r="F137" s="15" t="n">
        <v>8</v>
      </c>
      <c r="G137" s="15" t="n">
        <v>8</v>
      </c>
      <c r="H137" s="15" t="n">
        <v>8</v>
      </c>
      <c r="I137" s="15" t="n">
        <v>9</v>
      </c>
      <c r="J137" s="15" t="n">
        <v>7</v>
      </c>
      <c r="K137" s="15" t="n">
        <v>8</v>
      </c>
      <c r="L137" s="15" t="n">
        <v>8</v>
      </c>
      <c r="M137" s="4" t="n">
        <f aca="false">ROUND(F137*Rubric!$B$4+G137*Rubric!$B$5+H137*Rubric!$B$6+I137*Rubric!$B$7+J137*Rubric!$B$8+K137*Rubric!$B$9+L137*Rubric!$B$10-IF(OR(H137&lt;Rubric!$B$12,K137&lt;Rubric!$B$12),Rubric!$B$13,0),2)</f>
        <v>7.7</v>
      </c>
      <c r="N137" s="14" t="n">
        <v>124</v>
      </c>
      <c r="O137" s="2" t="s">
        <v>719</v>
      </c>
    </row>
    <row r="138" customFormat="false" ht="23.85" hidden="false" customHeight="false" outlineLevel="0" collapsed="false">
      <c r="A138" s="2" t="s">
        <v>74</v>
      </c>
      <c r="B138" s="2" t="s">
        <v>75</v>
      </c>
      <c r="C138" s="14" t="n">
        <v>0</v>
      </c>
      <c r="D138" s="14" t="n">
        <v>1</v>
      </c>
      <c r="E138" s="2" t="s">
        <v>720</v>
      </c>
      <c r="F138" s="15" t="n">
        <v>8</v>
      </c>
      <c r="G138" s="15" t="n">
        <v>8</v>
      </c>
      <c r="H138" s="15" t="n">
        <v>7</v>
      </c>
      <c r="I138" s="15" t="n">
        <v>3</v>
      </c>
      <c r="J138" s="15" t="n">
        <v>9</v>
      </c>
      <c r="K138" s="15" t="n">
        <v>7</v>
      </c>
      <c r="L138" s="15" t="n">
        <v>7</v>
      </c>
      <c r="M138" s="4" t="n">
        <f aca="false">ROUND(F138*Rubric!$B$4+G138*Rubric!$B$5+H138*Rubric!$B$6+I138*Rubric!$B$7+J138*Rubric!$B$8+K138*Rubric!$B$9+L138*Rubric!$B$10-IF(OR(H138&lt;Rubric!$B$12,K138&lt;Rubric!$B$12),Rubric!$B$13,0),2)</f>
        <v>7.6</v>
      </c>
      <c r="N138" s="14" t="n">
        <v>130</v>
      </c>
      <c r="O138" s="2" t="s">
        <v>586</v>
      </c>
    </row>
    <row r="139" customFormat="false" ht="23.85" hidden="false" customHeight="false" outlineLevel="0" collapsed="false">
      <c r="A139" s="2" t="s">
        <v>74</v>
      </c>
      <c r="B139" s="2" t="s">
        <v>75</v>
      </c>
      <c r="C139" s="14" t="n">
        <v>2</v>
      </c>
      <c r="D139" s="14" t="n">
        <v>1</v>
      </c>
      <c r="E139" s="2" t="s">
        <v>422</v>
      </c>
      <c r="F139" s="15" t="n">
        <v>8</v>
      </c>
      <c r="G139" s="15" t="n">
        <v>9</v>
      </c>
      <c r="H139" s="15" t="n">
        <v>7</v>
      </c>
      <c r="I139" s="15" t="n">
        <v>3</v>
      </c>
      <c r="J139" s="15" t="n">
        <v>9</v>
      </c>
      <c r="K139" s="15" t="n">
        <v>8</v>
      </c>
      <c r="L139" s="15" t="n">
        <v>8</v>
      </c>
      <c r="M139" s="4" t="n">
        <f aca="false">ROUND(F139*Rubric!$B$4+G139*Rubric!$B$5+H139*Rubric!$B$6+I139*Rubric!$B$7+J139*Rubric!$B$8+K139*Rubric!$B$9+L139*Rubric!$B$10-IF(OR(H139&lt;Rubric!$B$12,K139&lt;Rubric!$B$12),Rubric!$B$13,0),2)</f>
        <v>7.95</v>
      </c>
      <c r="N139" s="14" t="n">
        <v>130</v>
      </c>
      <c r="O139" s="2" t="s">
        <v>721</v>
      </c>
    </row>
    <row r="140" customFormat="false" ht="23.85" hidden="false" customHeight="false" outlineLevel="0" collapsed="false">
      <c r="A140" s="2" t="s">
        <v>74</v>
      </c>
      <c r="B140" s="2" t="s">
        <v>75</v>
      </c>
      <c r="C140" s="14" t="n">
        <v>0</v>
      </c>
      <c r="D140" s="14" t="n">
        <v>2</v>
      </c>
      <c r="E140" s="2" t="s">
        <v>722</v>
      </c>
      <c r="F140" s="15" t="n">
        <v>8</v>
      </c>
      <c r="G140" s="15" t="n">
        <v>7</v>
      </c>
      <c r="H140" s="15" t="n">
        <v>8</v>
      </c>
      <c r="I140" s="15" t="n">
        <v>3</v>
      </c>
      <c r="J140" s="15" t="n">
        <v>8</v>
      </c>
      <c r="K140" s="15" t="n">
        <v>8</v>
      </c>
      <c r="L140" s="15" t="n">
        <v>6</v>
      </c>
      <c r="M140" s="4" t="n">
        <f aca="false">ROUND(F140*Rubric!$B$4+G140*Rubric!$B$5+H140*Rubric!$B$6+I140*Rubric!$B$7+J140*Rubric!$B$8+K140*Rubric!$B$9+L140*Rubric!$B$10-IF(OR(H140&lt;Rubric!$B$12,K140&lt;Rubric!$B$12),Rubric!$B$13,0),2)</f>
        <v>7.15</v>
      </c>
      <c r="N140" s="14" t="n">
        <v>131</v>
      </c>
      <c r="O140" s="2" t="s">
        <v>586</v>
      </c>
    </row>
    <row r="141" customFormat="false" ht="23.85" hidden="false" customHeight="false" outlineLevel="0" collapsed="false">
      <c r="A141" s="2" t="s">
        <v>74</v>
      </c>
      <c r="B141" s="2" t="s">
        <v>75</v>
      </c>
      <c r="C141" s="14" t="n">
        <v>2</v>
      </c>
      <c r="D141" s="14" t="n">
        <v>2</v>
      </c>
      <c r="E141" s="2" t="s">
        <v>423</v>
      </c>
      <c r="F141" s="15" t="n">
        <v>8</v>
      </c>
      <c r="G141" s="15" t="n">
        <v>8</v>
      </c>
      <c r="H141" s="15" t="n">
        <v>8</v>
      </c>
      <c r="I141" s="15" t="n">
        <v>3</v>
      </c>
      <c r="J141" s="15" t="n">
        <v>8</v>
      </c>
      <c r="K141" s="15" t="n">
        <v>8</v>
      </c>
      <c r="L141" s="15" t="n">
        <v>7</v>
      </c>
      <c r="M141" s="4" t="n">
        <f aca="false">ROUND(F141*Rubric!$B$4+G141*Rubric!$B$5+H141*Rubric!$B$6+I141*Rubric!$B$7+J141*Rubric!$B$8+K141*Rubric!$B$9+L141*Rubric!$B$10-IF(OR(H141&lt;Rubric!$B$12,K141&lt;Rubric!$B$12),Rubric!$B$13,0),2)</f>
        <v>7.4</v>
      </c>
      <c r="N141" s="14" t="n">
        <v>131</v>
      </c>
      <c r="O141" s="2" t="s">
        <v>723</v>
      </c>
    </row>
    <row r="142" customFormat="false" ht="23.85" hidden="false" customHeight="false" outlineLevel="0" collapsed="false">
      <c r="A142" s="2" t="s">
        <v>74</v>
      </c>
      <c r="B142" s="2" t="s">
        <v>75</v>
      </c>
      <c r="C142" s="14" t="n">
        <v>3</v>
      </c>
      <c r="D142" s="14" t="n">
        <v>2</v>
      </c>
      <c r="E142" s="2" t="s">
        <v>423</v>
      </c>
      <c r="F142" s="15" t="n">
        <v>9</v>
      </c>
      <c r="G142" s="15" t="n">
        <v>8</v>
      </c>
      <c r="H142" s="15" t="n">
        <v>8</v>
      </c>
      <c r="I142" s="15" t="n">
        <v>3</v>
      </c>
      <c r="J142" s="15" t="n">
        <v>8</v>
      </c>
      <c r="K142" s="15" t="n">
        <v>8</v>
      </c>
      <c r="L142" s="15" t="n">
        <v>7</v>
      </c>
      <c r="M142" s="4" t="n">
        <f aca="false">ROUND(F142*Rubric!$B$4+G142*Rubric!$B$5+H142*Rubric!$B$6+I142*Rubric!$B$7+J142*Rubric!$B$8+K142*Rubric!$B$9+L142*Rubric!$B$10-IF(OR(H142&lt;Rubric!$B$12,K142&lt;Rubric!$B$12),Rubric!$B$13,0),2)</f>
        <v>7.45</v>
      </c>
      <c r="N142" s="14" t="n">
        <v>131</v>
      </c>
      <c r="O142" s="2" t="s">
        <v>591</v>
      </c>
    </row>
    <row r="143" customFormat="false" ht="23.85" hidden="false" customHeight="false" outlineLevel="0" collapsed="false">
      <c r="A143" s="2" t="s">
        <v>74</v>
      </c>
      <c r="B143" s="2" t="s">
        <v>75</v>
      </c>
      <c r="C143" s="14" t="n">
        <v>0</v>
      </c>
      <c r="D143" s="14" t="n">
        <v>3</v>
      </c>
      <c r="E143" s="2" t="s">
        <v>424</v>
      </c>
      <c r="F143" s="15" t="n">
        <v>9</v>
      </c>
      <c r="G143" s="15" t="n">
        <v>9</v>
      </c>
      <c r="H143" s="15" t="n">
        <v>7</v>
      </c>
      <c r="I143" s="15" t="n">
        <v>3</v>
      </c>
      <c r="J143" s="15" t="n">
        <v>9</v>
      </c>
      <c r="K143" s="15" t="n">
        <v>8</v>
      </c>
      <c r="L143" s="15" t="n">
        <v>8</v>
      </c>
      <c r="M143" s="4" t="n">
        <f aca="false">ROUND(F143*Rubric!$B$4+G143*Rubric!$B$5+H143*Rubric!$B$6+I143*Rubric!$B$7+J143*Rubric!$B$8+K143*Rubric!$B$9+L143*Rubric!$B$10-IF(OR(H143&lt;Rubric!$B$12,K143&lt;Rubric!$B$12),Rubric!$B$13,0),2)</f>
        <v>8</v>
      </c>
      <c r="N143" s="14" t="n">
        <v>132</v>
      </c>
      <c r="O143" s="2" t="s">
        <v>586</v>
      </c>
    </row>
    <row r="144" customFormat="false" ht="23.85" hidden="false" customHeight="false" outlineLevel="0" collapsed="false">
      <c r="A144" s="2" t="s">
        <v>74</v>
      </c>
      <c r="B144" s="2" t="s">
        <v>75</v>
      </c>
      <c r="C144" s="14" t="n">
        <v>0</v>
      </c>
      <c r="D144" s="14" t="n">
        <v>4</v>
      </c>
      <c r="E144" s="2" t="s">
        <v>724</v>
      </c>
      <c r="F144" s="15" t="n">
        <v>8</v>
      </c>
      <c r="G144" s="15" t="n">
        <v>8</v>
      </c>
      <c r="H144" s="15" t="n">
        <v>8</v>
      </c>
      <c r="I144" s="15" t="n">
        <v>3</v>
      </c>
      <c r="J144" s="15" t="n">
        <v>8</v>
      </c>
      <c r="K144" s="15" t="n">
        <v>8</v>
      </c>
      <c r="L144" s="15" t="n">
        <v>6</v>
      </c>
      <c r="M144" s="4" t="n">
        <f aca="false">ROUND(F144*Rubric!$B$4+G144*Rubric!$B$5+H144*Rubric!$B$6+I144*Rubric!$B$7+J144*Rubric!$B$8+K144*Rubric!$B$9+L144*Rubric!$B$10-IF(OR(H144&lt;Rubric!$B$12,K144&lt;Rubric!$B$12),Rubric!$B$13,0),2)</f>
        <v>7.3</v>
      </c>
      <c r="N144" s="14" t="n">
        <v>133</v>
      </c>
      <c r="O144" s="2" t="s">
        <v>586</v>
      </c>
    </row>
    <row r="145" customFormat="false" ht="23.85" hidden="false" customHeight="false" outlineLevel="0" collapsed="false">
      <c r="A145" s="2" t="s">
        <v>74</v>
      </c>
      <c r="B145" s="2" t="s">
        <v>75</v>
      </c>
      <c r="C145" s="14" t="n">
        <v>3</v>
      </c>
      <c r="D145" s="14" t="n">
        <v>4</v>
      </c>
      <c r="E145" s="2" t="s">
        <v>425</v>
      </c>
      <c r="F145" s="15" t="n">
        <v>8</v>
      </c>
      <c r="G145" s="15" t="n">
        <v>8</v>
      </c>
      <c r="H145" s="15" t="n">
        <v>8</v>
      </c>
      <c r="I145" s="15" t="n">
        <v>3</v>
      </c>
      <c r="J145" s="15" t="n">
        <v>8</v>
      </c>
      <c r="K145" s="15" t="n">
        <v>8</v>
      </c>
      <c r="L145" s="15" t="n">
        <v>7</v>
      </c>
      <c r="M145" s="4" t="n">
        <f aca="false">ROUND(F145*Rubric!$B$4+G145*Rubric!$B$5+H145*Rubric!$B$6+I145*Rubric!$B$7+J145*Rubric!$B$8+K145*Rubric!$B$9+L145*Rubric!$B$10-IF(OR(H145&lt;Rubric!$B$12,K145&lt;Rubric!$B$12),Rubric!$B$13,0),2)</f>
        <v>7.4</v>
      </c>
      <c r="N145" s="14" t="n">
        <v>133</v>
      </c>
      <c r="O145" s="2" t="s">
        <v>725</v>
      </c>
    </row>
    <row r="146" customFormat="false" ht="23.85" hidden="false" customHeight="false" outlineLevel="0" collapsed="false">
      <c r="A146" s="2" t="s">
        <v>74</v>
      </c>
      <c r="B146" s="2" t="s">
        <v>75</v>
      </c>
      <c r="C146" s="14" t="n">
        <v>0</v>
      </c>
      <c r="D146" s="14" t="n">
        <v>5</v>
      </c>
      <c r="E146" s="2" t="s">
        <v>426</v>
      </c>
      <c r="F146" s="15" t="n">
        <v>8</v>
      </c>
      <c r="G146" s="15" t="n">
        <v>8</v>
      </c>
      <c r="H146" s="15" t="n">
        <v>7</v>
      </c>
      <c r="I146" s="15" t="n">
        <v>9</v>
      </c>
      <c r="J146" s="15" t="n">
        <v>8</v>
      </c>
      <c r="K146" s="15" t="n">
        <v>8</v>
      </c>
      <c r="L146" s="15" t="n">
        <v>9</v>
      </c>
      <c r="M146" s="4" t="n">
        <f aca="false">ROUND(F146*Rubric!$B$4+G146*Rubric!$B$5+H146*Rubric!$B$6+I146*Rubric!$B$7+J146*Rubric!$B$8+K146*Rubric!$B$9+L146*Rubric!$B$10-IF(OR(H146&lt;Rubric!$B$12,K146&lt;Rubric!$B$12),Rubric!$B$13,0),2)</f>
        <v>8.1</v>
      </c>
      <c r="N146" s="14" t="n">
        <v>134</v>
      </c>
      <c r="O146" s="2" t="s">
        <v>586</v>
      </c>
    </row>
    <row r="147" customFormat="false" ht="23.85" hidden="false" customHeight="false" outlineLevel="0" collapsed="false">
      <c r="A147" s="2" t="s">
        <v>79</v>
      </c>
      <c r="B147" s="2" t="s">
        <v>80</v>
      </c>
      <c r="C147" s="14" t="n">
        <v>0</v>
      </c>
      <c r="D147" s="14" t="n">
        <v>1</v>
      </c>
      <c r="E147" s="2" t="s">
        <v>363</v>
      </c>
      <c r="F147" s="15" t="n">
        <v>9</v>
      </c>
      <c r="G147" s="15" t="n">
        <v>9</v>
      </c>
      <c r="H147" s="15" t="n">
        <v>8</v>
      </c>
      <c r="I147" s="15" t="n">
        <v>3</v>
      </c>
      <c r="J147" s="15" t="n">
        <v>9</v>
      </c>
      <c r="K147" s="15" t="n">
        <v>9</v>
      </c>
      <c r="L147" s="15" t="n">
        <v>9</v>
      </c>
      <c r="M147" s="4" t="n">
        <f aca="false">ROUND(F147*Rubric!$B$4+G147*Rubric!$B$5+H147*Rubric!$B$6+I147*Rubric!$B$7+J147*Rubric!$B$8+K147*Rubric!$B$9+L147*Rubric!$B$10-IF(OR(H147&lt;Rubric!$B$12,K147&lt;Rubric!$B$12),Rubric!$B$13,0),2)</f>
        <v>8.3</v>
      </c>
      <c r="N147" s="14" t="n">
        <v>1000</v>
      </c>
      <c r="O147" s="2" t="s">
        <v>726</v>
      </c>
    </row>
    <row r="148" customFormat="false" ht="23.85" hidden="false" customHeight="false" outlineLevel="0" collapsed="false">
      <c r="A148" s="2" t="s">
        <v>79</v>
      </c>
      <c r="B148" s="2" t="s">
        <v>80</v>
      </c>
      <c r="C148" s="14" t="n">
        <v>1</v>
      </c>
      <c r="D148" s="14" t="n">
        <v>1</v>
      </c>
      <c r="E148" s="2" t="s">
        <v>427</v>
      </c>
      <c r="F148" s="15" t="n">
        <v>7</v>
      </c>
      <c r="G148" s="15" t="n">
        <v>8</v>
      </c>
      <c r="H148" s="15" t="n">
        <v>8</v>
      </c>
      <c r="I148" s="15" t="n">
        <v>3</v>
      </c>
      <c r="J148" s="15" t="n">
        <v>9</v>
      </c>
      <c r="K148" s="15" t="n">
        <v>8</v>
      </c>
      <c r="L148" s="15" t="n">
        <v>7</v>
      </c>
      <c r="M148" s="4" t="n">
        <f aca="false">ROUND(F148*Rubric!$B$4+G148*Rubric!$B$5+H148*Rubric!$B$6+I148*Rubric!$B$7+J148*Rubric!$B$8+K148*Rubric!$B$9+L148*Rubric!$B$10-IF(OR(H148&lt;Rubric!$B$12,K148&lt;Rubric!$B$12),Rubric!$B$13,0),2)</f>
        <v>7.75</v>
      </c>
      <c r="N148" s="14" t="n">
        <v>1000</v>
      </c>
      <c r="O148" s="2" t="s">
        <v>727</v>
      </c>
    </row>
    <row r="149" customFormat="false" ht="23.85" hidden="false" customHeight="false" outlineLevel="0" collapsed="false">
      <c r="A149" s="2" t="s">
        <v>79</v>
      </c>
      <c r="B149" s="2" t="s">
        <v>80</v>
      </c>
      <c r="C149" s="14" t="n">
        <v>0</v>
      </c>
      <c r="D149" s="14" t="n">
        <v>2</v>
      </c>
      <c r="E149" s="2" t="s">
        <v>358</v>
      </c>
      <c r="F149" s="15" t="n">
        <v>9</v>
      </c>
      <c r="G149" s="15" t="n">
        <v>9</v>
      </c>
      <c r="H149" s="15" t="n">
        <v>8</v>
      </c>
      <c r="I149" s="15" t="n">
        <v>4</v>
      </c>
      <c r="J149" s="15" t="n">
        <v>9</v>
      </c>
      <c r="K149" s="15" t="n">
        <v>9</v>
      </c>
      <c r="L149" s="15" t="n">
        <v>8</v>
      </c>
      <c r="M149" s="4" t="n">
        <f aca="false">ROUND(F149*Rubric!$B$4+G149*Rubric!$B$5+H149*Rubric!$B$6+I149*Rubric!$B$7+J149*Rubric!$B$8+K149*Rubric!$B$9+L149*Rubric!$B$10-IF(OR(H149&lt;Rubric!$B$12,K149&lt;Rubric!$B$12),Rubric!$B$13,0),2)</f>
        <v>8.3</v>
      </c>
      <c r="N149" s="14" t="n">
        <v>1001</v>
      </c>
      <c r="O149" s="2" t="s">
        <v>726</v>
      </c>
    </row>
    <row r="150" customFormat="false" ht="15" hidden="false" customHeight="false" outlineLevel="0" collapsed="false">
      <c r="A150" s="2" t="s">
        <v>79</v>
      </c>
      <c r="B150" s="2" t="s">
        <v>80</v>
      </c>
      <c r="C150" s="14" t="n">
        <v>1</v>
      </c>
      <c r="D150" s="14" t="n">
        <v>2</v>
      </c>
      <c r="E150" s="2" t="s">
        <v>428</v>
      </c>
      <c r="F150" s="15" t="n">
        <v>9</v>
      </c>
      <c r="G150" s="15" t="n">
        <v>9</v>
      </c>
      <c r="H150" s="15" t="n">
        <v>8</v>
      </c>
      <c r="I150" s="15" t="n">
        <v>3</v>
      </c>
      <c r="J150" s="15" t="n">
        <v>9</v>
      </c>
      <c r="K150" s="15" t="n">
        <v>9</v>
      </c>
      <c r="L150" s="15" t="n">
        <v>9</v>
      </c>
      <c r="M150" s="4" t="n">
        <f aca="false">ROUND(F150*Rubric!$B$4+G150*Rubric!$B$5+H150*Rubric!$B$6+I150*Rubric!$B$7+J150*Rubric!$B$8+K150*Rubric!$B$9+L150*Rubric!$B$10-IF(OR(H150&lt;Rubric!$B$12,K150&lt;Rubric!$B$12),Rubric!$B$13,0),2)</f>
        <v>8.3</v>
      </c>
      <c r="N150" s="14" t="n">
        <v>1001</v>
      </c>
      <c r="O150" s="2" t="s">
        <v>727</v>
      </c>
    </row>
    <row r="151" customFormat="false" ht="23.85" hidden="false" customHeight="false" outlineLevel="0" collapsed="false">
      <c r="A151" s="2" t="s">
        <v>79</v>
      </c>
      <c r="B151" s="2" t="s">
        <v>80</v>
      </c>
      <c r="C151" s="14" t="n">
        <v>0</v>
      </c>
      <c r="D151" s="14" t="n">
        <v>3</v>
      </c>
      <c r="E151" s="2" t="s">
        <v>364</v>
      </c>
      <c r="F151" s="15" t="n">
        <v>9</v>
      </c>
      <c r="G151" s="15" t="n">
        <v>9</v>
      </c>
      <c r="H151" s="15" t="n">
        <v>7</v>
      </c>
      <c r="I151" s="15" t="n">
        <v>3</v>
      </c>
      <c r="J151" s="15" t="n">
        <v>8</v>
      </c>
      <c r="K151" s="15" t="n">
        <v>9</v>
      </c>
      <c r="L151" s="15" t="n">
        <v>9</v>
      </c>
      <c r="M151" s="4" t="n">
        <f aca="false">ROUND(F151*Rubric!$B$4+G151*Rubric!$B$5+H151*Rubric!$B$6+I151*Rubric!$B$7+J151*Rubric!$B$8+K151*Rubric!$B$9+L151*Rubric!$B$10-IF(OR(H151&lt;Rubric!$B$12,K151&lt;Rubric!$B$12),Rubric!$B$13,0),2)</f>
        <v>7.8</v>
      </c>
      <c r="N151" s="14" t="n">
        <v>1002</v>
      </c>
      <c r="O151" s="2" t="s">
        <v>726</v>
      </c>
    </row>
    <row r="152" customFormat="false" ht="23.85" hidden="false" customHeight="false" outlineLevel="0" collapsed="false">
      <c r="A152" s="2" t="s">
        <v>79</v>
      </c>
      <c r="B152" s="2" t="s">
        <v>80</v>
      </c>
      <c r="C152" s="14" t="n">
        <v>1</v>
      </c>
      <c r="D152" s="14" t="n">
        <v>3</v>
      </c>
      <c r="E152" s="2" t="s">
        <v>429</v>
      </c>
      <c r="F152" s="15" t="n">
        <v>9</v>
      </c>
      <c r="G152" s="15" t="n">
        <v>9</v>
      </c>
      <c r="H152" s="15" t="n">
        <v>8</v>
      </c>
      <c r="I152" s="15" t="n">
        <v>3</v>
      </c>
      <c r="J152" s="15" t="n">
        <v>8</v>
      </c>
      <c r="K152" s="15" t="n">
        <v>9</v>
      </c>
      <c r="L152" s="15" t="n">
        <v>8</v>
      </c>
      <c r="M152" s="4" t="n">
        <f aca="false">ROUND(F152*Rubric!$B$4+G152*Rubric!$B$5+H152*Rubric!$B$6+I152*Rubric!$B$7+J152*Rubric!$B$8+K152*Rubric!$B$9+L152*Rubric!$B$10-IF(OR(H152&lt;Rubric!$B$12,K152&lt;Rubric!$B$12),Rubric!$B$13,0),2)</f>
        <v>7.8</v>
      </c>
      <c r="N152" s="14" t="n">
        <v>1002</v>
      </c>
      <c r="O152" s="2" t="s">
        <v>727</v>
      </c>
    </row>
    <row r="153" customFormat="false" ht="23.85" hidden="false" customHeight="false" outlineLevel="0" collapsed="false">
      <c r="A153" s="2" t="s">
        <v>79</v>
      </c>
      <c r="B153" s="2" t="s">
        <v>80</v>
      </c>
      <c r="C153" s="14" t="n">
        <v>0</v>
      </c>
      <c r="D153" s="14" t="n">
        <v>4</v>
      </c>
      <c r="E153" s="2" t="s">
        <v>365</v>
      </c>
      <c r="F153" s="15" t="n">
        <v>9</v>
      </c>
      <c r="G153" s="15" t="n">
        <v>8</v>
      </c>
      <c r="H153" s="15" t="n">
        <v>8</v>
      </c>
      <c r="I153" s="15" t="n">
        <v>3</v>
      </c>
      <c r="J153" s="15" t="n">
        <v>9</v>
      </c>
      <c r="K153" s="15" t="n">
        <v>8</v>
      </c>
      <c r="L153" s="15" t="n">
        <v>8</v>
      </c>
      <c r="M153" s="4" t="n">
        <f aca="false">ROUND(F153*Rubric!$B$4+G153*Rubric!$B$5+H153*Rubric!$B$6+I153*Rubric!$B$7+J153*Rubric!$B$8+K153*Rubric!$B$9+L153*Rubric!$B$10-IF(OR(H153&lt;Rubric!$B$12,K153&lt;Rubric!$B$12),Rubric!$B$13,0),2)</f>
        <v>7.95</v>
      </c>
      <c r="N153" s="14" t="n">
        <v>1003</v>
      </c>
      <c r="O153" s="2" t="s">
        <v>726</v>
      </c>
    </row>
    <row r="154" customFormat="false" ht="23.85" hidden="false" customHeight="false" outlineLevel="0" collapsed="false">
      <c r="A154" s="2" t="s">
        <v>79</v>
      </c>
      <c r="B154" s="2" t="s">
        <v>80</v>
      </c>
      <c r="C154" s="14" t="n">
        <v>1</v>
      </c>
      <c r="D154" s="14" t="n">
        <v>4</v>
      </c>
      <c r="E154" s="2" t="s">
        <v>430</v>
      </c>
      <c r="F154" s="15" t="n">
        <v>8</v>
      </c>
      <c r="G154" s="15" t="n">
        <v>9</v>
      </c>
      <c r="H154" s="15" t="n">
        <v>7</v>
      </c>
      <c r="I154" s="15" t="n">
        <v>3</v>
      </c>
      <c r="J154" s="15" t="n">
        <v>9</v>
      </c>
      <c r="K154" s="15" t="n">
        <v>9</v>
      </c>
      <c r="L154" s="15" t="n">
        <v>9</v>
      </c>
      <c r="M154" s="4" t="n">
        <f aca="false">ROUND(F154*Rubric!$B$4+G154*Rubric!$B$5+H154*Rubric!$B$6+I154*Rubric!$B$7+J154*Rubric!$B$8+K154*Rubric!$B$9+L154*Rubric!$B$10-IF(OR(H154&lt;Rubric!$B$12,K154&lt;Rubric!$B$12),Rubric!$B$13,0),2)</f>
        <v>8.15</v>
      </c>
      <c r="N154" s="14" t="n">
        <v>1003</v>
      </c>
      <c r="O154" s="2" t="s">
        <v>727</v>
      </c>
    </row>
    <row r="155" customFormat="false" ht="23.85" hidden="false" customHeight="false" outlineLevel="0" collapsed="false">
      <c r="A155" s="2" t="s">
        <v>79</v>
      </c>
      <c r="B155" s="2" t="s">
        <v>80</v>
      </c>
      <c r="C155" s="14" t="n">
        <v>0</v>
      </c>
      <c r="D155" s="14" t="n">
        <v>5</v>
      </c>
      <c r="E155" s="2" t="s">
        <v>366</v>
      </c>
      <c r="F155" s="15" t="n">
        <v>8</v>
      </c>
      <c r="G155" s="15" t="n">
        <v>8</v>
      </c>
      <c r="H155" s="15" t="n">
        <v>7</v>
      </c>
      <c r="I155" s="15" t="n">
        <v>9</v>
      </c>
      <c r="J155" s="15" t="n">
        <v>6</v>
      </c>
      <c r="K155" s="15" t="n">
        <v>8</v>
      </c>
      <c r="L155" s="15" t="n">
        <v>9</v>
      </c>
      <c r="M155" s="4" t="n">
        <f aca="false">ROUND(F155*Rubric!$B$4+G155*Rubric!$B$5+H155*Rubric!$B$6+I155*Rubric!$B$7+J155*Rubric!$B$8+K155*Rubric!$B$9+L155*Rubric!$B$10-IF(OR(H155&lt;Rubric!$B$12,K155&lt;Rubric!$B$12),Rubric!$B$13,0),2)</f>
        <v>7.3</v>
      </c>
      <c r="N155" s="14" t="n">
        <v>1004</v>
      </c>
      <c r="O155" s="2" t="s">
        <v>726</v>
      </c>
    </row>
    <row r="156" customFormat="false" ht="23.85" hidden="false" customHeight="false" outlineLevel="0" collapsed="false">
      <c r="A156" s="2" t="s">
        <v>79</v>
      </c>
      <c r="B156" s="2" t="s">
        <v>80</v>
      </c>
      <c r="C156" s="14" t="n">
        <v>1</v>
      </c>
      <c r="D156" s="14" t="n">
        <v>5</v>
      </c>
      <c r="E156" s="2" t="s">
        <v>365</v>
      </c>
      <c r="F156" s="15" t="n">
        <v>8</v>
      </c>
      <c r="G156" s="15" t="n">
        <v>8</v>
      </c>
      <c r="H156" s="15" t="n">
        <v>8</v>
      </c>
      <c r="I156" s="15" t="n">
        <v>3</v>
      </c>
      <c r="J156" s="15" t="n">
        <v>9</v>
      </c>
      <c r="K156" s="15" t="n">
        <v>8</v>
      </c>
      <c r="L156" s="15" t="n">
        <v>8</v>
      </c>
      <c r="M156" s="4" t="n">
        <f aca="false">ROUND(F156*Rubric!$B$4+G156*Rubric!$B$5+H156*Rubric!$B$6+I156*Rubric!$B$7+J156*Rubric!$B$8+K156*Rubric!$B$9+L156*Rubric!$B$10-IF(OR(H156&lt;Rubric!$B$12,K156&lt;Rubric!$B$12),Rubric!$B$13,0),2)</f>
        <v>7.9</v>
      </c>
      <c r="N156" s="14" t="n">
        <v>1004</v>
      </c>
      <c r="O156" s="2" t="s">
        <v>727</v>
      </c>
    </row>
    <row r="157" customFormat="false" ht="23.85" hidden="false" customHeight="false" outlineLevel="0" collapsed="false">
      <c r="A157" s="2" t="s">
        <v>86</v>
      </c>
      <c r="B157" s="2" t="s">
        <v>87</v>
      </c>
      <c r="C157" s="14" t="n">
        <v>0</v>
      </c>
      <c r="D157" s="14" t="n">
        <v>1</v>
      </c>
      <c r="E157" s="2" t="s">
        <v>407</v>
      </c>
      <c r="F157" s="15" t="n">
        <v>8</v>
      </c>
      <c r="G157" s="15" t="n">
        <v>8</v>
      </c>
      <c r="H157" s="15" t="n">
        <v>7</v>
      </c>
      <c r="I157" s="15" t="n">
        <v>10</v>
      </c>
      <c r="J157" s="15" t="n">
        <v>8</v>
      </c>
      <c r="K157" s="15" t="n">
        <v>7</v>
      </c>
      <c r="L157" s="15" t="n">
        <v>9</v>
      </c>
      <c r="M157" s="4" t="n">
        <f aca="false">ROUND(F157*Rubric!$B$4+G157*Rubric!$B$5+H157*Rubric!$B$6+I157*Rubric!$B$7+J157*Rubric!$B$8+K157*Rubric!$B$9+L157*Rubric!$B$10-IF(OR(H157&lt;Rubric!$B$12,K157&lt;Rubric!$B$12),Rubric!$B$13,0),2)</f>
        <v>8.1</v>
      </c>
      <c r="N157" s="14" t="n">
        <v>1010</v>
      </c>
      <c r="O157" s="2" t="s">
        <v>726</v>
      </c>
    </row>
    <row r="158" customFormat="false" ht="23.85" hidden="false" customHeight="false" outlineLevel="0" collapsed="false">
      <c r="A158" s="2" t="s">
        <v>86</v>
      </c>
      <c r="B158" s="2" t="s">
        <v>87</v>
      </c>
      <c r="C158" s="14" t="n">
        <v>1</v>
      </c>
      <c r="D158" s="14" t="n">
        <v>1</v>
      </c>
      <c r="E158" s="2" t="s">
        <v>431</v>
      </c>
      <c r="F158" s="15" t="n">
        <v>7</v>
      </c>
      <c r="G158" s="15" t="n">
        <v>8</v>
      </c>
      <c r="H158" s="15" t="n">
        <v>7</v>
      </c>
      <c r="I158" s="15" t="n">
        <v>10</v>
      </c>
      <c r="J158" s="15" t="n">
        <v>10</v>
      </c>
      <c r="K158" s="15" t="n">
        <v>8</v>
      </c>
      <c r="L158" s="15" t="n">
        <v>9</v>
      </c>
      <c r="M158" s="4" t="n">
        <f aca="false">ROUND(F158*Rubric!$B$4+G158*Rubric!$B$5+H158*Rubric!$B$6+I158*Rubric!$B$7+J158*Rubric!$B$8+K158*Rubric!$B$9+L158*Rubric!$B$10-IF(OR(H158&lt;Rubric!$B$12,K158&lt;Rubric!$B$12),Rubric!$B$13,0),2)</f>
        <v>8.95</v>
      </c>
      <c r="N158" s="14" t="n">
        <v>1010</v>
      </c>
      <c r="O158" s="2" t="s">
        <v>728</v>
      </c>
    </row>
    <row r="159" customFormat="false" ht="23.85" hidden="false" customHeight="false" outlineLevel="0" collapsed="false">
      <c r="A159" s="2" t="s">
        <v>86</v>
      </c>
      <c r="B159" s="2" t="s">
        <v>87</v>
      </c>
      <c r="C159" s="14" t="n">
        <v>0</v>
      </c>
      <c r="D159" s="14" t="n">
        <v>2</v>
      </c>
      <c r="E159" s="2" t="s">
        <v>408</v>
      </c>
      <c r="F159" s="15" t="n">
        <v>9</v>
      </c>
      <c r="G159" s="15" t="n">
        <v>8</v>
      </c>
      <c r="H159" s="15" t="n">
        <v>8</v>
      </c>
      <c r="I159" s="15" t="n">
        <v>10</v>
      </c>
      <c r="J159" s="15" t="n">
        <v>9</v>
      </c>
      <c r="K159" s="15" t="n">
        <v>8</v>
      </c>
      <c r="L159" s="15" t="n">
        <v>9</v>
      </c>
      <c r="M159" s="4" t="n">
        <f aca="false">ROUND(F159*Rubric!$B$4+G159*Rubric!$B$5+H159*Rubric!$B$6+I159*Rubric!$B$7+J159*Rubric!$B$8+K159*Rubric!$B$9+L159*Rubric!$B$10-IF(OR(H159&lt;Rubric!$B$12,K159&lt;Rubric!$B$12),Rubric!$B$13,0),2)</f>
        <v>8.75</v>
      </c>
      <c r="N159" s="14" t="n">
        <v>1011</v>
      </c>
      <c r="O159" s="2" t="s">
        <v>726</v>
      </c>
    </row>
    <row r="160" customFormat="false" ht="23.85" hidden="false" customHeight="false" outlineLevel="0" collapsed="false">
      <c r="A160" s="2" t="s">
        <v>86</v>
      </c>
      <c r="B160" s="2" t="s">
        <v>87</v>
      </c>
      <c r="C160" s="14" t="n">
        <v>1</v>
      </c>
      <c r="D160" s="14" t="n">
        <v>2</v>
      </c>
      <c r="E160" s="2" t="s">
        <v>432</v>
      </c>
      <c r="F160" s="15" t="n">
        <v>9</v>
      </c>
      <c r="G160" s="15" t="n">
        <v>8</v>
      </c>
      <c r="H160" s="15" t="n">
        <v>8</v>
      </c>
      <c r="I160" s="15" t="n">
        <v>10</v>
      </c>
      <c r="J160" s="15" t="n">
        <v>9</v>
      </c>
      <c r="K160" s="15" t="n">
        <v>8</v>
      </c>
      <c r="L160" s="15" t="n">
        <v>9</v>
      </c>
      <c r="M160" s="4" t="n">
        <f aca="false">ROUND(F160*Rubric!$B$4+G160*Rubric!$B$5+H160*Rubric!$B$6+I160*Rubric!$B$7+J160*Rubric!$B$8+K160*Rubric!$B$9+L160*Rubric!$B$10-IF(OR(H160&lt;Rubric!$B$12,K160&lt;Rubric!$B$12),Rubric!$B$13,0),2)</f>
        <v>8.75</v>
      </c>
      <c r="N160" s="14" t="n">
        <v>1011</v>
      </c>
      <c r="O160" s="2" t="s">
        <v>728</v>
      </c>
    </row>
    <row r="161" customFormat="false" ht="23.85" hidden="false" customHeight="false" outlineLevel="0" collapsed="false">
      <c r="A161" s="2" t="s">
        <v>86</v>
      </c>
      <c r="B161" s="2" t="s">
        <v>87</v>
      </c>
      <c r="C161" s="14" t="n">
        <v>0</v>
      </c>
      <c r="D161" s="14" t="n">
        <v>3</v>
      </c>
      <c r="E161" s="2" t="s">
        <v>400</v>
      </c>
      <c r="F161" s="15" t="n">
        <v>7</v>
      </c>
      <c r="G161" s="15" t="n">
        <v>8</v>
      </c>
      <c r="H161" s="15" t="n">
        <v>8</v>
      </c>
      <c r="I161" s="15" t="n">
        <v>10</v>
      </c>
      <c r="J161" s="15" t="n">
        <v>8</v>
      </c>
      <c r="K161" s="15" t="n">
        <v>8</v>
      </c>
      <c r="L161" s="15" t="n">
        <v>9</v>
      </c>
      <c r="M161" s="4" t="n">
        <f aca="false">ROUND(F161*Rubric!$B$4+G161*Rubric!$B$5+H161*Rubric!$B$6+I161*Rubric!$B$7+J161*Rubric!$B$8+K161*Rubric!$B$9+L161*Rubric!$B$10-IF(OR(H161&lt;Rubric!$B$12,K161&lt;Rubric!$B$12),Rubric!$B$13,0),2)</f>
        <v>8.25</v>
      </c>
      <c r="N161" s="14" t="n">
        <v>1012</v>
      </c>
      <c r="O161" s="2" t="s">
        <v>726</v>
      </c>
    </row>
    <row r="162" customFormat="false" ht="23.85" hidden="false" customHeight="false" outlineLevel="0" collapsed="false">
      <c r="A162" s="2" t="s">
        <v>86</v>
      </c>
      <c r="B162" s="2" t="s">
        <v>87</v>
      </c>
      <c r="C162" s="14" t="n">
        <v>1</v>
      </c>
      <c r="D162" s="14" t="n">
        <v>3</v>
      </c>
      <c r="E162" s="2" t="s">
        <v>433</v>
      </c>
      <c r="F162" s="15" t="n">
        <v>6</v>
      </c>
      <c r="G162" s="15" t="n">
        <v>9</v>
      </c>
      <c r="H162" s="15" t="n">
        <v>7</v>
      </c>
      <c r="I162" s="15" t="n">
        <v>10</v>
      </c>
      <c r="J162" s="15" t="n">
        <v>9</v>
      </c>
      <c r="K162" s="15" t="n">
        <v>7</v>
      </c>
      <c r="L162" s="15" t="n">
        <v>9</v>
      </c>
      <c r="M162" s="4" t="n">
        <f aca="false">ROUND(F162*Rubric!$B$4+G162*Rubric!$B$5+H162*Rubric!$B$6+I162*Rubric!$B$7+J162*Rubric!$B$8+K162*Rubric!$B$9+L162*Rubric!$B$10-IF(OR(H162&lt;Rubric!$B$12,K162&lt;Rubric!$B$12),Rubric!$B$13,0),2)</f>
        <v>8.55</v>
      </c>
      <c r="N162" s="14" t="n">
        <v>1012</v>
      </c>
      <c r="O162" s="2" t="s">
        <v>728</v>
      </c>
    </row>
    <row r="163" customFormat="false" ht="23.85" hidden="false" customHeight="false" outlineLevel="0" collapsed="false">
      <c r="A163" s="2" t="s">
        <v>86</v>
      </c>
      <c r="B163" s="2" t="s">
        <v>87</v>
      </c>
      <c r="C163" s="14" t="n">
        <v>0</v>
      </c>
      <c r="D163" s="14" t="n">
        <v>4</v>
      </c>
      <c r="E163" s="2" t="s">
        <v>421</v>
      </c>
      <c r="F163" s="15" t="n">
        <v>8</v>
      </c>
      <c r="G163" s="15" t="n">
        <v>8</v>
      </c>
      <c r="H163" s="15" t="n">
        <v>8</v>
      </c>
      <c r="I163" s="15" t="n">
        <v>9</v>
      </c>
      <c r="J163" s="15" t="n">
        <v>9</v>
      </c>
      <c r="K163" s="15" t="n">
        <v>8</v>
      </c>
      <c r="L163" s="15" t="n">
        <v>8</v>
      </c>
      <c r="M163" s="4" t="n">
        <f aca="false">ROUND(F163*Rubric!$B$4+G163*Rubric!$B$5+H163*Rubric!$B$6+I163*Rubric!$B$7+J163*Rubric!$B$8+K163*Rubric!$B$9+L163*Rubric!$B$10-IF(OR(H163&lt;Rubric!$B$12,K163&lt;Rubric!$B$12),Rubric!$B$13,0),2)</f>
        <v>8.5</v>
      </c>
      <c r="N163" s="14" t="n">
        <v>1013</v>
      </c>
      <c r="O163" s="2" t="s">
        <v>726</v>
      </c>
    </row>
    <row r="164" customFormat="false" ht="23.85" hidden="false" customHeight="false" outlineLevel="0" collapsed="false">
      <c r="A164" s="2" t="s">
        <v>86</v>
      </c>
      <c r="B164" s="2" t="s">
        <v>87</v>
      </c>
      <c r="C164" s="14" t="n">
        <v>1</v>
      </c>
      <c r="D164" s="14" t="n">
        <v>4</v>
      </c>
      <c r="E164" s="2" t="s">
        <v>434</v>
      </c>
      <c r="F164" s="15" t="n">
        <v>8</v>
      </c>
      <c r="G164" s="15" t="n">
        <v>8</v>
      </c>
      <c r="H164" s="15" t="n">
        <v>7</v>
      </c>
      <c r="I164" s="15" t="n">
        <v>10</v>
      </c>
      <c r="J164" s="15" t="n">
        <v>8</v>
      </c>
      <c r="K164" s="15" t="n">
        <v>7</v>
      </c>
      <c r="L164" s="15" t="n">
        <v>8</v>
      </c>
      <c r="M164" s="4" t="n">
        <f aca="false">ROUND(F164*Rubric!$B$4+G164*Rubric!$B$5+H164*Rubric!$B$6+I164*Rubric!$B$7+J164*Rubric!$B$8+K164*Rubric!$B$9+L164*Rubric!$B$10-IF(OR(H164&lt;Rubric!$B$12,K164&lt;Rubric!$B$12),Rubric!$B$13,0),2)</f>
        <v>8</v>
      </c>
      <c r="N164" s="14" t="n">
        <v>1013</v>
      </c>
      <c r="O164" s="2" t="s">
        <v>728</v>
      </c>
    </row>
    <row r="165" customFormat="false" ht="23.85" hidden="false" customHeight="false" outlineLevel="0" collapsed="false">
      <c r="A165" s="2" t="s">
        <v>86</v>
      </c>
      <c r="B165" s="2" t="s">
        <v>87</v>
      </c>
      <c r="C165" s="14" t="n">
        <v>0</v>
      </c>
      <c r="D165" s="14" t="n">
        <v>5</v>
      </c>
      <c r="E165" s="2" t="s">
        <v>376</v>
      </c>
      <c r="F165" s="15" t="n">
        <v>8</v>
      </c>
      <c r="G165" s="15" t="n">
        <v>8</v>
      </c>
      <c r="H165" s="15" t="n">
        <v>7</v>
      </c>
      <c r="I165" s="15" t="n">
        <v>9</v>
      </c>
      <c r="J165" s="15" t="n">
        <v>7</v>
      </c>
      <c r="K165" s="15" t="n">
        <v>8</v>
      </c>
      <c r="L165" s="15" t="n">
        <v>9</v>
      </c>
      <c r="M165" s="4" t="n">
        <f aca="false">ROUND(F165*Rubric!$B$4+G165*Rubric!$B$5+H165*Rubric!$B$6+I165*Rubric!$B$7+J165*Rubric!$B$8+K165*Rubric!$B$9+L165*Rubric!$B$10-IF(OR(H165&lt;Rubric!$B$12,K165&lt;Rubric!$B$12),Rubric!$B$13,0),2)</f>
        <v>7.7</v>
      </c>
      <c r="N165" s="14" t="n">
        <v>1014</v>
      </c>
      <c r="O165" s="2" t="s">
        <v>726</v>
      </c>
    </row>
    <row r="166" customFormat="false" ht="23.85" hidden="false" customHeight="false" outlineLevel="0" collapsed="false">
      <c r="A166" s="2" t="s">
        <v>86</v>
      </c>
      <c r="B166" s="2" t="s">
        <v>87</v>
      </c>
      <c r="C166" s="14" t="n">
        <v>1</v>
      </c>
      <c r="D166" s="14" t="n">
        <v>5</v>
      </c>
      <c r="E166" s="2" t="s">
        <v>435</v>
      </c>
      <c r="F166" s="15" t="n">
        <v>9</v>
      </c>
      <c r="G166" s="15" t="n">
        <v>8</v>
      </c>
      <c r="H166" s="15" t="n">
        <v>7</v>
      </c>
      <c r="I166" s="15" t="n">
        <v>10</v>
      </c>
      <c r="J166" s="15" t="n">
        <v>8</v>
      </c>
      <c r="K166" s="15" t="n">
        <v>7</v>
      </c>
      <c r="L166" s="15" t="n">
        <v>9</v>
      </c>
      <c r="M166" s="4" t="n">
        <f aca="false">ROUND(F166*Rubric!$B$4+G166*Rubric!$B$5+H166*Rubric!$B$6+I166*Rubric!$B$7+J166*Rubric!$B$8+K166*Rubric!$B$9+L166*Rubric!$B$10-IF(OR(H166&lt;Rubric!$B$12,K166&lt;Rubric!$B$12),Rubric!$B$13,0),2)</f>
        <v>8.15</v>
      </c>
      <c r="N166" s="14" t="n">
        <v>1014</v>
      </c>
      <c r="O166" s="2" t="s">
        <v>728</v>
      </c>
    </row>
    <row r="167" customFormat="false" ht="23.85" hidden="false" customHeight="false" outlineLevel="0" collapsed="false">
      <c r="A167" s="2" t="s">
        <v>92</v>
      </c>
      <c r="B167" s="2" t="s">
        <v>93</v>
      </c>
      <c r="C167" s="14" t="n">
        <v>0</v>
      </c>
      <c r="D167" s="14" t="n">
        <v>1</v>
      </c>
      <c r="E167" s="2" t="s">
        <v>399</v>
      </c>
      <c r="F167" s="15" t="n">
        <v>9</v>
      </c>
      <c r="G167" s="15" t="n">
        <v>9</v>
      </c>
      <c r="H167" s="15" t="n">
        <v>7</v>
      </c>
      <c r="I167" s="15" t="n">
        <v>10</v>
      </c>
      <c r="J167" s="15" t="n">
        <v>8</v>
      </c>
      <c r="K167" s="15" t="n">
        <v>8</v>
      </c>
      <c r="L167" s="15" t="n">
        <v>10</v>
      </c>
      <c r="M167" s="4" t="n">
        <f aca="false">ROUND(F167*Rubric!$B$4+G167*Rubric!$B$5+H167*Rubric!$B$6+I167*Rubric!$B$7+J167*Rubric!$B$8+K167*Rubric!$B$9+L167*Rubric!$B$10-IF(OR(H167&lt;Rubric!$B$12,K167&lt;Rubric!$B$12),Rubric!$B$13,0),2)</f>
        <v>8.5</v>
      </c>
      <c r="N167" s="14" t="n">
        <v>1020</v>
      </c>
      <c r="O167" s="2" t="s">
        <v>726</v>
      </c>
    </row>
    <row r="168" customFormat="false" ht="23.85" hidden="false" customHeight="false" outlineLevel="0" collapsed="false">
      <c r="A168" s="2" t="s">
        <v>92</v>
      </c>
      <c r="B168" s="2" t="s">
        <v>93</v>
      </c>
      <c r="C168" s="14" t="n">
        <v>1</v>
      </c>
      <c r="D168" s="14" t="n">
        <v>1</v>
      </c>
      <c r="E168" s="2" t="s">
        <v>436</v>
      </c>
      <c r="F168" s="15" t="n">
        <v>7</v>
      </c>
      <c r="G168" s="15" t="n">
        <v>8</v>
      </c>
      <c r="H168" s="15" t="n">
        <v>7</v>
      </c>
      <c r="I168" s="15" t="n">
        <v>10</v>
      </c>
      <c r="J168" s="15" t="n">
        <v>10</v>
      </c>
      <c r="K168" s="15" t="n">
        <v>7</v>
      </c>
      <c r="L168" s="15" t="n">
        <v>9</v>
      </c>
      <c r="M168" s="4" t="n">
        <f aca="false">ROUND(F168*Rubric!$B$4+G168*Rubric!$B$5+H168*Rubric!$B$6+I168*Rubric!$B$7+J168*Rubric!$B$8+K168*Rubric!$B$9+L168*Rubric!$B$10-IF(OR(H168&lt;Rubric!$B$12,K168&lt;Rubric!$B$12),Rubric!$B$13,0),2)</f>
        <v>8.85</v>
      </c>
      <c r="N168" s="14" t="n">
        <v>1020</v>
      </c>
      <c r="O168" s="2" t="s">
        <v>729</v>
      </c>
    </row>
    <row r="169" customFormat="false" ht="23.85" hidden="false" customHeight="false" outlineLevel="0" collapsed="false">
      <c r="A169" s="2" t="s">
        <v>92</v>
      </c>
      <c r="B169" s="2" t="s">
        <v>93</v>
      </c>
      <c r="C169" s="14" t="n">
        <v>0</v>
      </c>
      <c r="D169" s="14" t="n">
        <v>2</v>
      </c>
      <c r="E169" s="2" t="s">
        <v>408</v>
      </c>
      <c r="F169" s="15" t="n">
        <v>9</v>
      </c>
      <c r="G169" s="15" t="n">
        <v>8</v>
      </c>
      <c r="H169" s="15" t="n">
        <v>8</v>
      </c>
      <c r="I169" s="15" t="n">
        <v>10</v>
      </c>
      <c r="J169" s="15" t="n">
        <v>8</v>
      </c>
      <c r="K169" s="15" t="n">
        <v>8</v>
      </c>
      <c r="L169" s="15" t="n">
        <v>9</v>
      </c>
      <c r="M169" s="4" t="n">
        <f aca="false">ROUND(F169*Rubric!$B$4+G169*Rubric!$B$5+H169*Rubric!$B$6+I169*Rubric!$B$7+J169*Rubric!$B$8+K169*Rubric!$B$9+L169*Rubric!$B$10-IF(OR(H169&lt;Rubric!$B$12,K169&lt;Rubric!$B$12),Rubric!$B$13,0),2)</f>
        <v>8.35</v>
      </c>
      <c r="N169" s="14" t="n">
        <v>1021</v>
      </c>
      <c r="O169" s="2" t="s">
        <v>726</v>
      </c>
    </row>
    <row r="170" customFormat="false" ht="23.85" hidden="false" customHeight="false" outlineLevel="0" collapsed="false">
      <c r="A170" s="2" t="s">
        <v>92</v>
      </c>
      <c r="B170" s="2" t="s">
        <v>93</v>
      </c>
      <c r="C170" s="14" t="n">
        <v>1</v>
      </c>
      <c r="D170" s="14" t="n">
        <v>2</v>
      </c>
      <c r="E170" s="2" t="s">
        <v>437</v>
      </c>
      <c r="F170" s="15" t="n">
        <v>9</v>
      </c>
      <c r="G170" s="15" t="n">
        <v>8</v>
      </c>
      <c r="H170" s="15" t="n">
        <v>7</v>
      </c>
      <c r="I170" s="15" t="n">
        <v>10</v>
      </c>
      <c r="J170" s="15" t="n">
        <v>9</v>
      </c>
      <c r="K170" s="15" t="n">
        <v>7</v>
      </c>
      <c r="L170" s="15" t="n">
        <v>9</v>
      </c>
      <c r="M170" s="4" t="n">
        <f aca="false">ROUND(F170*Rubric!$B$4+G170*Rubric!$B$5+H170*Rubric!$B$6+I170*Rubric!$B$7+J170*Rubric!$B$8+K170*Rubric!$B$9+L170*Rubric!$B$10-IF(OR(H170&lt;Rubric!$B$12,K170&lt;Rubric!$B$12),Rubric!$B$13,0),2)</f>
        <v>8.55</v>
      </c>
      <c r="N170" s="14" t="n">
        <v>1021</v>
      </c>
      <c r="O170" s="2" t="s">
        <v>729</v>
      </c>
    </row>
    <row r="171" customFormat="false" ht="23.85" hidden="false" customHeight="false" outlineLevel="0" collapsed="false">
      <c r="A171" s="2" t="s">
        <v>92</v>
      </c>
      <c r="B171" s="2" t="s">
        <v>93</v>
      </c>
      <c r="C171" s="14" t="n">
        <v>0</v>
      </c>
      <c r="D171" s="14" t="n">
        <v>3</v>
      </c>
      <c r="E171" s="2" t="s">
        <v>385</v>
      </c>
      <c r="F171" s="15" t="n">
        <v>8</v>
      </c>
      <c r="G171" s="15" t="n">
        <v>8</v>
      </c>
      <c r="H171" s="15" t="n">
        <v>7</v>
      </c>
      <c r="I171" s="15" t="n">
        <v>10</v>
      </c>
      <c r="J171" s="15" t="n">
        <v>9</v>
      </c>
      <c r="K171" s="15" t="n">
        <v>7</v>
      </c>
      <c r="L171" s="15" t="n">
        <v>9</v>
      </c>
      <c r="M171" s="4" t="n">
        <f aca="false">ROUND(F171*Rubric!$B$4+G171*Rubric!$B$5+H171*Rubric!$B$6+I171*Rubric!$B$7+J171*Rubric!$B$8+K171*Rubric!$B$9+L171*Rubric!$B$10-IF(OR(H171&lt;Rubric!$B$12,K171&lt;Rubric!$B$12),Rubric!$B$13,0),2)</f>
        <v>8.5</v>
      </c>
      <c r="N171" s="14" t="n">
        <v>1022</v>
      </c>
      <c r="O171" s="2" t="s">
        <v>726</v>
      </c>
    </row>
    <row r="172" customFormat="false" ht="23.85" hidden="false" customHeight="false" outlineLevel="0" collapsed="false">
      <c r="A172" s="2" t="s">
        <v>92</v>
      </c>
      <c r="B172" s="2" t="s">
        <v>93</v>
      </c>
      <c r="C172" s="14" t="n">
        <v>1</v>
      </c>
      <c r="D172" s="14" t="n">
        <v>3</v>
      </c>
      <c r="E172" s="2" t="s">
        <v>438</v>
      </c>
      <c r="F172" s="15" t="n">
        <v>7</v>
      </c>
      <c r="G172" s="15" t="n">
        <v>9</v>
      </c>
      <c r="H172" s="15" t="n">
        <v>7</v>
      </c>
      <c r="I172" s="15" t="n">
        <v>5</v>
      </c>
      <c r="J172" s="15" t="n">
        <v>9</v>
      </c>
      <c r="K172" s="15" t="n">
        <v>8</v>
      </c>
      <c r="L172" s="15" t="n">
        <v>8</v>
      </c>
      <c r="M172" s="4" t="n">
        <f aca="false">ROUND(F172*Rubric!$B$4+G172*Rubric!$B$5+H172*Rubric!$B$6+I172*Rubric!$B$7+J172*Rubric!$B$8+K172*Rubric!$B$9+L172*Rubric!$B$10-IF(OR(H172&lt;Rubric!$B$12,K172&lt;Rubric!$B$12),Rubric!$B$13,0),2)</f>
        <v>8.1</v>
      </c>
      <c r="N172" s="14" t="n">
        <v>1022</v>
      </c>
      <c r="O172" s="2" t="s">
        <v>729</v>
      </c>
    </row>
    <row r="173" customFormat="false" ht="23.85" hidden="false" customHeight="false" outlineLevel="0" collapsed="false">
      <c r="A173" s="2" t="s">
        <v>92</v>
      </c>
      <c r="B173" s="2" t="s">
        <v>93</v>
      </c>
      <c r="C173" s="14" t="n">
        <v>0</v>
      </c>
      <c r="D173" s="14" t="n">
        <v>4</v>
      </c>
      <c r="E173" s="2" t="s">
        <v>404</v>
      </c>
      <c r="F173" s="15" t="n">
        <v>8</v>
      </c>
      <c r="G173" s="15" t="n">
        <v>8</v>
      </c>
      <c r="H173" s="15" t="n">
        <v>7</v>
      </c>
      <c r="I173" s="15" t="n">
        <v>10</v>
      </c>
      <c r="J173" s="15" t="n">
        <v>6</v>
      </c>
      <c r="K173" s="15" t="n">
        <v>7</v>
      </c>
      <c r="L173" s="15" t="n">
        <v>9</v>
      </c>
      <c r="M173" s="4" t="n">
        <f aca="false">ROUND(F173*Rubric!$B$4+G173*Rubric!$B$5+H173*Rubric!$B$6+I173*Rubric!$B$7+J173*Rubric!$B$8+K173*Rubric!$B$9+L173*Rubric!$B$10-IF(OR(H173&lt;Rubric!$B$12,K173&lt;Rubric!$B$12),Rubric!$B$13,0),2)</f>
        <v>7.3</v>
      </c>
      <c r="N173" s="14" t="n">
        <v>1023</v>
      </c>
      <c r="O173" s="2" t="s">
        <v>726</v>
      </c>
    </row>
    <row r="174" customFormat="false" ht="23.85" hidden="false" customHeight="false" outlineLevel="0" collapsed="false">
      <c r="A174" s="2" t="s">
        <v>92</v>
      </c>
      <c r="B174" s="2" t="s">
        <v>93</v>
      </c>
      <c r="C174" s="14" t="n">
        <v>1</v>
      </c>
      <c r="D174" s="14" t="n">
        <v>4</v>
      </c>
      <c r="E174" s="2" t="s">
        <v>730</v>
      </c>
      <c r="F174" s="15" t="n">
        <v>7</v>
      </c>
      <c r="G174" s="15" t="n">
        <v>8</v>
      </c>
      <c r="H174" s="15" t="n">
        <v>7</v>
      </c>
      <c r="I174" s="15" t="n">
        <v>5</v>
      </c>
      <c r="J174" s="15" t="n">
        <v>8</v>
      </c>
      <c r="K174" s="15" t="n">
        <v>7</v>
      </c>
      <c r="L174" s="15" t="n">
        <v>7</v>
      </c>
      <c r="M174" s="4" t="n">
        <f aca="false">ROUND(F174*Rubric!$B$4+G174*Rubric!$B$5+H174*Rubric!$B$6+I174*Rubric!$B$7+J174*Rubric!$B$8+K174*Rubric!$B$9+L174*Rubric!$B$10-IF(OR(H174&lt;Rubric!$B$12,K174&lt;Rubric!$B$12),Rubric!$B$13,0),2)</f>
        <v>7.35</v>
      </c>
      <c r="N174" s="14" t="n">
        <v>1023</v>
      </c>
      <c r="O174" s="2" t="s">
        <v>729</v>
      </c>
    </row>
    <row r="175" customFormat="false" ht="23.85" hidden="false" customHeight="false" outlineLevel="0" collapsed="false">
      <c r="A175" s="2" t="s">
        <v>92</v>
      </c>
      <c r="B175" s="2" t="s">
        <v>93</v>
      </c>
      <c r="C175" s="14" t="n">
        <v>2</v>
      </c>
      <c r="D175" s="14" t="n">
        <v>4</v>
      </c>
      <c r="E175" s="2" t="s">
        <v>439</v>
      </c>
      <c r="F175" s="15" t="n">
        <v>8</v>
      </c>
      <c r="G175" s="15" t="n">
        <v>9</v>
      </c>
      <c r="H175" s="15" t="n">
        <v>7</v>
      </c>
      <c r="I175" s="15" t="n">
        <v>10</v>
      </c>
      <c r="J175" s="15" t="n">
        <v>10</v>
      </c>
      <c r="K175" s="15" t="n">
        <v>7</v>
      </c>
      <c r="L175" s="15" t="n">
        <v>10</v>
      </c>
      <c r="M175" s="4" t="n">
        <f aca="false">ROUND(F175*Rubric!$B$4+G175*Rubric!$B$5+H175*Rubric!$B$6+I175*Rubric!$B$7+J175*Rubric!$B$8+K175*Rubric!$B$9+L175*Rubric!$B$10-IF(OR(H175&lt;Rubric!$B$12,K175&lt;Rubric!$B$12),Rubric!$B$13,0),2)</f>
        <v>9.15</v>
      </c>
      <c r="N175" s="14" t="n">
        <v>1023</v>
      </c>
      <c r="O175" s="2" t="s">
        <v>731</v>
      </c>
    </row>
    <row r="176" customFormat="false" ht="15" hidden="false" customHeight="false" outlineLevel="0" collapsed="false">
      <c r="A176" s="2" t="s">
        <v>92</v>
      </c>
      <c r="B176" s="2" t="s">
        <v>93</v>
      </c>
      <c r="C176" s="14" t="n">
        <v>0</v>
      </c>
      <c r="D176" s="14" t="n">
        <v>5</v>
      </c>
      <c r="E176" s="2" t="s">
        <v>396</v>
      </c>
      <c r="F176" s="15" t="n">
        <v>8</v>
      </c>
      <c r="G176" s="15" t="n">
        <v>8</v>
      </c>
      <c r="H176" s="15" t="n">
        <v>8</v>
      </c>
      <c r="I176" s="15" t="n">
        <v>9</v>
      </c>
      <c r="J176" s="15" t="n">
        <v>9</v>
      </c>
      <c r="K176" s="15" t="n">
        <v>8</v>
      </c>
      <c r="L176" s="15" t="n">
        <v>9</v>
      </c>
      <c r="M176" s="4" t="n">
        <f aca="false">ROUND(F176*Rubric!$B$4+G176*Rubric!$B$5+H176*Rubric!$B$6+I176*Rubric!$B$7+J176*Rubric!$B$8+K176*Rubric!$B$9+L176*Rubric!$B$10-IF(OR(H176&lt;Rubric!$B$12,K176&lt;Rubric!$B$12),Rubric!$B$13,0),2)</f>
        <v>8.6</v>
      </c>
      <c r="N176" s="14" t="n">
        <v>1024</v>
      </c>
      <c r="O176" s="2" t="s">
        <v>726</v>
      </c>
    </row>
    <row r="177" customFormat="false" ht="23.85" hidden="false" customHeight="false" outlineLevel="0" collapsed="false">
      <c r="A177" s="2" t="s">
        <v>92</v>
      </c>
      <c r="B177" s="2" t="s">
        <v>93</v>
      </c>
      <c r="C177" s="14" t="n">
        <v>1</v>
      </c>
      <c r="D177" s="14" t="n">
        <v>5</v>
      </c>
      <c r="E177" s="2" t="s">
        <v>440</v>
      </c>
      <c r="F177" s="15" t="n">
        <v>9</v>
      </c>
      <c r="G177" s="15" t="n">
        <v>9</v>
      </c>
      <c r="H177" s="15" t="n">
        <v>7</v>
      </c>
      <c r="I177" s="15" t="n">
        <v>10</v>
      </c>
      <c r="J177" s="15" t="n">
        <v>9</v>
      </c>
      <c r="K177" s="15" t="n">
        <v>8</v>
      </c>
      <c r="L177" s="15" t="n">
        <v>10</v>
      </c>
      <c r="M177" s="4" t="n">
        <f aca="false">ROUND(F177*Rubric!$B$4+G177*Rubric!$B$5+H177*Rubric!$B$6+I177*Rubric!$B$7+J177*Rubric!$B$8+K177*Rubric!$B$9+L177*Rubric!$B$10-IF(OR(H177&lt;Rubric!$B$12,K177&lt;Rubric!$B$12),Rubric!$B$13,0),2)</f>
        <v>8.9</v>
      </c>
      <c r="N177" s="14" t="n">
        <v>1024</v>
      </c>
      <c r="O177" s="2" t="s">
        <v>729</v>
      </c>
    </row>
    <row r="178" customFormat="false" ht="23.85" hidden="false" customHeight="false" outlineLevel="0" collapsed="false">
      <c r="A178" s="2" t="s">
        <v>98</v>
      </c>
      <c r="B178" s="2" t="s">
        <v>99</v>
      </c>
      <c r="C178" s="14" t="n">
        <v>0</v>
      </c>
      <c r="D178" s="14" t="n">
        <v>1</v>
      </c>
      <c r="E178" s="2" t="s">
        <v>385</v>
      </c>
      <c r="F178" s="15" t="n">
        <v>8</v>
      </c>
      <c r="G178" s="15" t="n">
        <v>8</v>
      </c>
      <c r="H178" s="15" t="n">
        <v>7</v>
      </c>
      <c r="I178" s="15" t="n">
        <v>10</v>
      </c>
      <c r="J178" s="15" t="n">
        <v>8</v>
      </c>
      <c r="K178" s="15" t="n">
        <v>7</v>
      </c>
      <c r="L178" s="15" t="n">
        <v>9</v>
      </c>
      <c r="M178" s="4" t="n">
        <f aca="false">ROUND(F178*Rubric!$B$4+G178*Rubric!$B$5+H178*Rubric!$B$6+I178*Rubric!$B$7+J178*Rubric!$B$8+K178*Rubric!$B$9+L178*Rubric!$B$10-IF(OR(H178&lt;Rubric!$B$12,K178&lt;Rubric!$B$12),Rubric!$B$13,0),2)</f>
        <v>8.1</v>
      </c>
      <c r="N178" s="14" t="n">
        <v>1030</v>
      </c>
      <c r="O178" s="2" t="s">
        <v>726</v>
      </c>
    </row>
    <row r="179" customFormat="false" ht="23.85" hidden="false" customHeight="false" outlineLevel="0" collapsed="false">
      <c r="A179" s="2" t="s">
        <v>98</v>
      </c>
      <c r="B179" s="2" t="s">
        <v>99</v>
      </c>
      <c r="C179" s="14" t="n">
        <v>1</v>
      </c>
      <c r="D179" s="14" t="n">
        <v>1</v>
      </c>
      <c r="E179" s="2" t="s">
        <v>441</v>
      </c>
      <c r="F179" s="15" t="n">
        <v>6</v>
      </c>
      <c r="G179" s="15" t="n">
        <v>8</v>
      </c>
      <c r="H179" s="15" t="n">
        <v>7</v>
      </c>
      <c r="I179" s="15" t="n">
        <v>9</v>
      </c>
      <c r="J179" s="15" t="n">
        <v>10</v>
      </c>
      <c r="K179" s="15" t="n">
        <v>7</v>
      </c>
      <c r="L179" s="15" t="n">
        <v>9</v>
      </c>
      <c r="M179" s="4" t="n">
        <f aca="false">ROUND(F179*Rubric!$B$4+G179*Rubric!$B$5+H179*Rubric!$B$6+I179*Rubric!$B$7+J179*Rubric!$B$8+K179*Rubric!$B$9+L179*Rubric!$B$10-IF(OR(H179&lt;Rubric!$B$12,K179&lt;Rubric!$B$12),Rubric!$B$13,0),2)</f>
        <v>8.7</v>
      </c>
      <c r="N179" s="14" t="n">
        <v>1030</v>
      </c>
      <c r="O179" s="2" t="s">
        <v>732</v>
      </c>
    </row>
    <row r="180" customFormat="false" ht="23.85" hidden="false" customHeight="false" outlineLevel="0" collapsed="false">
      <c r="A180" s="2" t="s">
        <v>98</v>
      </c>
      <c r="B180" s="2" t="s">
        <v>99</v>
      </c>
      <c r="C180" s="14" t="n">
        <v>0</v>
      </c>
      <c r="D180" s="14" t="n">
        <v>2</v>
      </c>
      <c r="E180" s="2" t="s">
        <v>398</v>
      </c>
      <c r="F180" s="15" t="n">
        <v>8</v>
      </c>
      <c r="G180" s="15" t="n">
        <v>8</v>
      </c>
      <c r="H180" s="15" t="n">
        <v>7</v>
      </c>
      <c r="I180" s="15" t="n">
        <v>9</v>
      </c>
      <c r="J180" s="15" t="n">
        <v>7</v>
      </c>
      <c r="K180" s="15" t="n">
        <v>7</v>
      </c>
      <c r="L180" s="15" t="n">
        <v>9</v>
      </c>
      <c r="M180" s="4" t="n">
        <f aca="false">ROUND(F180*Rubric!$B$4+G180*Rubric!$B$5+H180*Rubric!$B$6+I180*Rubric!$B$7+J180*Rubric!$B$8+K180*Rubric!$B$9+L180*Rubric!$B$10-IF(OR(H180&lt;Rubric!$B$12,K180&lt;Rubric!$B$12),Rubric!$B$13,0),2)</f>
        <v>7.6</v>
      </c>
      <c r="N180" s="14" t="n">
        <v>1031</v>
      </c>
      <c r="O180" s="2" t="s">
        <v>726</v>
      </c>
    </row>
    <row r="181" customFormat="false" ht="23.85" hidden="false" customHeight="false" outlineLevel="0" collapsed="false">
      <c r="A181" s="2" t="s">
        <v>98</v>
      </c>
      <c r="B181" s="2" t="s">
        <v>99</v>
      </c>
      <c r="C181" s="14" t="n">
        <v>1</v>
      </c>
      <c r="D181" s="14" t="n">
        <v>2</v>
      </c>
      <c r="E181" s="2" t="s">
        <v>365</v>
      </c>
      <c r="F181" s="15" t="n">
        <v>9</v>
      </c>
      <c r="G181" s="15" t="n">
        <v>8</v>
      </c>
      <c r="H181" s="15" t="n">
        <v>8</v>
      </c>
      <c r="I181" s="15" t="n">
        <v>3</v>
      </c>
      <c r="J181" s="15" t="n">
        <v>10</v>
      </c>
      <c r="K181" s="15" t="n">
        <v>8</v>
      </c>
      <c r="L181" s="15" t="n">
        <v>8</v>
      </c>
      <c r="M181" s="4" t="n">
        <f aca="false">ROUND(F181*Rubric!$B$4+G181*Rubric!$B$5+H181*Rubric!$B$6+I181*Rubric!$B$7+J181*Rubric!$B$8+K181*Rubric!$B$9+L181*Rubric!$B$10-IF(OR(H181&lt;Rubric!$B$12,K181&lt;Rubric!$B$12),Rubric!$B$13,0),2)</f>
        <v>8.35</v>
      </c>
      <c r="N181" s="14" t="n">
        <v>1031</v>
      </c>
      <c r="O181" s="2" t="s">
        <v>732</v>
      </c>
    </row>
    <row r="182" customFormat="false" ht="23.85" hidden="false" customHeight="false" outlineLevel="0" collapsed="false">
      <c r="A182" s="2" t="s">
        <v>98</v>
      </c>
      <c r="B182" s="2" t="s">
        <v>99</v>
      </c>
      <c r="C182" s="14" t="n">
        <v>0</v>
      </c>
      <c r="D182" s="14" t="n">
        <v>3</v>
      </c>
      <c r="E182" s="2" t="s">
        <v>399</v>
      </c>
      <c r="F182" s="15" t="n">
        <v>9</v>
      </c>
      <c r="G182" s="15" t="n">
        <v>9</v>
      </c>
      <c r="H182" s="15" t="n">
        <v>7</v>
      </c>
      <c r="I182" s="15" t="n">
        <v>10</v>
      </c>
      <c r="J182" s="15" t="n">
        <v>8</v>
      </c>
      <c r="K182" s="15" t="n">
        <v>8</v>
      </c>
      <c r="L182" s="15" t="n">
        <v>10</v>
      </c>
      <c r="M182" s="4" t="n">
        <f aca="false">ROUND(F182*Rubric!$B$4+G182*Rubric!$B$5+H182*Rubric!$B$6+I182*Rubric!$B$7+J182*Rubric!$B$8+K182*Rubric!$B$9+L182*Rubric!$B$10-IF(OR(H182&lt;Rubric!$B$12,K182&lt;Rubric!$B$12),Rubric!$B$13,0),2)</f>
        <v>8.5</v>
      </c>
      <c r="N182" s="14" t="n">
        <v>1032</v>
      </c>
      <c r="O182" s="2" t="s">
        <v>726</v>
      </c>
    </row>
    <row r="183" customFormat="false" ht="23.85" hidden="false" customHeight="false" outlineLevel="0" collapsed="false">
      <c r="A183" s="2" t="s">
        <v>98</v>
      </c>
      <c r="B183" s="2" t="s">
        <v>99</v>
      </c>
      <c r="C183" s="14" t="n">
        <v>1</v>
      </c>
      <c r="D183" s="14" t="n">
        <v>3</v>
      </c>
      <c r="E183" s="2" t="s">
        <v>442</v>
      </c>
      <c r="F183" s="15" t="n">
        <v>8</v>
      </c>
      <c r="G183" s="15" t="n">
        <v>8</v>
      </c>
      <c r="H183" s="15" t="n">
        <v>7</v>
      </c>
      <c r="I183" s="15" t="n">
        <v>10</v>
      </c>
      <c r="J183" s="15" t="n">
        <v>9</v>
      </c>
      <c r="K183" s="15" t="n">
        <v>7</v>
      </c>
      <c r="L183" s="15" t="n">
        <v>9</v>
      </c>
      <c r="M183" s="4" t="n">
        <f aca="false">ROUND(F183*Rubric!$B$4+G183*Rubric!$B$5+H183*Rubric!$B$6+I183*Rubric!$B$7+J183*Rubric!$B$8+K183*Rubric!$B$9+L183*Rubric!$B$10-IF(OR(H183&lt;Rubric!$B$12,K183&lt;Rubric!$B$12),Rubric!$B$13,0),2)</f>
        <v>8.5</v>
      </c>
      <c r="N183" s="14" t="n">
        <v>1032</v>
      </c>
      <c r="O183" s="2" t="s">
        <v>732</v>
      </c>
    </row>
    <row r="184" customFormat="false" ht="23.85" hidden="false" customHeight="false" outlineLevel="0" collapsed="false">
      <c r="A184" s="2" t="s">
        <v>98</v>
      </c>
      <c r="B184" s="2" t="s">
        <v>99</v>
      </c>
      <c r="C184" s="14" t="n">
        <v>0</v>
      </c>
      <c r="D184" s="14" t="n">
        <v>4</v>
      </c>
      <c r="E184" s="2" t="s">
        <v>366</v>
      </c>
      <c r="F184" s="15" t="n">
        <v>8</v>
      </c>
      <c r="G184" s="15" t="n">
        <v>8</v>
      </c>
      <c r="H184" s="15" t="n">
        <v>7</v>
      </c>
      <c r="I184" s="15" t="n">
        <v>9</v>
      </c>
      <c r="J184" s="15" t="n">
        <v>8</v>
      </c>
      <c r="K184" s="15" t="n">
        <v>8</v>
      </c>
      <c r="L184" s="15" t="n">
        <v>9</v>
      </c>
      <c r="M184" s="4" t="n">
        <f aca="false">ROUND(F184*Rubric!$B$4+G184*Rubric!$B$5+H184*Rubric!$B$6+I184*Rubric!$B$7+J184*Rubric!$B$8+K184*Rubric!$B$9+L184*Rubric!$B$10-IF(OR(H184&lt;Rubric!$B$12,K184&lt;Rubric!$B$12),Rubric!$B$13,0),2)</f>
        <v>8.1</v>
      </c>
      <c r="N184" s="14" t="n">
        <v>1033</v>
      </c>
      <c r="O184" s="2" t="s">
        <v>726</v>
      </c>
    </row>
    <row r="185" customFormat="false" ht="23.85" hidden="false" customHeight="false" outlineLevel="0" collapsed="false">
      <c r="A185" s="2" t="s">
        <v>98</v>
      </c>
      <c r="B185" s="2" t="s">
        <v>99</v>
      </c>
      <c r="C185" s="14" t="n">
        <v>1</v>
      </c>
      <c r="D185" s="14" t="n">
        <v>4</v>
      </c>
      <c r="E185" s="2" t="s">
        <v>443</v>
      </c>
      <c r="F185" s="15" t="n">
        <v>6</v>
      </c>
      <c r="G185" s="15" t="n">
        <v>8</v>
      </c>
      <c r="H185" s="15" t="n">
        <v>8</v>
      </c>
      <c r="I185" s="15" t="n">
        <v>3</v>
      </c>
      <c r="J185" s="15" t="n">
        <v>9</v>
      </c>
      <c r="K185" s="15" t="n">
        <v>8</v>
      </c>
      <c r="L185" s="15" t="n">
        <v>7</v>
      </c>
      <c r="M185" s="4" t="n">
        <f aca="false">ROUND(F185*Rubric!$B$4+G185*Rubric!$B$5+H185*Rubric!$B$6+I185*Rubric!$B$7+J185*Rubric!$B$8+K185*Rubric!$B$9+L185*Rubric!$B$10-IF(OR(H185&lt;Rubric!$B$12,K185&lt;Rubric!$B$12),Rubric!$B$13,0),2)</f>
        <v>7.7</v>
      </c>
      <c r="N185" s="14" t="n">
        <v>1033</v>
      </c>
      <c r="O185" s="2" t="s">
        <v>732</v>
      </c>
    </row>
    <row r="186" customFormat="false" ht="23.85" hidden="false" customHeight="false" outlineLevel="0" collapsed="false">
      <c r="A186" s="2" t="s">
        <v>98</v>
      </c>
      <c r="B186" s="2" t="s">
        <v>99</v>
      </c>
      <c r="C186" s="14" t="n">
        <v>0</v>
      </c>
      <c r="D186" s="14" t="n">
        <v>5</v>
      </c>
      <c r="E186" s="2" t="s">
        <v>361</v>
      </c>
      <c r="F186" s="15" t="n">
        <v>9</v>
      </c>
      <c r="G186" s="15" t="n">
        <v>7</v>
      </c>
      <c r="H186" s="15" t="n">
        <v>8</v>
      </c>
      <c r="I186" s="15" t="n">
        <v>8</v>
      </c>
      <c r="J186" s="15" t="n">
        <v>5</v>
      </c>
      <c r="K186" s="15" t="n">
        <v>8</v>
      </c>
      <c r="L186" s="15" t="n">
        <v>7</v>
      </c>
      <c r="M186" s="4" t="n">
        <f aca="false">ROUND(F186*Rubric!$B$4+G186*Rubric!$B$5+H186*Rubric!$B$6+I186*Rubric!$B$7+J186*Rubric!$B$8+K186*Rubric!$B$9+L186*Rubric!$B$10-IF(OR(H186&lt;Rubric!$B$12,K186&lt;Rubric!$B$12),Rubric!$B$13,0),2)</f>
        <v>6.6</v>
      </c>
      <c r="N186" s="14" t="n">
        <v>1034</v>
      </c>
      <c r="O186" s="2" t="s">
        <v>726</v>
      </c>
    </row>
    <row r="187" customFormat="false" ht="23.85" hidden="false" customHeight="false" outlineLevel="0" collapsed="false">
      <c r="A187" s="2" t="s">
        <v>98</v>
      </c>
      <c r="B187" s="2" t="s">
        <v>99</v>
      </c>
      <c r="C187" s="14" t="n">
        <v>1</v>
      </c>
      <c r="D187" s="14" t="n">
        <v>5</v>
      </c>
      <c r="E187" s="2" t="s">
        <v>440</v>
      </c>
      <c r="F187" s="15" t="n">
        <v>9</v>
      </c>
      <c r="G187" s="15" t="n">
        <v>9</v>
      </c>
      <c r="H187" s="15" t="n">
        <v>7</v>
      </c>
      <c r="I187" s="15" t="n">
        <v>10</v>
      </c>
      <c r="J187" s="15" t="n">
        <v>9</v>
      </c>
      <c r="K187" s="15" t="n">
        <v>8</v>
      </c>
      <c r="L187" s="15" t="n">
        <v>10</v>
      </c>
      <c r="M187" s="4" t="n">
        <f aca="false">ROUND(F187*Rubric!$B$4+G187*Rubric!$B$5+H187*Rubric!$B$6+I187*Rubric!$B$7+J187*Rubric!$B$8+K187*Rubric!$B$9+L187*Rubric!$B$10-IF(OR(H187&lt;Rubric!$B$12,K187&lt;Rubric!$B$12),Rubric!$B$13,0),2)</f>
        <v>8.9</v>
      </c>
      <c r="N187" s="14" t="n">
        <v>1034</v>
      </c>
      <c r="O187" s="2" t="s">
        <v>732</v>
      </c>
    </row>
    <row r="188" customFormat="false" ht="23.85" hidden="false" customHeight="false" outlineLevel="0" collapsed="false">
      <c r="A188" s="2" t="s">
        <v>104</v>
      </c>
      <c r="B188" s="2" t="s">
        <v>105</v>
      </c>
      <c r="C188" s="14" t="n">
        <v>0</v>
      </c>
      <c r="D188" s="14" t="n">
        <v>1</v>
      </c>
      <c r="E188" s="2" t="s">
        <v>412</v>
      </c>
      <c r="F188" s="15" t="n">
        <v>9</v>
      </c>
      <c r="G188" s="15" t="n">
        <v>8</v>
      </c>
      <c r="H188" s="15" t="n">
        <v>8</v>
      </c>
      <c r="I188" s="15" t="n">
        <v>3</v>
      </c>
      <c r="J188" s="15" t="n">
        <v>8</v>
      </c>
      <c r="K188" s="15" t="n">
        <v>8</v>
      </c>
      <c r="L188" s="15" t="n">
        <v>7</v>
      </c>
      <c r="M188" s="4" t="n">
        <f aca="false">ROUND(F188*Rubric!$B$4+G188*Rubric!$B$5+H188*Rubric!$B$6+I188*Rubric!$B$7+J188*Rubric!$B$8+K188*Rubric!$B$9+L188*Rubric!$B$10-IF(OR(H188&lt;Rubric!$B$12,K188&lt;Rubric!$B$12),Rubric!$B$13,0),2)</f>
        <v>7.45</v>
      </c>
      <c r="N188" s="14" t="n">
        <v>1040</v>
      </c>
      <c r="O188" s="2" t="s">
        <v>726</v>
      </c>
    </row>
    <row r="189" customFormat="false" ht="23.85" hidden="false" customHeight="false" outlineLevel="0" collapsed="false">
      <c r="A189" s="2" t="s">
        <v>104</v>
      </c>
      <c r="B189" s="2" t="s">
        <v>105</v>
      </c>
      <c r="C189" s="14" t="n">
        <v>1</v>
      </c>
      <c r="D189" s="14" t="n">
        <v>1</v>
      </c>
      <c r="E189" s="2" t="s">
        <v>444</v>
      </c>
      <c r="F189" s="15" t="n">
        <v>9</v>
      </c>
      <c r="G189" s="15" t="n">
        <v>8</v>
      </c>
      <c r="H189" s="15" t="n">
        <v>8</v>
      </c>
      <c r="I189" s="15" t="n">
        <v>3</v>
      </c>
      <c r="J189" s="15" t="n">
        <v>9</v>
      </c>
      <c r="K189" s="15" t="n">
        <v>8</v>
      </c>
      <c r="L189" s="15" t="n">
        <v>7</v>
      </c>
      <c r="M189" s="4" t="n">
        <f aca="false">ROUND(F189*Rubric!$B$4+G189*Rubric!$B$5+H189*Rubric!$B$6+I189*Rubric!$B$7+J189*Rubric!$B$8+K189*Rubric!$B$9+L189*Rubric!$B$10-IF(OR(H189&lt;Rubric!$B$12,K189&lt;Rubric!$B$12),Rubric!$B$13,0),2)</f>
        <v>7.85</v>
      </c>
      <c r="N189" s="14" t="n">
        <v>1040</v>
      </c>
      <c r="O189" s="2" t="s">
        <v>733</v>
      </c>
    </row>
    <row r="190" customFormat="false" ht="23.85" hidden="false" customHeight="false" outlineLevel="0" collapsed="false">
      <c r="A190" s="2" t="s">
        <v>104</v>
      </c>
      <c r="B190" s="2" t="s">
        <v>105</v>
      </c>
      <c r="C190" s="14" t="n">
        <v>0</v>
      </c>
      <c r="D190" s="14" t="n">
        <v>2</v>
      </c>
      <c r="E190" s="2" t="s">
        <v>404</v>
      </c>
      <c r="F190" s="15" t="n">
        <v>8</v>
      </c>
      <c r="G190" s="15" t="n">
        <v>8</v>
      </c>
      <c r="H190" s="15" t="n">
        <v>7</v>
      </c>
      <c r="I190" s="15" t="n">
        <v>10</v>
      </c>
      <c r="J190" s="15" t="n">
        <v>7</v>
      </c>
      <c r="K190" s="15" t="n">
        <v>7</v>
      </c>
      <c r="L190" s="15" t="n">
        <v>9</v>
      </c>
      <c r="M190" s="4" t="n">
        <f aca="false">ROUND(F190*Rubric!$B$4+G190*Rubric!$B$5+H190*Rubric!$B$6+I190*Rubric!$B$7+J190*Rubric!$B$8+K190*Rubric!$B$9+L190*Rubric!$B$10-IF(OR(H190&lt;Rubric!$B$12,K190&lt;Rubric!$B$12),Rubric!$B$13,0),2)</f>
        <v>7.7</v>
      </c>
      <c r="N190" s="14" t="n">
        <v>1041</v>
      </c>
      <c r="O190" s="2" t="s">
        <v>726</v>
      </c>
    </row>
    <row r="191" customFormat="false" ht="23.85" hidden="false" customHeight="false" outlineLevel="0" collapsed="false">
      <c r="A191" s="2" t="s">
        <v>104</v>
      </c>
      <c r="B191" s="2" t="s">
        <v>105</v>
      </c>
      <c r="C191" s="14" t="n">
        <v>1</v>
      </c>
      <c r="D191" s="14" t="n">
        <v>2</v>
      </c>
      <c r="E191" s="2" t="s">
        <v>445</v>
      </c>
      <c r="F191" s="15" t="n">
        <v>7</v>
      </c>
      <c r="G191" s="15" t="n">
        <v>8</v>
      </c>
      <c r="H191" s="15" t="n">
        <v>7</v>
      </c>
      <c r="I191" s="15" t="n">
        <v>9</v>
      </c>
      <c r="J191" s="15" t="n">
        <v>10</v>
      </c>
      <c r="K191" s="15" t="n">
        <v>8</v>
      </c>
      <c r="L191" s="15" t="n">
        <v>9</v>
      </c>
      <c r="M191" s="4" t="n">
        <f aca="false">ROUND(F191*Rubric!$B$4+G191*Rubric!$B$5+H191*Rubric!$B$6+I191*Rubric!$B$7+J191*Rubric!$B$8+K191*Rubric!$B$9+L191*Rubric!$B$10-IF(OR(H191&lt;Rubric!$B$12,K191&lt;Rubric!$B$12),Rubric!$B$13,0),2)</f>
        <v>8.85</v>
      </c>
      <c r="N191" s="14" t="n">
        <v>1041</v>
      </c>
      <c r="O191" s="2" t="s">
        <v>733</v>
      </c>
    </row>
    <row r="192" customFormat="false" ht="23.85" hidden="false" customHeight="false" outlineLevel="0" collapsed="false">
      <c r="A192" s="2" t="s">
        <v>104</v>
      </c>
      <c r="B192" s="2" t="s">
        <v>105</v>
      </c>
      <c r="C192" s="14" t="n">
        <v>0</v>
      </c>
      <c r="D192" s="14" t="n">
        <v>3</v>
      </c>
      <c r="E192" s="2" t="s">
        <v>408</v>
      </c>
      <c r="F192" s="15" t="n">
        <v>9</v>
      </c>
      <c r="G192" s="15" t="n">
        <v>8</v>
      </c>
      <c r="H192" s="15" t="n">
        <v>8</v>
      </c>
      <c r="I192" s="15" t="n">
        <v>10</v>
      </c>
      <c r="J192" s="15" t="n">
        <v>9</v>
      </c>
      <c r="K192" s="15" t="n">
        <v>8</v>
      </c>
      <c r="L192" s="15" t="n">
        <v>9</v>
      </c>
      <c r="M192" s="4" t="n">
        <f aca="false">ROUND(F192*Rubric!$B$4+G192*Rubric!$B$5+H192*Rubric!$B$6+I192*Rubric!$B$7+J192*Rubric!$B$8+K192*Rubric!$B$9+L192*Rubric!$B$10-IF(OR(H192&lt;Rubric!$B$12,K192&lt;Rubric!$B$12),Rubric!$B$13,0),2)</f>
        <v>8.75</v>
      </c>
      <c r="N192" s="14" t="n">
        <v>1042</v>
      </c>
      <c r="O192" s="2" t="s">
        <v>726</v>
      </c>
    </row>
    <row r="193" customFormat="false" ht="23.85" hidden="false" customHeight="false" outlineLevel="0" collapsed="false">
      <c r="A193" s="2" t="s">
        <v>104</v>
      </c>
      <c r="B193" s="2" t="s">
        <v>105</v>
      </c>
      <c r="C193" s="14" t="n">
        <v>1</v>
      </c>
      <c r="D193" s="14" t="n">
        <v>3</v>
      </c>
      <c r="E193" s="2" t="s">
        <v>446</v>
      </c>
      <c r="F193" s="15" t="n">
        <v>8</v>
      </c>
      <c r="G193" s="15" t="n">
        <v>8</v>
      </c>
      <c r="H193" s="15" t="n">
        <v>8</v>
      </c>
      <c r="I193" s="15" t="n">
        <v>4</v>
      </c>
      <c r="J193" s="15" t="n">
        <v>9</v>
      </c>
      <c r="K193" s="15" t="n">
        <v>8</v>
      </c>
      <c r="L193" s="15" t="n">
        <v>7</v>
      </c>
      <c r="M193" s="4" t="n">
        <f aca="false">ROUND(F193*Rubric!$B$4+G193*Rubric!$B$5+H193*Rubric!$B$6+I193*Rubric!$B$7+J193*Rubric!$B$8+K193*Rubric!$B$9+L193*Rubric!$B$10-IF(OR(H193&lt;Rubric!$B$12,K193&lt;Rubric!$B$12),Rubric!$B$13,0),2)</f>
        <v>7.9</v>
      </c>
      <c r="N193" s="14" t="n">
        <v>1042</v>
      </c>
      <c r="O193" s="2" t="s">
        <v>733</v>
      </c>
    </row>
    <row r="194" customFormat="false" ht="23.85" hidden="false" customHeight="false" outlineLevel="0" collapsed="false">
      <c r="A194" s="2" t="s">
        <v>104</v>
      </c>
      <c r="B194" s="2" t="s">
        <v>105</v>
      </c>
      <c r="C194" s="14" t="n">
        <v>0</v>
      </c>
      <c r="D194" s="14" t="n">
        <v>4</v>
      </c>
      <c r="E194" s="2" t="s">
        <v>379</v>
      </c>
      <c r="F194" s="15" t="n">
        <v>9</v>
      </c>
      <c r="G194" s="15" t="n">
        <v>8</v>
      </c>
      <c r="H194" s="15" t="n">
        <v>7</v>
      </c>
      <c r="I194" s="15" t="n">
        <v>4</v>
      </c>
      <c r="J194" s="15" t="n">
        <v>6</v>
      </c>
      <c r="K194" s="15" t="n">
        <v>7</v>
      </c>
      <c r="L194" s="15" t="n">
        <v>7</v>
      </c>
      <c r="M194" s="4" t="n">
        <f aca="false">ROUND(F194*Rubric!$B$4+G194*Rubric!$B$5+H194*Rubric!$B$6+I194*Rubric!$B$7+J194*Rubric!$B$8+K194*Rubric!$B$9+L194*Rubric!$B$10-IF(OR(H194&lt;Rubric!$B$12,K194&lt;Rubric!$B$12),Rubric!$B$13,0),2)</f>
        <v>6.55</v>
      </c>
      <c r="N194" s="14" t="n">
        <v>1043</v>
      </c>
      <c r="O194" s="2" t="s">
        <v>726</v>
      </c>
    </row>
    <row r="195" customFormat="false" ht="23.85" hidden="false" customHeight="false" outlineLevel="0" collapsed="false">
      <c r="A195" s="2" t="s">
        <v>104</v>
      </c>
      <c r="B195" s="2" t="s">
        <v>105</v>
      </c>
      <c r="C195" s="14" t="n">
        <v>1</v>
      </c>
      <c r="D195" s="14" t="n">
        <v>4</v>
      </c>
      <c r="E195" s="2" t="s">
        <v>447</v>
      </c>
      <c r="F195" s="15" t="n">
        <v>9</v>
      </c>
      <c r="G195" s="15" t="n">
        <v>8</v>
      </c>
      <c r="H195" s="15" t="n">
        <v>8</v>
      </c>
      <c r="I195" s="15" t="n">
        <v>10</v>
      </c>
      <c r="J195" s="15" t="n">
        <v>9</v>
      </c>
      <c r="K195" s="15" t="n">
        <v>8</v>
      </c>
      <c r="L195" s="15" t="n">
        <v>9</v>
      </c>
      <c r="M195" s="4" t="n">
        <f aca="false">ROUND(F195*Rubric!$B$4+G195*Rubric!$B$5+H195*Rubric!$B$6+I195*Rubric!$B$7+J195*Rubric!$B$8+K195*Rubric!$B$9+L195*Rubric!$B$10-IF(OR(H195&lt;Rubric!$B$12,K195&lt;Rubric!$B$12),Rubric!$B$13,0),2)</f>
        <v>8.75</v>
      </c>
      <c r="N195" s="14" t="n">
        <v>1043</v>
      </c>
      <c r="O195" s="2" t="s">
        <v>733</v>
      </c>
    </row>
    <row r="196" customFormat="false" ht="23.85" hidden="false" customHeight="false" outlineLevel="0" collapsed="false">
      <c r="A196" s="2" t="s">
        <v>104</v>
      </c>
      <c r="B196" s="2" t="s">
        <v>105</v>
      </c>
      <c r="C196" s="14" t="n">
        <v>0</v>
      </c>
      <c r="D196" s="14" t="n">
        <v>5</v>
      </c>
      <c r="E196" s="2" t="s">
        <v>376</v>
      </c>
      <c r="F196" s="15" t="n">
        <v>8</v>
      </c>
      <c r="G196" s="15" t="n">
        <v>8</v>
      </c>
      <c r="H196" s="15" t="n">
        <v>7</v>
      </c>
      <c r="I196" s="15" t="n">
        <v>9</v>
      </c>
      <c r="J196" s="15" t="n">
        <v>8</v>
      </c>
      <c r="K196" s="15" t="n">
        <v>8</v>
      </c>
      <c r="L196" s="15" t="n">
        <v>9</v>
      </c>
      <c r="M196" s="4" t="n">
        <f aca="false">ROUND(F196*Rubric!$B$4+G196*Rubric!$B$5+H196*Rubric!$B$6+I196*Rubric!$B$7+J196*Rubric!$B$8+K196*Rubric!$B$9+L196*Rubric!$B$10-IF(OR(H196&lt;Rubric!$B$12,K196&lt;Rubric!$B$12),Rubric!$B$13,0),2)</f>
        <v>8.1</v>
      </c>
      <c r="N196" s="14" t="n">
        <v>1044</v>
      </c>
      <c r="O196" s="2" t="s">
        <v>726</v>
      </c>
    </row>
    <row r="197" customFormat="false" ht="23.85" hidden="false" customHeight="false" outlineLevel="0" collapsed="false">
      <c r="A197" s="2" t="s">
        <v>104</v>
      </c>
      <c r="B197" s="2" t="s">
        <v>105</v>
      </c>
      <c r="C197" s="14" t="n">
        <v>1</v>
      </c>
      <c r="D197" s="14" t="n">
        <v>5</v>
      </c>
      <c r="E197" s="2" t="s">
        <v>448</v>
      </c>
      <c r="F197" s="15" t="n">
        <v>9</v>
      </c>
      <c r="G197" s="15" t="n">
        <v>8</v>
      </c>
      <c r="H197" s="15" t="n">
        <v>7</v>
      </c>
      <c r="I197" s="15" t="n">
        <v>10</v>
      </c>
      <c r="J197" s="15" t="n">
        <v>9</v>
      </c>
      <c r="K197" s="15" t="n">
        <v>7</v>
      </c>
      <c r="L197" s="15" t="n">
        <v>9</v>
      </c>
      <c r="M197" s="4" t="n">
        <f aca="false">ROUND(F197*Rubric!$B$4+G197*Rubric!$B$5+H197*Rubric!$B$6+I197*Rubric!$B$7+J197*Rubric!$B$8+K197*Rubric!$B$9+L197*Rubric!$B$10-IF(OR(H197&lt;Rubric!$B$12,K197&lt;Rubric!$B$12),Rubric!$B$13,0),2)</f>
        <v>8.55</v>
      </c>
      <c r="N197" s="14" t="n">
        <v>1044</v>
      </c>
      <c r="O197" s="2" t="s">
        <v>733</v>
      </c>
    </row>
    <row r="198" customFormat="false" ht="23.85" hidden="false" customHeight="false" outlineLevel="0" collapsed="false">
      <c r="A198" s="2" t="s">
        <v>110</v>
      </c>
      <c r="B198" s="2" t="s">
        <v>111</v>
      </c>
      <c r="C198" s="14" t="n">
        <v>0</v>
      </c>
      <c r="D198" s="14" t="n">
        <v>1</v>
      </c>
      <c r="E198" s="2" t="s">
        <v>422</v>
      </c>
      <c r="F198" s="15" t="n">
        <v>8</v>
      </c>
      <c r="G198" s="15" t="n">
        <v>9</v>
      </c>
      <c r="H198" s="15" t="n">
        <v>7</v>
      </c>
      <c r="I198" s="15" t="n">
        <v>3</v>
      </c>
      <c r="J198" s="15" t="n">
        <v>7</v>
      </c>
      <c r="K198" s="15" t="n">
        <v>8</v>
      </c>
      <c r="L198" s="15" t="n">
        <v>8</v>
      </c>
      <c r="M198" s="4" t="n">
        <f aca="false">ROUND(F198*Rubric!$B$4+G198*Rubric!$B$5+H198*Rubric!$B$6+I198*Rubric!$B$7+J198*Rubric!$B$8+K198*Rubric!$B$9+L198*Rubric!$B$10-IF(OR(H198&lt;Rubric!$B$12,K198&lt;Rubric!$B$12),Rubric!$B$13,0),2)</f>
        <v>7.15</v>
      </c>
      <c r="N198" s="14" t="n">
        <v>1050</v>
      </c>
      <c r="O198" s="2" t="s">
        <v>726</v>
      </c>
    </row>
    <row r="199" customFormat="false" ht="23.85" hidden="false" customHeight="false" outlineLevel="0" collapsed="false">
      <c r="A199" s="2" t="s">
        <v>110</v>
      </c>
      <c r="B199" s="2" t="s">
        <v>111</v>
      </c>
      <c r="C199" s="14" t="n">
        <v>1</v>
      </c>
      <c r="D199" s="14" t="n">
        <v>1</v>
      </c>
      <c r="E199" s="2" t="s">
        <v>449</v>
      </c>
      <c r="F199" s="15" t="n">
        <v>9</v>
      </c>
      <c r="G199" s="15" t="n">
        <v>9</v>
      </c>
      <c r="H199" s="15" t="n">
        <v>8</v>
      </c>
      <c r="I199" s="15" t="n">
        <v>4</v>
      </c>
      <c r="J199" s="15" t="n">
        <v>10</v>
      </c>
      <c r="K199" s="15" t="n">
        <v>8</v>
      </c>
      <c r="L199" s="15" t="n">
        <v>8</v>
      </c>
      <c r="M199" s="4" t="n">
        <f aca="false">ROUND(F199*Rubric!$B$4+G199*Rubric!$B$5+H199*Rubric!$B$6+I199*Rubric!$B$7+J199*Rubric!$B$8+K199*Rubric!$B$9+L199*Rubric!$B$10-IF(OR(H199&lt;Rubric!$B$12,K199&lt;Rubric!$B$12),Rubric!$B$13,0),2)</f>
        <v>8.6</v>
      </c>
      <c r="N199" s="14" t="n">
        <v>1050</v>
      </c>
      <c r="O199" s="2" t="s">
        <v>734</v>
      </c>
    </row>
    <row r="200" customFormat="false" ht="15" hidden="false" customHeight="false" outlineLevel="0" collapsed="false">
      <c r="A200" s="2" t="s">
        <v>110</v>
      </c>
      <c r="B200" s="2" t="s">
        <v>111</v>
      </c>
      <c r="C200" s="14" t="n">
        <v>0</v>
      </c>
      <c r="D200" s="14" t="n">
        <v>2</v>
      </c>
      <c r="E200" s="2" t="s">
        <v>424</v>
      </c>
      <c r="F200" s="15" t="n">
        <v>9</v>
      </c>
      <c r="G200" s="15" t="n">
        <v>9</v>
      </c>
      <c r="H200" s="15" t="n">
        <v>7</v>
      </c>
      <c r="I200" s="15" t="n">
        <v>3</v>
      </c>
      <c r="J200" s="15" t="n">
        <v>7</v>
      </c>
      <c r="K200" s="15" t="n">
        <v>8</v>
      </c>
      <c r="L200" s="15" t="n">
        <v>8</v>
      </c>
      <c r="M200" s="4" t="n">
        <f aca="false">ROUND(F200*Rubric!$B$4+G200*Rubric!$B$5+H200*Rubric!$B$6+I200*Rubric!$B$7+J200*Rubric!$B$8+K200*Rubric!$B$9+L200*Rubric!$B$10-IF(OR(H200&lt;Rubric!$B$12,K200&lt;Rubric!$B$12),Rubric!$B$13,0),2)</f>
        <v>7.2</v>
      </c>
      <c r="N200" s="14" t="n">
        <v>1051</v>
      </c>
      <c r="O200" s="2" t="s">
        <v>726</v>
      </c>
    </row>
    <row r="201" customFormat="false" ht="23.85" hidden="false" customHeight="false" outlineLevel="0" collapsed="false">
      <c r="A201" s="2" t="s">
        <v>110</v>
      </c>
      <c r="B201" s="2" t="s">
        <v>111</v>
      </c>
      <c r="C201" s="14" t="n">
        <v>1</v>
      </c>
      <c r="D201" s="14" t="n">
        <v>2</v>
      </c>
      <c r="E201" s="2" t="s">
        <v>450</v>
      </c>
      <c r="F201" s="15" t="n">
        <v>7</v>
      </c>
      <c r="G201" s="15" t="n">
        <v>8</v>
      </c>
      <c r="H201" s="15" t="n">
        <v>8</v>
      </c>
      <c r="I201" s="15" t="n">
        <v>3</v>
      </c>
      <c r="J201" s="15" t="n">
        <v>9</v>
      </c>
      <c r="K201" s="15" t="n">
        <v>8</v>
      </c>
      <c r="L201" s="15" t="n">
        <v>8</v>
      </c>
      <c r="M201" s="4" t="n">
        <f aca="false">ROUND(F201*Rubric!$B$4+G201*Rubric!$B$5+H201*Rubric!$B$6+I201*Rubric!$B$7+J201*Rubric!$B$8+K201*Rubric!$B$9+L201*Rubric!$B$10-IF(OR(H201&lt;Rubric!$B$12,K201&lt;Rubric!$B$12),Rubric!$B$13,0),2)</f>
        <v>7.85</v>
      </c>
      <c r="N201" s="14" t="n">
        <v>1051</v>
      </c>
      <c r="O201" s="2" t="s">
        <v>734</v>
      </c>
    </row>
    <row r="202" customFormat="false" ht="23.85" hidden="false" customHeight="false" outlineLevel="0" collapsed="false">
      <c r="A202" s="2" t="s">
        <v>110</v>
      </c>
      <c r="B202" s="2" t="s">
        <v>111</v>
      </c>
      <c r="C202" s="14" t="n">
        <v>0</v>
      </c>
      <c r="D202" s="14" t="n">
        <v>3</v>
      </c>
      <c r="E202" s="2" t="s">
        <v>380</v>
      </c>
      <c r="F202" s="15" t="n">
        <v>8</v>
      </c>
      <c r="G202" s="15" t="n">
        <v>8</v>
      </c>
      <c r="H202" s="15" t="n">
        <v>8</v>
      </c>
      <c r="I202" s="15" t="n">
        <v>3</v>
      </c>
      <c r="J202" s="15" t="n">
        <v>7</v>
      </c>
      <c r="K202" s="15" t="n">
        <v>8</v>
      </c>
      <c r="L202" s="15" t="n">
        <v>7</v>
      </c>
      <c r="M202" s="4" t="n">
        <f aca="false">ROUND(F202*Rubric!$B$4+G202*Rubric!$B$5+H202*Rubric!$B$6+I202*Rubric!$B$7+J202*Rubric!$B$8+K202*Rubric!$B$9+L202*Rubric!$B$10-IF(OR(H202&lt;Rubric!$B$12,K202&lt;Rubric!$B$12),Rubric!$B$13,0),2)</f>
        <v>7</v>
      </c>
      <c r="N202" s="14" t="n">
        <v>1052</v>
      </c>
      <c r="O202" s="2" t="s">
        <v>726</v>
      </c>
    </row>
    <row r="203" customFormat="false" ht="23.85" hidden="false" customHeight="false" outlineLevel="0" collapsed="false">
      <c r="A203" s="2" t="s">
        <v>110</v>
      </c>
      <c r="B203" s="2" t="s">
        <v>111</v>
      </c>
      <c r="C203" s="14" t="n">
        <v>1</v>
      </c>
      <c r="D203" s="14" t="n">
        <v>3</v>
      </c>
      <c r="E203" s="2" t="s">
        <v>451</v>
      </c>
      <c r="F203" s="15" t="n">
        <v>9</v>
      </c>
      <c r="G203" s="15" t="n">
        <v>8</v>
      </c>
      <c r="H203" s="15" t="n">
        <v>8</v>
      </c>
      <c r="I203" s="15" t="n">
        <v>3</v>
      </c>
      <c r="J203" s="15" t="n">
        <v>9</v>
      </c>
      <c r="K203" s="15" t="n">
        <v>8</v>
      </c>
      <c r="L203" s="15" t="n">
        <v>7</v>
      </c>
      <c r="M203" s="4" t="n">
        <f aca="false">ROUND(F203*Rubric!$B$4+G203*Rubric!$B$5+H203*Rubric!$B$6+I203*Rubric!$B$7+J203*Rubric!$B$8+K203*Rubric!$B$9+L203*Rubric!$B$10-IF(OR(H203&lt;Rubric!$B$12,K203&lt;Rubric!$B$12),Rubric!$B$13,0),2)</f>
        <v>7.85</v>
      </c>
      <c r="N203" s="14" t="n">
        <v>1052</v>
      </c>
      <c r="O203" s="2" t="s">
        <v>734</v>
      </c>
    </row>
    <row r="204" customFormat="false" ht="23.85" hidden="false" customHeight="false" outlineLevel="0" collapsed="false">
      <c r="A204" s="2" t="s">
        <v>110</v>
      </c>
      <c r="B204" s="2" t="s">
        <v>111</v>
      </c>
      <c r="C204" s="14" t="n">
        <v>0</v>
      </c>
      <c r="D204" s="14" t="n">
        <v>4</v>
      </c>
      <c r="E204" s="2" t="s">
        <v>416</v>
      </c>
      <c r="F204" s="15" t="n">
        <v>8</v>
      </c>
      <c r="G204" s="15" t="n">
        <v>8</v>
      </c>
      <c r="H204" s="15" t="n">
        <v>8</v>
      </c>
      <c r="I204" s="15" t="n">
        <v>3</v>
      </c>
      <c r="J204" s="15" t="n">
        <v>7</v>
      </c>
      <c r="K204" s="15" t="n">
        <v>8</v>
      </c>
      <c r="L204" s="15" t="n">
        <v>8</v>
      </c>
      <c r="M204" s="4" t="n">
        <f aca="false">ROUND(F204*Rubric!$B$4+G204*Rubric!$B$5+H204*Rubric!$B$6+I204*Rubric!$B$7+J204*Rubric!$B$8+K204*Rubric!$B$9+L204*Rubric!$B$10-IF(OR(H204&lt;Rubric!$B$12,K204&lt;Rubric!$B$12),Rubric!$B$13,0),2)</f>
        <v>7.1</v>
      </c>
      <c r="N204" s="14" t="n">
        <v>1053</v>
      </c>
      <c r="O204" s="2" t="s">
        <v>726</v>
      </c>
    </row>
    <row r="205" customFormat="false" ht="23.85" hidden="false" customHeight="false" outlineLevel="0" collapsed="false">
      <c r="A205" s="2" t="s">
        <v>110</v>
      </c>
      <c r="B205" s="2" t="s">
        <v>111</v>
      </c>
      <c r="C205" s="14" t="n">
        <v>1</v>
      </c>
      <c r="D205" s="14" t="n">
        <v>4</v>
      </c>
      <c r="E205" s="2" t="s">
        <v>452</v>
      </c>
      <c r="F205" s="15" t="n">
        <v>8</v>
      </c>
      <c r="G205" s="15" t="n">
        <v>8</v>
      </c>
      <c r="H205" s="15" t="n">
        <v>7</v>
      </c>
      <c r="I205" s="15" t="n">
        <v>9</v>
      </c>
      <c r="J205" s="15" t="n">
        <v>9</v>
      </c>
      <c r="K205" s="15" t="n">
        <v>8</v>
      </c>
      <c r="L205" s="15" t="n">
        <v>9</v>
      </c>
      <c r="M205" s="4" t="n">
        <f aca="false">ROUND(F205*Rubric!$B$4+G205*Rubric!$B$5+H205*Rubric!$B$6+I205*Rubric!$B$7+J205*Rubric!$B$8+K205*Rubric!$B$9+L205*Rubric!$B$10-IF(OR(H205&lt;Rubric!$B$12,K205&lt;Rubric!$B$12),Rubric!$B$13,0),2)</f>
        <v>8.5</v>
      </c>
      <c r="N205" s="14" t="n">
        <v>1053</v>
      </c>
      <c r="O205" s="2" t="s">
        <v>734</v>
      </c>
    </row>
    <row r="206" customFormat="false" ht="23.85" hidden="false" customHeight="false" outlineLevel="0" collapsed="false">
      <c r="A206" s="2" t="s">
        <v>110</v>
      </c>
      <c r="B206" s="2" t="s">
        <v>111</v>
      </c>
      <c r="C206" s="14" t="n">
        <v>0</v>
      </c>
      <c r="D206" s="14" t="n">
        <v>5</v>
      </c>
      <c r="E206" s="2" t="s">
        <v>381</v>
      </c>
      <c r="F206" s="15" t="n">
        <v>8</v>
      </c>
      <c r="G206" s="15" t="n">
        <v>8</v>
      </c>
      <c r="H206" s="15" t="n">
        <v>8</v>
      </c>
      <c r="I206" s="15" t="n">
        <v>8</v>
      </c>
      <c r="J206" s="15" t="n">
        <v>6</v>
      </c>
      <c r="K206" s="15" t="n">
        <v>7</v>
      </c>
      <c r="L206" s="15" t="n">
        <v>8</v>
      </c>
      <c r="M206" s="4" t="n">
        <f aca="false">ROUND(F206*Rubric!$B$4+G206*Rubric!$B$5+H206*Rubric!$B$6+I206*Rubric!$B$7+J206*Rubric!$B$8+K206*Rubric!$B$9+L206*Rubric!$B$10-IF(OR(H206&lt;Rubric!$B$12,K206&lt;Rubric!$B$12),Rubric!$B$13,0),2)</f>
        <v>7.1</v>
      </c>
      <c r="N206" s="14" t="n">
        <v>1054</v>
      </c>
      <c r="O206" s="2" t="s">
        <v>726</v>
      </c>
    </row>
    <row r="207" customFormat="false" ht="23.85" hidden="false" customHeight="false" outlineLevel="0" collapsed="false">
      <c r="A207" s="2" t="s">
        <v>110</v>
      </c>
      <c r="B207" s="2" t="s">
        <v>111</v>
      </c>
      <c r="C207" s="14" t="n">
        <v>1</v>
      </c>
      <c r="D207" s="14" t="n">
        <v>5</v>
      </c>
      <c r="E207" s="2" t="s">
        <v>735</v>
      </c>
      <c r="F207" s="15" t="n">
        <v>7</v>
      </c>
      <c r="G207" s="15" t="n">
        <v>8</v>
      </c>
      <c r="H207" s="15" t="n">
        <v>8</v>
      </c>
      <c r="I207" s="15" t="n">
        <v>3</v>
      </c>
      <c r="J207" s="15" t="n">
        <v>8</v>
      </c>
      <c r="K207" s="15" t="n">
        <v>8</v>
      </c>
      <c r="L207" s="15" t="n">
        <v>8</v>
      </c>
      <c r="M207" s="4" t="n">
        <f aca="false">ROUND(F207*Rubric!$B$4+G207*Rubric!$B$5+H207*Rubric!$B$6+I207*Rubric!$B$7+J207*Rubric!$B$8+K207*Rubric!$B$9+L207*Rubric!$B$10-IF(OR(H207&lt;Rubric!$B$12,K207&lt;Rubric!$B$12),Rubric!$B$13,0),2)</f>
        <v>7.45</v>
      </c>
      <c r="N207" s="14" t="n">
        <v>1054</v>
      </c>
      <c r="O207" s="2" t="s">
        <v>734</v>
      </c>
    </row>
    <row r="208" customFormat="false" ht="23.85" hidden="false" customHeight="false" outlineLevel="0" collapsed="false">
      <c r="A208" s="2" t="s">
        <v>110</v>
      </c>
      <c r="B208" s="2" t="s">
        <v>111</v>
      </c>
      <c r="C208" s="14" t="n">
        <v>3</v>
      </c>
      <c r="D208" s="14" t="n">
        <v>5</v>
      </c>
      <c r="E208" s="2" t="s">
        <v>453</v>
      </c>
      <c r="F208" s="15" t="n">
        <v>8</v>
      </c>
      <c r="G208" s="15" t="n">
        <v>9</v>
      </c>
      <c r="H208" s="15" t="n">
        <v>8</v>
      </c>
      <c r="I208" s="15" t="n">
        <v>3</v>
      </c>
      <c r="J208" s="15" t="n">
        <v>9</v>
      </c>
      <c r="K208" s="15" t="n">
        <v>9</v>
      </c>
      <c r="L208" s="15" t="n">
        <v>9</v>
      </c>
      <c r="M208" s="4" t="n">
        <f aca="false">ROUND(F208*Rubric!$B$4+G208*Rubric!$B$5+H208*Rubric!$B$6+I208*Rubric!$B$7+J208*Rubric!$B$8+K208*Rubric!$B$9+L208*Rubric!$B$10-IF(OR(H208&lt;Rubric!$B$12,K208&lt;Rubric!$B$12),Rubric!$B$13,0),2)</f>
        <v>8.25</v>
      </c>
      <c r="N208" s="14" t="n">
        <v>1054</v>
      </c>
      <c r="O208" s="2" t="s">
        <v>736</v>
      </c>
    </row>
    <row r="209" customFormat="false" ht="23.85" hidden="false" customHeight="false" outlineLevel="0" collapsed="false">
      <c r="A209" s="2" t="s">
        <v>116</v>
      </c>
      <c r="B209" s="2" t="s">
        <v>117</v>
      </c>
      <c r="C209" s="14" t="n">
        <v>0</v>
      </c>
      <c r="D209" s="14" t="n">
        <v>1</v>
      </c>
      <c r="E209" s="2" t="s">
        <v>372</v>
      </c>
      <c r="F209" s="15" t="n">
        <v>8</v>
      </c>
      <c r="G209" s="15" t="n">
        <v>8</v>
      </c>
      <c r="H209" s="15" t="n">
        <v>8</v>
      </c>
      <c r="I209" s="15" t="n">
        <v>3</v>
      </c>
      <c r="J209" s="15" t="n">
        <v>7</v>
      </c>
      <c r="K209" s="15" t="n">
        <v>8</v>
      </c>
      <c r="L209" s="15" t="n">
        <v>7</v>
      </c>
      <c r="M209" s="4" t="n">
        <f aca="false">ROUND(F209*Rubric!$B$4+G209*Rubric!$B$5+H209*Rubric!$B$6+I209*Rubric!$B$7+J209*Rubric!$B$8+K209*Rubric!$B$9+L209*Rubric!$B$10-IF(OR(H209&lt;Rubric!$B$12,K209&lt;Rubric!$B$12),Rubric!$B$13,0),2)</f>
        <v>7</v>
      </c>
      <c r="N209" s="14" t="n">
        <v>1060</v>
      </c>
      <c r="O209" s="2" t="s">
        <v>726</v>
      </c>
    </row>
    <row r="210" customFormat="false" ht="23.85" hidden="false" customHeight="false" outlineLevel="0" collapsed="false">
      <c r="A210" s="2" t="s">
        <v>116</v>
      </c>
      <c r="B210" s="2" t="s">
        <v>117</v>
      </c>
      <c r="C210" s="14" t="n">
        <v>1</v>
      </c>
      <c r="D210" s="14" t="n">
        <v>1</v>
      </c>
      <c r="E210" s="2" t="s">
        <v>441</v>
      </c>
      <c r="F210" s="15" t="n">
        <v>6</v>
      </c>
      <c r="G210" s="15" t="n">
        <v>8</v>
      </c>
      <c r="H210" s="15" t="n">
        <v>7</v>
      </c>
      <c r="I210" s="15" t="n">
        <v>9</v>
      </c>
      <c r="J210" s="15" t="n">
        <v>10</v>
      </c>
      <c r="K210" s="15" t="n">
        <v>7</v>
      </c>
      <c r="L210" s="15" t="n">
        <v>9</v>
      </c>
      <c r="M210" s="4" t="n">
        <f aca="false">ROUND(F210*Rubric!$B$4+G210*Rubric!$B$5+H210*Rubric!$B$6+I210*Rubric!$B$7+J210*Rubric!$B$8+K210*Rubric!$B$9+L210*Rubric!$B$10-IF(OR(H210&lt;Rubric!$B$12,K210&lt;Rubric!$B$12),Rubric!$B$13,0),2)</f>
        <v>8.7</v>
      </c>
      <c r="N210" s="14" t="n">
        <v>1060</v>
      </c>
      <c r="O210" s="2" t="s">
        <v>737</v>
      </c>
    </row>
    <row r="211" customFormat="false" ht="23.85" hidden="false" customHeight="false" outlineLevel="0" collapsed="false">
      <c r="A211" s="2" t="s">
        <v>116</v>
      </c>
      <c r="B211" s="2" t="s">
        <v>117</v>
      </c>
      <c r="C211" s="14" t="n">
        <v>0</v>
      </c>
      <c r="D211" s="14" t="n">
        <v>2</v>
      </c>
      <c r="E211" s="2" t="s">
        <v>374</v>
      </c>
      <c r="F211" s="15" t="n">
        <v>9</v>
      </c>
      <c r="G211" s="15" t="n">
        <v>9</v>
      </c>
      <c r="H211" s="15" t="n">
        <v>8</v>
      </c>
      <c r="I211" s="15" t="n">
        <v>3</v>
      </c>
      <c r="J211" s="15" t="n">
        <v>7</v>
      </c>
      <c r="K211" s="15" t="n">
        <v>9</v>
      </c>
      <c r="L211" s="15" t="n">
        <v>8</v>
      </c>
      <c r="M211" s="4" t="n">
        <f aca="false">ROUND(F211*Rubric!$B$4+G211*Rubric!$B$5+H211*Rubric!$B$6+I211*Rubric!$B$7+J211*Rubric!$B$8+K211*Rubric!$B$9+L211*Rubric!$B$10-IF(OR(H211&lt;Rubric!$B$12,K211&lt;Rubric!$B$12),Rubric!$B$13,0),2)</f>
        <v>7.4</v>
      </c>
      <c r="N211" s="14" t="n">
        <v>1061</v>
      </c>
      <c r="O211" s="2" t="s">
        <v>726</v>
      </c>
    </row>
    <row r="212" customFormat="false" ht="23.85" hidden="false" customHeight="false" outlineLevel="0" collapsed="false">
      <c r="A212" s="2" t="s">
        <v>116</v>
      </c>
      <c r="B212" s="2" t="s">
        <v>117</v>
      </c>
      <c r="C212" s="14" t="n">
        <v>1</v>
      </c>
      <c r="D212" s="14" t="n">
        <v>2</v>
      </c>
      <c r="E212" s="2" t="s">
        <v>454</v>
      </c>
      <c r="F212" s="15" t="n">
        <v>9</v>
      </c>
      <c r="G212" s="15" t="n">
        <v>8</v>
      </c>
      <c r="H212" s="15" t="n">
        <v>8</v>
      </c>
      <c r="I212" s="15" t="n">
        <v>3</v>
      </c>
      <c r="J212" s="15" t="n">
        <v>9</v>
      </c>
      <c r="K212" s="15" t="n">
        <v>8</v>
      </c>
      <c r="L212" s="15" t="n">
        <v>6</v>
      </c>
      <c r="M212" s="4" t="n">
        <f aca="false">ROUND(F212*Rubric!$B$4+G212*Rubric!$B$5+H212*Rubric!$B$6+I212*Rubric!$B$7+J212*Rubric!$B$8+K212*Rubric!$B$9+L212*Rubric!$B$10-IF(OR(H212&lt;Rubric!$B$12,K212&lt;Rubric!$B$12),Rubric!$B$13,0),2)</f>
        <v>7.75</v>
      </c>
      <c r="N212" s="14" t="n">
        <v>1061</v>
      </c>
      <c r="O212" s="2" t="s">
        <v>737</v>
      </c>
    </row>
    <row r="213" customFormat="false" ht="23.85" hidden="false" customHeight="false" outlineLevel="0" collapsed="false">
      <c r="A213" s="2" t="s">
        <v>116</v>
      </c>
      <c r="B213" s="2" t="s">
        <v>117</v>
      </c>
      <c r="C213" s="14" t="n">
        <v>0</v>
      </c>
      <c r="D213" s="14" t="n">
        <v>3</v>
      </c>
      <c r="E213" s="2" t="s">
        <v>373</v>
      </c>
      <c r="F213" s="15" t="n">
        <v>8</v>
      </c>
      <c r="G213" s="15" t="n">
        <v>9</v>
      </c>
      <c r="H213" s="15" t="n">
        <v>7</v>
      </c>
      <c r="I213" s="15" t="n">
        <v>3</v>
      </c>
      <c r="J213" s="15" t="n">
        <v>7</v>
      </c>
      <c r="K213" s="15" t="n">
        <v>8</v>
      </c>
      <c r="L213" s="15" t="n">
        <v>8</v>
      </c>
      <c r="M213" s="4" t="n">
        <f aca="false">ROUND(F213*Rubric!$B$4+G213*Rubric!$B$5+H213*Rubric!$B$6+I213*Rubric!$B$7+J213*Rubric!$B$8+K213*Rubric!$B$9+L213*Rubric!$B$10-IF(OR(H213&lt;Rubric!$B$12,K213&lt;Rubric!$B$12),Rubric!$B$13,0),2)</f>
        <v>7.15</v>
      </c>
      <c r="N213" s="14" t="n">
        <v>1062</v>
      </c>
      <c r="O213" s="2" t="s">
        <v>726</v>
      </c>
    </row>
    <row r="214" customFormat="false" ht="23.85" hidden="false" customHeight="false" outlineLevel="0" collapsed="false">
      <c r="A214" s="2" t="s">
        <v>116</v>
      </c>
      <c r="B214" s="2" t="s">
        <v>117</v>
      </c>
      <c r="C214" s="14" t="n">
        <v>1</v>
      </c>
      <c r="D214" s="14" t="n">
        <v>3</v>
      </c>
      <c r="E214" s="2" t="s">
        <v>455</v>
      </c>
      <c r="F214" s="15" t="n">
        <v>7</v>
      </c>
      <c r="G214" s="15" t="n">
        <v>8</v>
      </c>
      <c r="H214" s="15" t="n">
        <v>7</v>
      </c>
      <c r="I214" s="15" t="n">
        <v>3</v>
      </c>
      <c r="J214" s="15" t="n">
        <v>9</v>
      </c>
      <c r="K214" s="15" t="n">
        <v>7</v>
      </c>
      <c r="L214" s="15" t="n">
        <v>8</v>
      </c>
      <c r="M214" s="4" t="n">
        <f aca="false">ROUND(F214*Rubric!$B$4+G214*Rubric!$B$5+H214*Rubric!$B$6+I214*Rubric!$B$7+J214*Rubric!$B$8+K214*Rubric!$B$9+L214*Rubric!$B$10-IF(OR(H214&lt;Rubric!$B$12,K214&lt;Rubric!$B$12),Rubric!$B$13,0),2)</f>
        <v>7.65</v>
      </c>
      <c r="N214" s="14" t="n">
        <v>1062</v>
      </c>
      <c r="O214" s="2" t="s">
        <v>737</v>
      </c>
    </row>
    <row r="215" customFormat="false" ht="23.85" hidden="false" customHeight="false" outlineLevel="0" collapsed="false">
      <c r="A215" s="2" t="s">
        <v>116</v>
      </c>
      <c r="B215" s="2" t="s">
        <v>117</v>
      </c>
      <c r="C215" s="14" t="n">
        <v>0</v>
      </c>
      <c r="D215" s="14" t="n">
        <v>4</v>
      </c>
      <c r="E215" s="2" t="s">
        <v>377</v>
      </c>
      <c r="F215" s="15" t="n">
        <v>9</v>
      </c>
      <c r="G215" s="15" t="n">
        <v>8</v>
      </c>
      <c r="H215" s="15" t="n">
        <v>8</v>
      </c>
      <c r="I215" s="15" t="n">
        <v>3</v>
      </c>
      <c r="J215" s="15" t="n">
        <v>7</v>
      </c>
      <c r="K215" s="15" t="n">
        <v>8</v>
      </c>
      <c r="L215" s="15" t="n">
        <v>7</v>
      </c>
      <c r="M215" s="4" t="n">
        <f aca="false">ROUND(F215*Rubric!$B$4+G215*Rubric!$B$5+H215*Rubric!$B$6+I215*Rubric!$B$7+J215*Rubric!$B$8+K215*Rubric!$B$9+L215*Rubric!$B$10-IF(OR(H215&lt;Rubric!$B$12,K215&lt;Rubric!$B$12),Rubric!$B$13,0),2)</f>
        <v>7.05</v>
      </c>
      <c r="N215" s="14" t="n">
        <v>1063</v>
      </c>
      <c r="O215" s="2" t="s">
        <v>726</v>
      </c>
    </row>
    <row r="216" customFormat="false" ht="23.85" hidden="false" customHeight="false" outlineLevel="0" collapsed="false">
      <c r="A216" s="2" t="s">
        <v>116</v>
      </c>
      <c r="B216" s="2" t="s">
        <v>117</v>
      </c>
      <c r="C216" s="14" t="n">
        <v>1</v>
      </c>
      <c r="D216" s="14" t="n">
        <v>4</v>
      </c>
      <c r="E216" s="2" t="s">
        <v>373</v>
      </c>
      <c r="F216" s="15" t="n">
        <v>7</v>
      </c>
      <c r="G216" s="15" t="n">
        <v>9</v>
      </c>
      <c r="H216" s="15" t="n">
        <v>7</v>
      </c>
      <c r="I216" s="15" t="n">
        <v>3</v>
      </c>
      <c r="J216" s="15" t="n">
        <v>9</v>
      </c>
      <c r="K216" s="15" t="n">
        <v>8</v>
      </c>
      <c r="L216" s="15" t="n">
        <v>8</v>
      </c>
      <c r="M216" s="4" t="n">
        <f aca="false">ROUND(F216*Rubric!$B$4+G216*Rubric!$B$5+H216*Rubric!$B$6+I216*Rubric!$B$7+J216*Rubric!$B$8+K216*Rubric!$B$9+L216*Rubric!$B$10-IF(OR(H216&lt;Rubric!$B$12,K216&lt;Rubric!$B$12),Rubric!$B$13,0),2)</f>
        <v>7.9</v>
      </c>
      <c r="N216" s="14" t="n">
        <v>1063</v>
      </c>
      <c r="O216" s="2" t="s">
        <v>737</v>
      </c>
    </row>
    <row r="217" customFormat="false" ht="23.85" hidden="false" customHeight="false" outlineLevel="0" collapsed="false">
      <c r="A217" s="2" t="s">
        <v>116</v>
      </c>
      <c r="B217" s="2" t="s">
        <v>117</v>
      </c>
      <c r="C217" s="14" t="n">
        <v>0</v>
      </c>
      <c r="D217" s="14" t="n">
        <v>5</v>
      </c>
      <c r="E217" s="2" t="s">
        <v>376</v>
      </c>
      <c r="F217" s="15" t="n">
        <v>8</v>
      </c>
      <c r="G217" s="15" t="n">
        <v>8</v>
      </c>
      <c r="H217" s="15" t="n">
        <v>7</v>
      </c>
      <c r="I217" s="15" t="n">
        <v>9</v>
      </c>
      <c r="J217" s="15" t="n">
        <v>8</v>
      </c>
      <c r="K217" s="15" t="n">
        <v>8</v>
      </c>
      <c r="L217" s="15" t="n">
        <v>9</v>
      </c>
      <c r="M217" s="4" t="n">
        <f aca="false">ROUND(F217*Rubric!$B$4+G217*Rubric!$B$5+H217*Rubric!$B$6+I217*Rubric!$B$7+J217*Rubric!$B$8+K217*Rubric!$B$9+L217*Rubric!$B$10-IF(OR(H217&lt;Rubric!$B$12,K217&lt;Rubric!$B$12),Rubric!$B$13,0),2)</f>
        <v>8.1</v>
      </c>
      <c r="N217" s="14" t="n">
        <v>1064</v>
      </c>
      <c r="O217" s="2" t="s">
        <v>726</v>
      </c>
    </row>
    <row r="218" customFormat="false" ht="23.85" hidden="false" customHeight="false" outlineLevel="0" collapsed="false">
      <c r="A218" s="2" t="s">
        <v>116</v>
      </c>
      <c r="B218" s="2" t="s">
        <v>117</v>
      </c>
      <c r="C218" s="14" t="n">
        <v>1</v>
      </c>
      <c r="D218" s="14" t="n">
        <v>5</v>
      </c>
      <c r="E218" s="2" t="s">
        <v>484</v>
      </c>
      <c r="F218" s="15" t="n">
        <v>8</v>
      </c>
      <c r="G218" s="15" t="n">
        <v>8</v>
      </c>
      <c r="H218" s="15" t="n">
        <v>8</v>
      </c>
      <c r="I218" s="15" t="n">
        <v>3</v>
      </c>
      <c r="J218" s="15" t="n">
        <v>8</v>
      </c>
      <c r="K218" s="15" t="n">
        <v>8</v>
      </c>
      <c r="L218" s="15" t="n">
        <v>7</v>
      </c>
      <c r="M218" s="4" t="n">
        <f aca="false">ROUND(F218*Rubric!$B$4+G218*Rubric!$B$5+H218*Rubric!$B$6+I218*Rubric!$B$7+J218*Rubric!$B$8+K218*Rubric!$B$9+L218*Rubric!$B$10-IF(OR(H218&lt;Rubric!$B$12,K218&lt;Rubric!$B$12),Rubric!$B$13,0),2)</f>
        <v>7.4</v>
      </c>
      <c r="N218" s="14" t="n">
        <v>1064</v>
      </c>
      <c r="O218" s="2" t="s">
        <v>737</v>
      </c>
    </row>
    <row r="219" customFormat="false" ht="23.85" hidden="false" customHeight="false" outlineLevel="0" collapsed="false">
      <c r="A219" s="2" t="s">
        <v>116</v>
      </c>
      <c r="B219" s="2" t="s">
        <v>117</v>
      </c>
      <c r="C219" s="14" t="n">
        <v>3</v>
      </c>
      <c r="D219" s="14" t="n">
        <v>5</v>
      </c>
      <c r="E219" s="2" t="s">
        <v>456</v>
      </c>
      <c r="F219" s="15" t="n">
        <v>7</v>
      </c>
      <c r="G219" s="15" t="n">
        <v>8</v>
      </c>
      <c r="H219" s="15" t="n">
        <v>8</v>
      </c>
      <c r="I219" s="15" t="n">
        <v>3</v>
      </c>
      <c r="J219" s="15" t="n">
        <v>9</v>
      </c>
      <c r="K219" s="15" t="n">
        <v>8</v>
      </c>
      <c r="L219" s="15" t="n">
        <v>7</v>
      </c>
      <c r="M219" s="4" t="n">
        <f aca="false">ROUND(F219*Rubric!$B$4+G219*Rubric!$B$5+H219*Rubric!$B$6+I219*Rubric!$B$7+J219*Rubric!$B$8+K219*Rubric!$B$9+L219*Rubric!$B$10-IF(OR(H219&lt;Rubric!$B$12,K219&lt;Rubric!$B$12),Rubric!$B$13,0),2)</f>
        <v>7.75</v>
      </c>
      <c r="N219" s="14" t="n">
        <v>1064</v>
      </c>
      <c r="O219" s="2" t="s">
        <v>738</v>
      </c>
    </row>
    <row r="220" customFormat="false" ht="23.85" hidden="false" customHeight="false" outlineLevel="0" collapsed="false">
      <c r="A220" s="2" t="s">
        <v>122</v>
      </c>
      <c r="B220" s="2" t="s">
        <v>123</v>
      </c>
      <c r="C220" s="14" t="n">
        <v>0</v>
      </c>
      <c r="D220" s="14" t="n">
        <v>1</v>
      </c>
      <c r="E220" s="2" t="s">
        <v>399</v>
      </c>
      <c r="F220" s="15" t="n">
        <v>9</v>
      </c>
      <c r="G220" s="15" t="n">
        <v>9</v>
      </c>
      <c r="H220" s="15" t="n">
        <v>7</v>
      </c>
      <c r="I220" s="15" t="n">
        <v>10</v>
      </c>
      <c r="J220" s="15" t="n">
        <v>8</v>
      </c>
      <c r="K220" s="15" t="n">
        <v>8</v>
      </c>
      <c r="L220" s="15" t="n">
        <v>10</v>
      </c>
      <c r="M220" s="4" t="n">
        <f aca="false">ROUND(F220*Rubric!$B$4+G220*Rubric!$B$5+H220*Rubric!$B$6+I220*Rubric!$B$7+J220*Rubric!$B$8+K220*Rubric!$B$9+L220*Rubric!$B$10-IF(OR(H220&lt;Rubric!$B$12,K220&lt;Rubric!$B$12),Rubric!$B$13,0),2)</f>
        <v>8.5</v>
      </c>
      <c r="N220" s="14" t="n">
        <v>1070</v>
      </c>
      <c r="O220" s="2" t="s">
        <v>726</v>
      </c>
    </row>
    <row r="221" customFormat="false" ht="23.85" hidden="false" customHeight="false" outlineLevel="0" collapsed="false">
      <c r="A221" s="2" t="s">
        <v>122</v>
      </c>
      <c r="B221" s="2" t="s">
        <v>123</v>
      </c>
      <c r="C221" s="14" t="n">
        <v>1</v>
      </c>
      <c r="D221" s="14" t="n">
        <v>1</v>
      </c>
      <c r="E221" s="2" t="s">
        <v>457</v>
      </c>
      <c r="F221" s="15" t="n">
        <v>9</v>
      </c>
      <c r="G221" s="15" t="n">
        <v>9</v>
      </c>
      <c r="H221" s="15" t="n">
        <v>7</v>
      </c>
      <c r="I221" s="15" t="n">
        <v>10</v>
      </c>
      <c r="J221" s="15" t="n">
        <v>10</v>
      </c>
      <c r="K221" s="15" t="n">
        <v>8</v>
      </c>
      <c r="L221" s="15" t="n">
        <v>10</v>
      </c>
      <c r="M221" s="4" t="n">
        <f aca="false">ROUND(F221*Rubric!$B$4+G221*Rubric!$B$5+H221*Rubric!$B$6+I221*Rubric!$B$7+J221*Rubric!$B$8+K221*Rubric!$B$9+L221*Rubric!$B$10-IF(OR(H221&lt;Rubric!$B$12,K221&lt;Rubric!$B$12),Rubric!$B$13,0),2)</f>
        <v>9.3</v>
      </c>
      <c r="N221" s="14" t="n">
        <v>1070</v>
      </c>
      <c r="O221" s="2" t="s">
        <v>739</v>
      </c>
    </row>
    <row r="222" customFormat="false" ht="23.85" hidden="false" customHeight="false" outlineLevel="0" collapsed="false">
      <c r="A222" s="2" t="s">
        <v>122</v>
      </c>
      <c r="B222" s="2" t="s">
        <v>123</v>
      </c>
      <c r="C222" s="14" t="n">
        <v>0</v>
      </c>
      <c r="D222" s="14" t="n">
        <v>2</v>
      </c>
      <c r="E222" s="2" t="s">
        <v>408</v>
      </c>
      <c r="F222" s="15" t="n">
        <v>9</v>
      </c>
      <c r="G222" s="15" t="n">
        <v>8</v>
      </c>
      <c r="H222" s="15" t="n">
        <v>8</v>
      </c>
      <c r="I222" s="15" t="n">
        <v>10</v>
      </c>
      <c r="J222" s="15" t="n">
        <v>8</v>
      </c>
      <c r="K222" s="15" t="n">
        <v>8</v>
      </c>
      <c r="L222" s="15" t="n">
        <v>9</v>
      </c>
      <c r="M222" s="4" t="n">
        <f aca="false">ROUND(F222*Rubric!$B$4+G222*Rubric!$B$5+H222*Rubric!$B$6+I222*Rubric!$B$7+J222*Rubric!$B$8+K222*Rubric!$B$9+L222*Rubric!$B$10-IF(OR(H222&lt;Rubric!$B$12,K222&lt;Rubric!$B$12),Rubric!$B$13,0),2)</f>
        <v>8.35</v>
      </c>
      <c r="N222" s="14" t="n">
        <v>1071</v>
      </c>
      <c r="O222" s="2" t="s">
        <v>726</v>
      </c>
    </row>
    <row r="223" customFormat="false" ht="23.85" hidden="false" customHeight="false" outlineLevel="0" collapsed="false">
      <c r="A223" s="2" t="s">
        <v>122</v>
      </c>
      <c r="B223" s="2" t="s">
        <v>123</v>
      </c>
      <c r="C223" s="14" t="n">
        <v>1</v>
      </c>
      <c r="D223" s="14" t="n">
        <v>2</v>
      </c>
      <c r="E223" s="2" t="s">
        <v>434</v>
      </c>
      <c r="F223" s="15" t="n">
        <v>7</v>
      </c>
      <c r="G223" s="15" t="n">
        <v>8</v>
      </c>
      <c r="H223" s="15" t="n">
        <v>7</v>
      </c>
      <c r="I223" s="15" t="n">
        <v>10</v>
      </c>
      <c r="J223" s="15" t="n">
        <v>10</v>
      </c>
      <c r="K223" s="15" t="n">
        <v>7</v>
      </c>
      <c r="L223" s="15" t="n">
        <v>9</v>
      </c>
      <c r="M223" s="4" t="n">
        <f aca="false">ROUND(F223*Rubric!$B$4+G223*Rubric!$B$5+H223*Rubric!$B$6+I223*Rubric!$B$7+J223*Rubric!$B$8+K223*Rubric!$B$9+L223*Rubric!$B$10-IF(OR(H223&lt;Rubric!$B$12,K223&lt;Rubric!$B$12),Rubric!$B$13,0),2)</f>
        <v>8.85</v>
      </c>
      <c r="N223" s="14" t="n">
        <v>1071</v>
      </c>
      <c r="O223" s="2" t="s">
        <v>739</v>
      </c>
    </row>
    <row r="224" customFormat="false" ht="23.85" hidden="false" customHeight="false" outlineLevel="0" collapsed="false">
      <c r="A224" s="2" t="s">
        <v>122</v>
      </c>
      <c r="B224" s="2" t="s">
        <v>123</v>
      </c>
      <c r="C224" s="14" t="n">
        <v>0</v>
      </c>
      <c r="D224" s="14" t="n">
        <v>3</v>
      </c>
      <c r="E224" s="2" t="s">
        <v>385</v>
      </c>
      <c r="F224" s="15" t="n">
        <v>8</v>
      </c>
      <c r="G224" s="15" t="n">
        <v>8</v>
      </c>
      <c r="H224" s="15" t="n">
        <v>7</v>
      </c>
      <c r="I224" s="15" t="n">
        <v>10</v>
      </c>
      <c r="J224" s="15" t="n">
        <v>7</v>
      </c>
      <c r="K224" s="15" t="n">
        <v>7</v>
      </c>
      <c r="L224" s="15" t="n">
        <v>9</v>
      </c>
      <c r="M224" s="4" t="n">
        <f aca="false">ROUND(F224*Rubric!$B$4+G224*Rubric!$B$5+H224*Rubric!$B$6+I224*Rubric!$B$7+J224*Rubric!$B$8+K224*Rubric!$B$9+L224*Rubric!$B$10-IF(OR(H224&lt;Rubric!$B$12,K224&lt;Rubric!$B$12),Rubric!$B$13,0),2)</f>
        <v>7.7</v>
      </c>
      <c r="N224" s="14" t="n">
        <v>1072</v>
      </c>
      <c r="O224" s="2" t="s">
        <v>726</v>
      </c>
    </row>
    <row r="225" customFormat="false" ht="23.85" hidden="false" customHeight="false" outlineLevel="0" collapsed="false">
      <c r="A225" s="2" t="s">
        <v>122</v>
      </c>
      <c r="B225" s="2" t="s">
        <v>123</v>
      </c>
      <c r="C225" s="14" t="n">
        <v>1</v>
      </c>
      <c r="D225" s="14" t="n">
        <v>3</v>
      </c>
      <c r="E225" s="2" t="s">
        <v>458</v>
      </c>
      <c r="F225" s="15" t="n">
        <v>6</v>
      </c>
      <c r="G225" s="15" t="n">
        <v>8</v>
      </c>
      <c r="H225" s="15" t="n">
        <v>8</v>
      </c>
      <c r="I225" s="15" t="n">
        <v>5</v>
      </c>
      <c r="J225" s="15" t="n">
        <v>8</v>
      </c>
      <c r="K225" s="15" t="n">
        <v>7</v>
      </c>
      <c r="L225" s="15" t="n">
        <v>9</v>
      </c>
      <c r="M225" s="4" t="n">
        <f aca="false">ROUND(F225*Rubric!$B$4+G225*Rubric!$B$5+H225*Rubric!$B$6+I225*Rubric!$B$7+J225*Rubric!$B$8+K225*Rubric!$B$9+L225*Rubric!$B$10-IF(OR(H225&lt;Rubric!$B$12,K225&lt;Rubric!$B$12),Rubric!$B$13,0),2)</f>
        <v>7.6</v>
      </c>
      <c r="N225" s="14" t="n">
        <v>1072</v>
      </c>
      <c r="O225" s="2" t="s">
        <v>739</v>
      </c>
    </row>
    <row r="226" customFormat="false" ht="23.85" hidden="false" customHeight="false" outlineLevel="0" collapsed="false">
      <c r="A226" s="2" t="s">
        <v>122</v>
      </c>
      <c r="B226" s="2" t="s">
        <v>123</v>
      </c>
      <c r="C226" s="14" t="n">
        <v>0</v>
      </c>
      <c r="D226" s="14" t="n">
        <v>4</v>
      </c>
      <c r="E226" s="2" t="s">
        <v>404</v>
      </c>
      <c r="F226" s="15" t="n">
        <v>8</v>
      </c>
      <c r="G226" s="15" t="n">
        <v>8</v>
      </c>
      <c r="H226" s="15" t="n">
        <v>7</v>
      </c>
      <c r="I226" s="15" t="n">
        <v>10</v>
      </c>
      <c r="J226" s="15" t="n">
        <v>6</v>
      </c>
      <c r="K226" s="15" t="n">
        <v>7</v>
      </c>
      <c r="L226" s="15" t="n">
        <v>9</v>
      </c>
      <c r="M226" s="4" t="n">
        <f aca="false">ROUND(F226*Rubric!$B$4+G226*Rubric!$B$5+H226*Rubric!$B$6+I226*Rubric!$B$7+J226*Rubric!$B$8+K226*Rubric!$B$9+L226*Rubric!$B$10-IF(OR(H226&lt;Rubric!$B$12,K226&lt;Rubric!$B$12),Rubric!$B$13,0),2)</f>
        <v>7.3</v>
      </c>
      <c r="N226" s="14" t="n">
        <v>1073</v>
      </c>
      <c r="O226" s="2" t="s">
        <v>726</v>
      </c>
    </row>
    <row r="227" customFormat="false" ht="23.85" hidden="false" customHeight="false" outlineLevel="0" collapsed="false">
      <c r="A227" s="2" t="s">
        <v>122</v>
      </c>
      <c r="B227" s="2" t="s">
        <v>123</v>
      </c>
      <c r="C227" s="14" t="n">
        <v>1</v>
      </c>
      <c r="D227" s="14" t="n">
        <v>4</v>
      </c>
      <c r="E227" s="2" t="s">
        <v>381</v>
      </c>
      <c r="F227" s="15" t="n">
        <v>7</v>
      </c>
      <c r="G227" s="15" t="n">
        <v>8</v>
      </c>
      <c r="H227" s="15" t="n">
        <v>8</v>
      </c>
      <c r="I227" s="15" t="n">
        <v>9</v>
      </c>
      <c r="J227" s="15" t="n">
        <v>9</v>
      </c>
      <c r="K227" s="15" t="n">
        <v>7</v>
      </c>
      <c r="L227" s="15" t="n">
        <v>8</v>
      </c>
      <c r="M227" s="4" t="n">
        <f aca="false">ROUND(F227*Rubric!$B$4+G227*Rubric!$B$5+H227*Rubric!$B$6+I227*Rubric!$B$7+J227*Rubric!$B$8+K227*Rubric!$B$9+L227*Rubric!$B$10-IF(OR(H227&lt;Rubric!$B$12,K227&lt;Rubric!$B$12),Rubric!$B$13,0),2)</f>
        <v>8.35</v>
      </c>
      <c r="N227" s="14" t="n">
        <v>1073</v>
      </c>
      <c r="O227" s="2" t="s">
        <v>739</v>
      </c>
    </row>
    <row r="228" customFormat="false" ht="23.85" hidden="false" customHeight="false" outlineLevel="0" collapsed="false">
      <c r="A228" s="2" t="s">
        <v>122</v>
      </c>
      <c r="B228" s="2" t="s">
        <v>123</v>
      </c>
      <c r="C228" s="14" t="n">
        <v>0</v>
      </c>
      <c r="D228" s="14" t="n">
        <v>5</v>
      </c>
      <c r="E228" s="2" t="s">
        <v>396</v>
      </c>
      <c r="F228" s="15" t="n">
        <v>8</v>
      </c>
      <c r="G228" s="15" t="n">
        <v>8</v>
      </c>
      <c r="H228" s="15" t="n">
        <v>8</v>
      </c>
      <c r="I228" s="15" t="n">
        <v>9</v>
      </c>
      <c r="J228" s="15" t="n">
        <v>7</v>
      </c>
      <c r="K228" s="15" t="n">
        <v>8</v>
      </c>
      <c r="L228" s="15" t="n">
        <v>9</v>
      </c>
      <c r="M228" s="4" t="n">
        <f aca="false">ROUND(F228*Rubric!$B$4+G228*Rubric!$B$5+H228*Rubric!$B$6+I228*Rubric!$B$7+J228*Rubric!$B$8+K228*Rubric!$B$9+L228*Rubric!$B$10-IF(OR(H228&lt;Rubric!$B$12,K228&lt;Rubric!$B$12),Rubric!$B$13,0),2)</f>
        <v>7.8</v>
      </c>
      <c r="N228" s="14" t="n">
        <v>1074</v>
      </c>
      <c r="O228" s="2" t="s">
        <v>726</v>
      </c>
    </row>
    <row r="229" customFormat="false" ht="23.85" hidden="false" customHeight="false" outlineLevel="0" collapsed="false">
      <c r="A229" s="2" t="s">
        <v>122</v>
      </c>
      <c r="B229" s="2" t="s">
        <v>123</v>
      </c>
      <c r="C229" s="14" t="n">
        <v>1</v>
      </c>
      <c r="D229" s="14" t="n">
        <v>5</v>
      </c>
      <c r="E229" s="2" t="s">
        <v>459</v>
      </c>
      <c r="F229" s="15" t="n">
        <v>7</v>
      </c>
      <c r="G229" s="15" t="n">
        <v>8</v>
      </c>
      <c r="H229" s="15" t="n">
        <v>7</v>
      </c>
      <c r="I229" s="15" t="n">
        <v>10</v>
      </c>
      <c r="J229" s="15" t="n">
        <v>9</v>
      </c>
      <c r="K229" s="15" t="n">
        <v>7</v>
      </c>
      <c r="L229" s="15" t="n">
        <v>9</v>
      </c>
      <c r="M229" s="4" t="n">
        <f aca="false">ROUND(F229*Rubric!$B$4+G229*Rubric!$B$5+H229*Rubric!$B$6+I229*Rubric!$B$7+J229*Rubric!$B$8+K229*Rubric!$B$9+L229*Rubric!$B$10-IF(OR(H229&lt;Rubric!$B$12,K229&lt;Rubric!$B$12),Rubric!$B$13,0),2)</f>
        <v>8.45</v>
      </c>
      <c r="N229" s="14" t="n">
        <v>1074</v>
      </c>
      <c r="O229" s="2" t="s">
        <v>739</v>
      </c>
    </row>
    <row r="230" customFormat="false" ht="23.85" hidden="false" customHeight="false" outlineLevel="0" collapsed="false">
      <c r="A230" s="2" t="s">
        <v>128</v>
      </c>
      <c r="B230" s="2" t="s">
        <v>129</v>
      </c>
      <c r="C230" s="14" t="n">
        <v>0</v>
      </c>
      <c r="D230" s="14" t="n">
        <v>1</v>
      </c>
      <c r="E230" s="2" t="s">
        <v>407</v>
      </c>
      <c r="F230" s="15" t="n">
        <v>8</v>
      </c>
      <c r="G230" s="15" t="n">
        <v>8</v>
      </c>
      <c r="H230" s="15" t="n">
        <v>7</v>
      </c>
      <c r="I230" s="15" t="n">
        <v>10</v>
      </c>
      <c r="J230" s="15" t="n">
        <v>8</v>
      </c>
      <c r="K230" s="15" t="n">
        <v>7</v>
      </c>
      <c r="L230" s="15" t="n">
        <v>9</v>
      </c>
      <c r="M230" s="4" t="n">
        <f aca="false">ROUND(F230*Rubric!$B$4+G230*Rubric!$B$5+H230*Rubric!$B$6+I230*Rubric!$B$7+J230*Rubric!$B$8+K230*Rubric!$B$9+L230*Rubric!$B$10-IF(OR(H230&lt;Rubric!$B$12,K230&lt;Rubric!$B$12),Rubric!$B$13,0),2)</f>
        <v>8.1</v>
      </c>
      <c r="N230" s="14" t="n">
        <v>1080</v>
      </c>
      <c r="O230" s="2" t="s">
        <v>726</v>
      </c>
    </row>
    <row r="231" customFormat="false" ht="23.85" hidden="false" customHeight="false" outlineLevel="0" collapsed="false">
      <c r="A231" s="2" t="s">
        <v>128</v>
      </c>
      <c r="B231" s="2" t="s">
        <v>129</v>
      </c>
      <c r="C231" s="14" t="n">
        <v>1</v>
      </c>
      <c r="D231" s="14" t="n">
        <v>1</v>
      </c>
      <c r="E231" s="2" t="s">
        <v>460</v>
      </c>
      <c r="F231" s="15" t="n">
        <v>7</v>
      </c>
      <c r="G231" s="15" t="n">
        <v>8</v>
      </c>
      <c r="H231" s="15" t="n">
        <v>7</v>
      </c>
      <c r="I231" s="15" t="n">
        <v>10</v>
      </c>
      <c r="J231" s="15" t="n">
        <v>10</v>
      </c>
      <c r="K231" s="15" t="n">
        <v>7</v>
      </c>
      <c r="L231" s="15" t="n">
        <v>9</v>
      </c>
      <c r="M231" s="4" t="n">
        <f aca="false">ROUND(F231*Rubric!$B$4+G231*Rubric!$B$5+H231*Rubric!$B$6+I231*Rubric!$B$7+J231*Rubric!$B$8+K231*Rubric!$B$9+L231*Rubric!$B$10-IF(OR(H231&lt;Rubric!$B$12,K231&lt;Rubric!$B$12),Rubric!$B$13,0),2)</f>
        <v>8.85</v>
      </c>
      <c r="N231" s="14" t="n">
        <v>1080</v>
      </c>
      <c r="O231" s="2" t="s">
        <v>740</v>
      </c>
    </row>
    <row r="232" customFormat="false" ht="23.85" hidden="false" customHeight="false" outlineLevel="0" collapsed="false">
      <c r="A232" s="2" t="s">
        <v>128</v>
      </c>
      <c r="B232" s="2" t="s">
        <v>129</v>
      </c>
      <c r="C232" s="14" t="n">
        <v>0</v>
      </c>
      <c r="D232" s="14" t="n">
        <v>2</v>
      </c>
      <c r="E232" s="2" t="s">
        <v>408</v>
      </c>
      <c r="F232" s="15" t="n">
        <v>9</v>
      </c>
      <c r="G232" s="15" t="n">
        <v>8</v>
      </c>
      <c r="H232" s="15" t="n">
        <v>8</v>
      </c>
      <c r="I232" s="15" t="n">
        <v>10</v>
      </c>
      <c r="J232" s="15" t="n">
        <v>8</v>
      </c>
      <c r="K232" s="15" t="n">
        <v>8</v>
      </c>
      <c r="L232" s="15" t="n">
        <v>9</v>
      </c>
      <c r="M232" s="4" t="n">
        <f aca="false">ROUND(F232*Rubric!$B$4+G232*Rubric!$B$5+H232*Rubric!$B$6+I232*Rubric!$B$7+J232*Rubric!$B$8+K232*Rubric!$B$9+L232*Rubric!$B$10-IF(OR(H232&lt;Rubric!$B$12,K232&lt;Rubric!$B$12),Rubric!$B$13,0),2)</f>
        <v>8.35</v>
      </c>
      <c r="N232" s="14" t="n">
        <v>1081</v>
      </c>
      <c r="O232" s="2" t="s">
        <v>726</v>
      </c>
    </row>
    <row r="233" customFormat="false" ht="23.85" hidden="false" customHeight="false" outlineLevel="0" collapsed="false">
      <c r="A233" s="2" t="s">
        <v>128</v>
      </c>
      <c r="B233" s="2" t="s">
        <v>129</v>
      </c>
      <c r="C233" s="14" t="n">
        <v>1</v>
      </c>
      <c r="D233" s="14" t="n">
        <v>2</v>
      </c>
      <c r="E233" s="2" t="s">
        <v>461</v>
      </c>
      <c r="F233" s="15" t="n">
        <v>9</v>
      </c>
      <c r="G233" s="15" t="n">
        <v>8</v>
      </c>
      <c r="H233" s="15" t="n">
        <v>8</v>
      </c>
      <c r="I233" s="15" t="n">
        <v>10</v>
      </c>
      <c r="J233" s="15" t="n">
        <v>9</v>
      </c>
      <c r="K233" s="15" t="n">
        <v>8</v>
      </c>
      <c r="L233" s="15" t="n">
        <v>9</v>
      </c>
      <c r="M233" s="4" t="n">
        <f aca="false">ROUND(F233*Rubric!$B$4+G233*Rubric!$B$5+H233*Rubric!$B$6+I233*Rubric!$B$7+J233*Rubric!$B$8+K233*Rubric!$B$9+L233*Rubric!$B$10-IF(OR(H233&lt;Rubric!$B$12,K233&lt;Rubric!$B$12),Rubric!$B$13,0),2)</f>
        <v>8.75</v>
      </c>
      <c r="N233" s="14" t="n">
        <v>1081</v>
      </c>
      <c r="O233" s="2" t="s">
        <v>740</v>
      </c>
    </row>
    <row r="234" customFormat="false" ht="23.85" hidden="false" customHeight="false" outlineLevel="0" collapsed="false">
      <c r="A234" s="2" t="s">
        <v>128</v>
      </c>
      <c r="B234" s="2" t="s">
        <v>129</v>
      </c>
      <c r="C234" s="14" t="n">
        <v>0</v>
      </c>
      <c r="D234" s="14" t="n">
        <v>3</v>
      </c>
      <c r="E234" s="2" t="s">
        <v>400</v>
      </c>
      <c r="F234" s="15" t="n">
        <v>7</v>
      </c>
      <c r="G234" s="15" t="n">
        <v>8</v>
      </c>
      <c r="H234" s="15" t="n">
        <v>8</v>
      </c>
      <c r="I234" s="15" t="n">
        <v>10</v>
      </c>
      <c r="J234" s="15" t="n">
        <v>7</v>
      </c>
      <c r="K234" s="15" t="n">
        <v>8</v>
      </c>
      <c r="L234" s="15" t="n">
        <v>9</v>
      </c>
      <c r="M234" s="4" t="n">
        <f aca="false">ROUND(F234*Rubric!$B$4+G234*Rubric!$B$5+H234*Rubric!$B$6+I234*Rubric!$B$7+J234*Rubric!$B$8+K234*Rubric!$B$9+L234*Rubric!$B$10-IF(OR(H234&lt;Rubric!$B$12,K234&lt;Rubric!$B$12),Rubric!$B$13,0),2)</f>
        <v>7.85</v>
      </c>
      <c r="N234" s="14" t="n">
        <v>1082</v>
      </c>
      <c r="O234" s="2" t="s">
        <v>726</v>
      </c>
    </row>
    <row r="235" customFormat="false" ht="23.85" hidden="false" customHeight="false" outlineLevel="0" collapsed="false">
      <c r="A235" s="2" t="s">
        <v>128</v>
      </c>
      <c r="B235" s="2" t="s">
        <v>129</v>
      </c>
      <c r="C235" s="14" t="n">
        <v>1</v>
      </c>
      <c r="D235" s="14" t="n">
        <v>3</v>
      </c>
      <c r="E235" s="2" t="s">
        <v>462</v>
      </c>
      <c r="F235" s="15" t="n">
        <v>9</v>
      </c>
      <c r="G235" s="15" t="n">
        <v>8</v>
      </c>
      <c r="H235" s="15" t="n">
        <v>7</v>
      </c>
      <c r="I235" s="15" t="n">
        <v>9</v>
      </c>
      <c r="J235" s="15" t="n">
        <v>9</v>
      </c>
      <c r="K235" s="15" t="n">
        <v>8</v>
      </c>
      <c r="L235" s="15" t="n">
        <v>9</v>
      </c>
      <c r="M235" s="4" t="n">
        <f aca="false">ROUND(F235*Rubric!$B$4+G235*Rubric!$B$5+H235*Rubric!$B$6+I235*Rubric!$B$7+J235*Rubric!$B$8+K235*Rubric!$B$9+L235*Rubric!$B$10-IF(OR(H235&lt;Rubric!$B$12,K235&lt;Rubric!$B$12),Rubric!$B$13,0),2)</f>
        <v>8.55</v>
      </c>
      <c r="N235" s="14" t="n">
        <v>1082</v>
      </c>
      <c r="O235" s="2" t="s">
        <v>740</v>
      </c>
    </row>
    <row r="236" customFormat="false" ht="23.85" hidden="false" customHeight="false" outlineLevel="0" collapsed="false">
      <c r="A236" s="2" t="s">
        <v>128</v>
      </c>
      <c r="B236" s="2" t="s">
        <v>129</v>
      </c>
      <c r="C236" s="14" t="n">
        <v>0</v>
      </c>
      <c r="D236" s="14" t="n">
        <v>4</v>
      </c>
      <c r="E236" s="2" t="s">
        <v>421</v>
      </c>
      <c r="F236" s="15" t="n">
        <v>8</v>
      </c>
      <c r="G236" s="15" t="n">
        <v>8</v>
      </c>
      <c r="H236" s="15" t="n">
        <v>8</v>
      </c>
      <c r="I236" s="15" t="n">
        <v>9</v>
      </c>
      <c r="J236" s="15" t="n">
        <v>6</v>
      </c>
      <c r="K236" s="15" t="n">
        <v>8</v>
      </c>
      <c r="L236" s="15" t="n">
        <v>8</v>
      </c>
      <c r="M236" s="4" t="n">
        <f aca="false">ROUND(F236*Rubric!$B$4+G236*Rubric!$B$5+H236*Rubric!$B$6+I236*Rubric!$B$7+J236*Rubric!$B$8+K236*Rubric!$B$9+L236*Rubric!$B$10-IF(OR(H236&lt;Rubric!$B$12,K236&lt;Rubric!$B$12),Rubric!$B$13,0),2)</f>
        <v>7.3</v>
      </c>
      <c r="N236" s="14" t="n">
        <v>1083</v>
      </c>
      <c r="O236" s="2" t="s">
        <v>726</v>
      </c>
    </row>
    <row r="237" customFormat="false" ht="23.85" hidden="false" customHeight="false" outlineLevel="0" collapsed="false">
      <c r="A237" s="2" t="s">
        <v>128</v>
      </c>
      <c r="B237" s="2" t="s">
        <v>129</v>
      </c>
      <c r="C237" s="14" t="n">
        <v>1</v>
      </c>
      <c r="D237" s="14" t="n">
        <v>4</v>
      </c>
      <c r="E237" s="2" t="s">
        <v>463</v>
      </c>
      <c r="F237" s="15" t="n">
        <v>8</v>
      </c>
      <c r="G237" s="15" t="n">
        <v>9</v>
      </c>
      <c r="H237" s="15" t="n">
        <v>8</v>
      </c>
      <c r="I237" s="15" t="n">
        <v>5</v>
      </c>
      <c r="J237" s="15" t="n">
        <v>9</v>
      </c>
      <c r="K237" s="15" t="n">
        <v>9</v>
      </c>
      <c r="L237" s="15" t="n">
        <v>8</v>
      </c>
      <c r="M237" s="4" t="n">
        <f aca="false">ROUND(F237*Rubric!$B$4+G237*Rubric!$B$5+H237*Rubric!$B$6+I237*Rubric!$B$7+J237*Rubric!$B$8+K237*Rubric!$B$9+L237*Rubric!$B$10-IF(OR(H237&lt;Rubric!$B$12,K237&lt;Rubric!$B$12),Rubric!$B$13,0),2)</f>
        <v>8.35</v>
      </c>
      <c r="N237" s="14" t="n">
        <v>1083</v>
      </c>
      <c r="O237" s="2" t="s">
        <v>740</v>
      </c>
    </row>
    <row r="238" customFormat="false" ht="23.85" hidden="false" customHeight="false" outlineLevel="0" collapsed="false">
      <c r="A238" s="2" t="s">
        <v>128</v>
      </c>
      <c r="B238" s="2" t="s">
        <v>129</v>
      </c>
      <c r="C238" s="14" t="n">
        <v>0</v>
      </c>
      <c r="D238" s="14" t="n">
        <v>5</v>
      </c>
      <c r="E238" s="2" t="s">
        <v>376</v>
      </c>
      <c r="F238" s="15" t="n">
        <v>8</v>
      </c>
      <c r="G238" s="15" t="n">
        <v>8</v>
      </c>
      <c r="H238" s="15" t="n">
        <v>7</v>
      </c>
      <c r="I238" s="15" t="n">
        <v>9</v>
      </c>
      <c r="J238" s="15" t="n">
        <v>7</v>
      </c>
      <c r="K238" s="15" t="n">
        <v>8</v>
      </c>
      <c r="L238" s="15" t="n">
        <v>9</v>
      </c>
      <c r="M238" s="4" t="n">
        <f aca="false">ROUND(F238*Rubric!$B$4+G238*Rubric!$B$5+H238*Rubric!$B$6+I238*Rubric!$B$7+J238*Rubric!$B$8+K238*Rubric!$B$9+L238*Rubric!$B$10-IF(OR(H238&lt;Rubric!$B$12,K238&lt;Rubric!$B$12),Rubric!$B$13,0),2)</f>
        <v>7.7</v>
      </c>
      <c r="N238" s="14" t="n">
        <v>1084</v>
      </c>
      <c r="O238" s="2" t="s">
        <v>726</v>
      </c>
    </row>
    <row r="239" customFormat="false" ht="23.85" hidden="false" customHeight="false" outlineLevel="0" collapsed="false">
      <c r="A239" s="2" t="s">
        <v>128</v>
      </c>
      <c r="B239" s="2" t="s">
        <v>129</v>
      </c>
      <c r="C239" s="14" t="n">
        <v>1</v>
      </c>
      <c r="D239" s="14" t="n">
        <v>5</v>
      </c>
      <c r="E239" s="2" t="s">
        <v>435</v>
      </c>
      <c r="F239" s="15" t="n">
        <v>9</v>
      </c>
      <c r="G239" s="15" t="n">
        <v>8</v>
      </c>
      <c r="H239" s="15" t="n">
        <v>7</v>
      </c>
      <c r="I239" s="15" t="n">
        <v>10</v>
      </c>
      <c r="J239" s="15" t="n">
        <v>9</v>
      </c>
      <c r="K239" s="15" t="n">
        <v>7</v>
      </c>
      <c r="L239" s="15" t="n">
        <v>9</v>
      </c>
      <c r="M239" s="4" t="n">
        <f aca="false">ROUND(F239*Rubric!$B$4+G239*Rubric!$B$5+H239*Rubric!$B$6+I239*Rubric!$B$7+J239*Rubric!$B$8+K239*Rubric!$B$9+L239*Rubric!$B$10-IF(OR(H239&lt;Rubric!$B$12,K239&lt;Rubric!$B$12),Rubric!$B$13,0),2)</f>
        <v>8.55</v>
      </c>
      <c r="N239" s="14" t="n">
        <v>1084</v>
      </c>
      <c r="O239" s="2" t="s">
        <v>740</v>
      </c>
    </row>
    <row r="240" customFormat="false" ht="23.85" hidden="false" customHeight="false" outlineLevel="0" collapsed="false">
      <c r="A240" s="2" t="s">
        <v>134</v>
      </c>
      <c r="B240" s="2" t="s">
        <v>135</v>
      </c>
      <c r="C240" s="14" t="n">
        <v>0</v>
      </c>
      <c r="D240" s="14" t="n">
        <v>1</v>
      </c>
      <c r="E240" s="2" t="s">
        <v>383</v>
      </c>
      <c r="F240" s="15" t="n">
        <v>9</v>
      </c>
      <c r="G240" s="15" t="n">
        <v>9</v>
      </c>
      <c r="H240" s="15" t="n">
        <v>7</v>
      </c>
      <c r="I240" s="15" t="n">
        <v>3</v>
      </c>
      <c r="J240" s="15" t="n">
        <v>8</v>
      </c>
      <c r="K240" s="15" t="n">
        <v>8</v>
      </c>
      <c r="L240" s="15" t="n">
        <v>8</v>
      </c>
      <c r="M240" s="4" t="n">
        <f aca="false">ROUND(F240*Rubric!$B$4+G240*Rubric!$B$5+H240*Rubric!$B$6+I240*Rubric!$B$7+J240*Rubric!$B$8+K240*Rubric!$B$9+L240*Rubric!$B$10-IF(OR(H240&lt;Rubric!$B$12,K240&lt;Rubric!$B$12),Rubric!$B$13,0),2)</f>
        <v>7.6</v>
      </c>
      <c r="N240" s="14" t="n">
        <v>1090</v>
      </c>
      <c r="O240" s="2" t="s">
        <v>726</v>
      </c>
    </row>
    <row r="241" customFormat="false" ht="23.85" hidden="false" customHeight="false" outlineLevel="0" collapsed="false">
      <c r="A241" s="2" t="s">
        <v>134</v>
      </c>
      <c r="B241" s="2" t="s">
        <v>135</v>
      </c>
      <c r="C241" s="14" t="n">
        <v>1</v>
      </c>
      <c r="D241" s="14" t="n">
        <v>1</v>
      </c>
      <c r="E241" s="2" t="s">
        <v>464</v>
      </c>
      <c r="F241" s="15" t="n">
        <v>7</v>
      </c>
      <c r="G241" s="15" t="n">
        <v>8</v>
      </c>
      <c r="H241" s="15" t="n">
        <v>8</v>
      </c>
      <c r="I241" s="15" t="n">
        <v>4</v>
      </c>
      <c r="J241" s="15" t="n">
        <v>10</v>
      </c>
      <c r="K241" s="15" t="n">
        <v>8</v>
      </c>
      <c r="L241" s="15" t="n">
        <v>7</v>
      </c>
      <c r="M241" s="4" t="n">
        <f aca="false">ROUND(F241*Rubric!$B$4+G241*Rubric!$B$5+H241*Rubric!$B$6+I241*Rubric!$B$7+J241*Rubric!$B$8+K241*Rubric!$B$9+L241*Rubric!$B$10-IF(OR(H241&lt;Rubric!$B$12,K241&lt;Rubric!$B$12),Rubric!$B$13,0),2)</f>
        <v>8.25</v>
      </c>
      <c r="N241" s="14" t="n">
        <v>1090</v>
      </c>
      <c r="O241" s="2" t="s">
        <v>741</v>
      </c>
    </row>
    <row r="242" customFormat="false" ht="23.85" hidden="false" customHeight="false" outlineLevel="0" collapsed="false">
      <c r="A242" s="2" t="s">
        <v>134</v>
      </c>
      <c r="B242" s="2" t="s">
        <v>135</v>
      </c>
      <c r="C242" s="14" t="n">
        <v>0</v>
      </c>
      <c r="D242" s="14" t="n">
        <v>2</v>
      </c>
      <c r="E242" s="2" t="s">
        <v>358</v>
      </c>
      <c r="F242" s="15" t="n">
        <v>9</v>
      </c>
      <c r="G242" s="15" t="n">
        <v>9</v>
      </c>
      <c r="H242" s="15" t="n">
        <v>8</v>
      </c>
      <c r="I242" s="15" t="n">
        <v>4</v>
      </c>
      <c r="J242" s="15" t="n">
        <v>8</v>
      </c>
      <c r="K242" s="15" t="n">
        <v>9</v>
      </c>
      <c r="L242" s="15" t="n">
        <v>8</v>
      </c>
      <c r="M242" s="4" t="n">
        <f aca="false">ROUND(F242*Rubric!$B$4+G242*Rubric!$B$5+H242*Rubric!$B$6+I242*Rubric!$B$7+J242*Rubric!$B$8+K242*Rubric!$B$9+L242*Rubric!$B$10-IF(OR(H242&lt;Rubric!$B$12,K242&lt;Rubric!$B$12),Rubric!$B$13,0),2)</f>
        <v>7.9</v>
      </c>
      <c r="N242" s="14" t="n">
        <v>1091</v>
      </c>
      <c r="O242" s="2" t="s">
        <v>726</v>
      </c>
    </row>
    <row r="243" customFormat="false" ht="23.85" hidden="false" customHeight="false" outlineLevel="0" collapsed="false">
      <c r="A243" s="2" t="s">
        <v>134</v>
      </c>
      <c r="B243" s="2" t="s">
        <v>135</v>
      </c>
      <c r="C243" s="14" t="n">
        <v>1</v>
      </c>
      <c r="D243" s="14" t="n">
        <v>2</v>
      </c>
      <c r="E243" s="2" t="s">
        <v>429</v>
      </c>
      <c r="F243" s="15" t="n">
        <v>9</v>
      </c>
      <c r="G243" s="15" t="n">
        <v>9</v>
      </c>
      <c r="H243" s="15" t="n">
        <v>8</v>
      </c>
      <c r="I243" s="15" t="n">
        <v>3</v>
      </c>
      <c r="J243" s="15" t="n">
        <v>9</v>
      </c>
      <c r="K243" s="15" t="n">
        <v>9</v>
      </c>
      <c r="L243" s="15" t="n">
        <v>8</v>
      </c>
      <c r="M243" s="4" t="n">
        <f aca="false">ROUND(F243*Rubric!$B$4+G243*Rubric!$B$5+H243*Rubric!$B$6+I243*Rubric!$B$7+J243*Rubric!$B$8+K243*Rubric!$B$9+L243*Rubric!$B$10-IF(OR(H243&lt;Rubric!$B$12,K243&lt;Rubric!$B$12),Rubric!$B$13,0),2)</f>
        <v>8.2</v>
      </c>
      <c r="N243" s="14" t="n">
        <v>1091</v>
      </c>
      <c r="O243" s="2" t="s">
        <v>741</v>
      </c>
    </row>
    <row r="244" customFormat="false" ht="23.85" hidden="false" customHeight="false" outlineLevel="0" collapsed="false">
      <c r="A244" s="2" t="s">
        <v>134</v>
      </c>
      <c r="B244" s="2" t="s">
        <v>135</v>
      </c>
      <c r="C244" s="14" t="n">
        <v>0</v>
      </c>
      <c r="D244" s="14" t="n">
        <v>3</v>
      </c>
      <c r="E244" s="2" t="s">
        <v>384</v>
      </c>
      <c r="F244" s="15" t="n">
        <v>9</v>
      </c>
      <c r="G244" s="15" t="n">
        <v>8</v>
      </c>
      <c r="H244" s="15" t="n">
        <v>8</v>
      </c>
      <c r="I244" s="15" t="n">
        <v>3</v>
      </c>
      <c r="J244" s="15" t="n">
        <v>7</v>
      </c>
      <c r="K244" s="15" t="n">
        <v>8</v>
      </c>
      <c r="L244" s="15" t="n">
        <v>7</v>
      </c>
      <c r="M244" s="4" t="n">
        <f aca="false">ROUND(F244*Rubric!$B$4+G244*Rubric!$B$5+H244*Rubric!$B$6+I244*Rubric!$B$7+J244*Rubric!$B$8+K244*Rubric!$B$9+L244*Rubric!$B$10-IF(OR(H244&lt;Rubric!$B$12,K244&lt;Rubric!$B$12),Rubric!$B$13,0),2)</f>
        <v>7.05</v>
      </c>
      <c r="N244" s="14" t="n">
        <v>1092</v>
      </c>
      <c r="O244" s="2" t="s">
        <v>726</v>
      </c>
    </row>
    <row r="245" customFormat="false" ht="23.85" hidden="false" customHeight="false" outlineLevel="0" collapsed="false">
      <c r="A245" s="2" t="s">
        <v>134</v>
      </c>
      <c r="B245" s="2" t="s">
        <v>135</v>
      </c>
      <c r="C245" s="14" t="n">
        <v>1</v>
      </c>
      <c r="D245" s="14" t="n">
        <v>3</v>
      </c>
      <c r="E245" s="2" t="s">
        <v>465</v>
      </c>
      <c r="F245" s="15" t="n">
        <v>7</v>
      </c>
      <c r="G245" s="15" t="n">
        <v>8</v>
      </c>
      <c r="H245" s="15" t="n">
        <v>8</v>
      </c>
      <c r="I245" s="15" t="n">
        <v>3</v>
      </c>
      <c r="J245" s="15" t="n">
        <v>9</v>
      </c>
      <c r="K245" s="15" t="n">
        <v>7</v>
      </c>
      <c r="L245" s="15" t="n">
        <v>7</v>
      </c>
      <c r="M245" s="4" t="n">
        <f aca="false">ROUND(F245*Rubric!$B$4+G245*Rubric!$B$5+H245*Rubric!$B$6+I245*Rubric!$B$7+J245*Rubric!$B$8+K245*Rubric!$B$9+L245*Rubric!$B$10-IF(OR(H245&lt;Rubric!$B$12,K245&lt;Rubric!$B$12),Rubric!$B$13,0),2)</f>
        <v>7.65</v>
      </c>
      <c r="N245" s="14" t="n">
        <v>1092</v>
      </c>
      <c r="O245" s="2" t="s">
        <v>741</v>
      </c>
    </row>
    <row r="246" customFormat="false" ht="23.85" hidden="false" customHeight="false" outlineLevel="0" collapsed="false">
      <c r="A246" s="2" t="s">
        <v>134</v>
      </c>
      <c r="B246" s="2" t="s">
        <v>135</v>
      </c>
      <c r="C246" s="14" t="n">
        <v>0</v>
      </c>
      <c r="D246" s="14" t="n">
        <v>4</v>
      </c>
      <c r="E246" s="2" t="s">
        <v>382</v>
      </c>
      <c r="F246" s="15" t="n">
        <v>9</v>
      </c>
      <c r="G246" s="15" t="n">
        <v>8</v>
      </c>
      <c r="H246" s="15" t="n">
        <v>8</v>
      </c>
      <c r="I246" s="15" t="n">
        <v>4</v>
      </c>
      <c r="J246" s="15" t="n">
        <v>9</v>
      </c>
      <c r="K246" s="15" t="n">
        <v>8</v>
      </c>
      <c r="L246" s="15" t="n">
        <v>7</v>
      </c>
      <c r="M246" s="4" t="n">
        <f aca="false">ROUND(F246*Rubric!$B$4+G246*Rubric!$B$5+H246*Rubric!$B$6+I246*Rubric!$B$7+J246*Rubric!$B$8+K246*Rubric!$B$9+L246*Rubric!$B$10-IF(OR(H246&lt;Rubric!$B$12,K246&lt;Rubric!$B$12),Rubric!$B$13,0),2)</f>
        <v>7.95</v>
      </c>
      <c r="N246" s="14" t="n">
        <v>1093</v>
      </c>
      <c r="O246" s="2" t="s">
        <v>726</v>
      </c>
    </row>
    <row r="247" customFormat="false" ht="23.85" hidden="false" customHeight="false" outlineLevel="0" collapsed="false">
      <c r="A247" s="2" t="s">
        <v>134</v>
      </c>
      <c r="B247" s="2" t="s">
        <v>135</v>
      </c>
      <c r="C247" s="14" t="n">
        <v>1</v>
      </c>
      <c r="D247" s="14" t="n">
        <v>4</v>
      </c>
      <c r="E247" s="2" t="s">
        <v>742</v>
      </c>
      <c r="F247" s="15" t="n">
        <v>9</v>
      </c>
      <c r="G247" s="15" t="n">
        <v>8</v>
      </c>
      <c r="H247" s="15" t="n">
        <v>8</v>
      </c>
      <c r="I247" s="15" t="n">
        <v>3</v>
      </c>
      <c r="J247" s="15" t="n">
        <v>8</v>
      </c>
      <c r="K247" s="15" t="n">
        <v>8</v>
      </c>
      <c r="L247" s="15" t="n">
        <v>7</v>
      </c>
      <c r="M247" s="4" t="n">
        <f aca="false">ROUND(F247*Rubric!$B$4+G247*Rubric!$B$5+H247*Rubric!$B$6+I247*Rubric!$B$7+J247*Rubric!$B$8+K247*Rubric!$B$9+L247*Rubric!$B$10-IF(OR(H247&lt;Rubric!$B$12,K247&lt;Rubric!$B$12),Rubric!$B$13,0),2)</f>
        <v>7.45</v>
      </c>
      <c r="N247" s="14" t="n">
        <v>1093</v>
      </c>
      <c r="O247" s="2" t="s">
        <v>741</v>
      </c>
    </row>
    <row r="248" customFormat="false" ht="23.85" hidden="false" customHeight="false" outlineLevel="0" collapsed="false">
      <c r="A248" s="2" t="s">
        <v>134</v>
      </c>
      <c r="B248" s="2" t="s">
        <v>135</v>
      </c>
      <c r="C248" s="14" t="n">
        <v>3</v>
      </c>
      <c r="D248" s="14" t="n">
        <v>4</v>
      </c>
      <c r="E248" s="2" t="s">
        <v>466</v>
      </c>
      <c r="F248" s="15" t="n">
        <v>8</v>
      </c>
      <c r="G248" s="15" t="n">
        <v>8</v>
      </c>
      <c r="H248" s="15" t="n">
        <v>8</v>
      </c>
      <c r="I248" s="15" t="n">
        <v>3</v>
      </c>
      <c r="J248" s="15" t="n">
        <v>9</v>
      </c>
      <c r="K248" s="15" t="n">
        <v>8</v>
      </c>
      <c r="L248" s="15" t="n">
        <v>7</v>
      </c>
      <c r="M248" s="4" t="n">
        <f aca="false">ROUND(F248*Rubric!$B$4+G248*Rubric!$B$5+H248*Rubric!$B$6+I248*Rubric!$B$7+J248*Rubric!$B$8+K248*Rubric!$B$9+L248*Rubric!$B$10-IF(OR(H248&lt;Rubric!$B$12,K248&lt;Rubric!$B$12),Rubric!$B$13,0),2)</f>
        <v>7.8</v>
      </c>
      <c r="N248" s="14" t="n">
        <v>1093</v>
      </c>
      <c r="O248" s="2" t="s">
        <v>743</v>
      </c>
    </row>
    <row r="249" customFormat="false" ht="23.85" hidden="false" customHeight="false" outlineLevel="0" collapsed="false">
      <c r="A249" s="2" t="s">
        <v>134</v>
      </c>
      <c r="B249" s="2" t="s">
        <v>135</v>
      </c>
      <c r="C249" s="14" t="n">
        <v>0</v>
      </c>
      <c r="D249" s="14" t="n">
        <v>5</v>
      </c>
      <c r="E249" s="2" t="s">
        <v>366</v>
      </c>
      <c r="F249" s="15" t="n">
        <v>8</v>
      </c>
      <c r="G249" s="15" t="n">
        <v>8</v>
      </c>
      <c r="H249" s="15" t="n">
        <v>7</v>
      </c>
      <c r="I249" s="15" t="n">
        <v>9</v>
      </c>
      <c r="J249" s="15" t="n">
        <v>5</v>
      </c>
      <c r="K249" s="15" t="n">
        <v>8</v>
      </c>
      <c r="L249" s="15" t="n">
        <v>9</v>
      </c>
      <c r="M249" s="4" t="n">
        <f aca="false">ROUND(F249*Rubric!$B$4+G249*Rubric!$B$5+H249*Rubric!$B$6+I249*Rubric!$B$7+J249*Rubric!$B$8+K249*Rubric!$B$9+L249*Rubric!$B$10-IF(OR(H249&lt;Rubric!$B$12,K249&lt;Rubric!$B$12),Rubric!$B$13,0),2)</f>
        <v>6.9</v>
      </c>
      <c r="N249" s="14" t="n">
        <v>1094</v>
      </c>
      <c r="O249" s="2" t="s">
        <v>726</v>
      </c>
    </row>
    <row r="250" customFormat="false" ht="23.85" hidden="false" customHeight="false" outlineLevel="0" collapsed="false">
      <c r="A250" s="2" t="s">
        <v>134</v>
      </c>
      <c r="B250" s="2" t="s">
        <v>135</v>
      </c>
      <c r="C250" s="14" t="n">
        <v>1</v>
      </c>
      <c r="D250" s="14" t="n">
        <v>5</v>
      </c>
      <c r="E250" s="2" t="s">
        <v>467</v>
      </c>
      <c r="F250" s="15" t="n">
        <v>8</v>
      </c>
      <c r="G250" s="15" t="n">
        <v>8</v>
      </c>
      <c r="H250" s="15" t="n">
        <v>8</v>
      </c>
      <c r="I250" s="15" t="n">
        <v>3</v>
      </c>
      <c r="J250" s="15" t="n">
        <v>9</v>
      </c>
      <c r="K250" s="15" t="n">
        <v>8</v>
      </c>
      <c r="L250" s="15" t="n">
        <v>7</v>
      </c>
      <c r="M250" s="4" t="n">
        <f aca="false">ROUND(F250*Rubric!$B$4+G250*Rubric!$B$5+H250*Rubric!$B$6+I250*Rubric!$B$7+J250*Rubric!$B$8+K250*Rubric!$B$9+L250*Rubric!$B$10-IF(OR(H250&lt;Rubric!$B$12,K250&lt;Rubric!$B$12),Rubric!$B$13,0),2)</f>
        <v>7.8</v>
      </c>
      <c r="N250" s="14" t="n">
        <v>1094</v>
      </c>
      <c r="O250" s="2" t="s">
        <v>741</v>
      </c>
    </row>
    <row r="251" customFormat="false" ht="23.85" hidden="false" customHeight="false" outlineLevel="0" collapsed="false">
      <c r="A251" s="2" t="s">
        <v>140</v>
      </c>
      <c r="B251" s="2" t="s">
        <v>141</v>
      </c>
      <c r="C251" s="14" t="n">
        <v>0</v>
      </c>
      <c r="D251" s="14" t="n">
        <v>1</v>
      </c>
      <c r="E251" s="2" t="s">
        <v>372</v>
      </c>
      <c r="F251" s="15" t="n">
        <v>8</v>
      </c>
      <c r="G251" s="15" t="n">
        <v>8</v>
      </c>
      <c r="H251" s="15" t="n">
        <v>8</v>
      </c>
      <c r="I251" s="15" t="n">
        <v>3</v>
      </c>
      <c r="J251" s="15" t="n">
        <v>7</v>
      </c>
      <c r="K251" s="15" t="n">
        <v>8</v>
      </c>
      <c r="L251" s="15" t="n">
        <v>7</v>
      </c>
      <c r="M251" s="4" t="n">
        <f aca="false">ROUND(F251*Rubric!$B$4+G251*Rubric!$B$5+H251*Rubric!$B$6+I251*Rubric!$B$7+J251*Rubric!$B$8+K251*Rubric!$B$9+L251*Rubric!$B$10-IF(OR(H251&lt;Rubric!$B$12,K251&lt;Rubric!$B$12),Rubric!$B$13,0),2)</f>
        <v>7</v>
      </c>
      <c r="N251" s="14" t="n">
        <v>1100</v>
      </c>
      <c r="O251" s="2" t="s">
        <v>726</v>
      </c>
    </row>
    <row r="252" customFormat="false" ht="23.85" hidden="false" customHeight="false" outlineLevel="0" collapsed="false">
      <c r="A252" s="2" t="s">
        <v>140</v>
      </c>
      <c r="B252" s="2" t="s">
        <v>141</v>
      </c>
      <c r="C252" s="14" t="n">
        <v>1</v>
      </c>
      <c r="D252" s="14" t="n">
        <v>1</v>
      </c>
      <c r="E252" s="2" t="s">
        <v>468</v>
      </c>
      <c r="F252" s="15" t="n">
        <v>8</v>
      </c>
      <c r="G252" s="15" t="n">
        <v>8</v>
      </c>
      <c r="H252" s="15" t="n">
        <v>8</v>
      </c>
      <c r="I252" s="15" t="n">
        <v>3</v>
      </c>
      <c r="J252" s="15" t="n">
        <v>10</v>
      </c>
      <c r="K252" s="15" t="n">
        <v>8</v>
      </c>
      <c r="L252" s="15" t="n">
        <v>6</v>
      </c>
      <c r="M252" s="4" t="n">
        <f aca="false">ROUND(F252*Rubric!$B$4+G252*Rubric!$B$5+H252*Rubric!$B$6+I252*Rubric!$B$7+J252*Rubric!$B$8+K252*Rubric!$B$9+L252*Rubric!$B$10-IF(OR(H252&lt;Rubric!$B$12,K252&lt;Rubric!$B$12),Rubric!$B$13,0),2)</f>
        <v>8.1</v>
      </c>
      <c r="N252" s="14" t="n">
        <v>1100</v>
      </c>
      <c r="O252" s="2" t="s">
        <v>744</v>
      </c>
    </row>
    <row r="253" customFormat="false" ht="23.85" hidden="false" customHeight="false" outlineLevel="0" collapsed="false">
      <c r="A253" s="2" t="s">
        <v>140</v>
      </c>
      <c r="B253" s="2" t="s">
        <v>141</v>
      </c>
      <c r="C253" s="14" t="n">
        <v>0</v>
      </c>
      <c r="D253" s="14" t="n">
        <v>2</v>
      </c>
      <c r="E253" s="2" t="s">
        <v>374</v>
      </c>
      <c r="F253" s="15" t="n">
        <v>9</v>
      </c>
      <c r="G253" s="15" t="n">
        <v>9</v>
      </c>
      <c r="H253" s="15" t="n">
        <v>8</v>
      </c>
      <c r="I253" s="15" t="n">
        <v>3</v>
      </c>
      <c r="J253" s="15" t="n">
        <v>7</v>
      </c>
      <c r="K253" s="15" t="n">
        <v>9</v>
      </c>
      <c r="L253" s="15" t="n">
        <v>8</v>
      </c>
      <c r="M253" s="4" t="n">
        <f aca="false">ROUND(F253*Rubric!$B$4+G253*Rubric!$B$5+H253*Rubric!$B$6+I253*Rubric!$B$7+J253*Rubric!$B$8+K253*Rubric!$B$9+L253*Rubric!$B$10-IF(OR(H253&lt;Rubric!$B$12,K253&lt;Rubric!$B$12),Rubric!$B$13,0),2)</f>
        <v>7.4</v>
      </c>
      <c r="N253" s="14" t="n">
        <v>1101</v>
      </c>
      <c r="O253" s="2" t="s">
        <v>726</v>
      </c>
    </row>
    <row r="254" customFormat="false" ht="23.85" hidden="false" customHeight="false" outlineLevel="0" collapsed="false">
      <c r="A254" s="2" t="s">
        <v>140</v>
      </c>
      <c r="B254" s="2" t="s">
        <v>141</v>
      </c>
      <c r="C254" s="14" t="n">
        <v>1</v>
      </c>
      <c r="D254" s="14" t="n">
        <v>2</v>
      </c>
      <c r="E254" s="2" t="s">
        <v>469</v>
      </c>
      <c r="F254" s="15" t="n">
        <v>7</v>
      </c>
      <c r="G254" s="15" t="n">
        <v>8</v>
      </c>
      <c r="H254" s="15" t="n">
        <v>8</v>
      </c>
      <c r="I254" s="15" t="n">
        <v>3</v>
      </c>
      <c r="J254" s="15" t="n">
        <v>9</v>
      </c>
      <c r="K254" s="15" t="n">
        <v>8</v>
      </c>
      <c r="L254" s="15" t="n">
        <v>8</v>
      </c>
      <c r="M254" s="4" t="n">
        <f aca="false">ROUND(F254*Rubric!$B$4+G254*Rubric!$B$5+H254*Rubric!$B$6+I254*Rubric!$B$7+J254*Rubric!$B$8+K254*Rubric!$B$9+L254*Rubric!$B$10-IF(OR(H254&lt;Rubric!$B$12,K254&lt;Rubric!$B$12),Rubric!$B$13,0),2)</f>
        <v>7.85</v>
      </c>
      <c r="N254" s="14" t="n">
        <v>1101</v>
      </c>
      <c r="O254" s="2" t="s">
        <v>744</v>
      </c>
    </row>
    <row r="255" customFormat="false" ht="23.85" hidden="false" customHeight="false" outlineLevel="0" collapsed="false">
      <c r="A255" s="2" t="s">
        <v>140</v>
      </c>
      <c r="B255" s="2" t="s">
        <v>141</v>
      </c>
      <c r="C255" s="14" t="n">
        <v>0</v>
      </c>
      <c r="D255" s="14" t="n">
        <v>3</v>
      </c>
      <c r="E255" s="2" t="s">
        <v>373</v>
      </c>
      <c r="F255" s="15" t="n">
        <v>8</v>
      </c>
      <c r="G255" s="15" t="n">
        <v>9</v>
      </c>
      <c r="H255" s="15" t="n">
        <v>7</v>
      </c>
      <c r="I255" s="15" t="n">
        <v>3</v>
      </c>
      <c r="J255" s="15" t="n">
        <v>6</v>
      </c>
      <c r="K255" s="15" t="n">
        <v>8</v>
      </c>
      <c r="L255" s="15" t="n">
        <v>8</v>
      </c>
      <c r="M255" s="4" t="n">
        <f aca="false">ROUND(F255*Rubric!$B$4+G255*Rubric!$B$5+H255*Rubric!$B$6+I255*Rubric!$B$7+J255*Rubric!$B$8+K255*Rubric!$B$9+L255*Rubric!$B$10-IF(OR(H255&lt;Rubric!$B$12,K255&lt;Rubric!$B$12),Rubric!$B$13,0),2)</f>
        <v>6.75</v>
      </c>
      <c r="N255" s="14" t="n">
        <v>1102</v>
      </c>
      <c r="O255" s="2" t="s">
        <v>726</v>
      </c>
    </row>
    <row r="256" customFormat="false" ht="23.85" hidden="false" customHeight="false" outlineLevel="0" collapsed="false">
      <c r="A256" s="2" t="s">
        <v>140</v>
      </c>
      <c r="B256" s="2" t="s">
        <v>141</v>
      </c>
      <c r="C256" s="14" t="n">
        <v>1</v>
      </c>
      <c r="D256" s="14" t="n">
        <v>3</v>
      </c>
      <c r="E256" s="2" t="s">
        <v>470</v>
      </c>
      <c r="F256" s="15" t="n">
        <v>8</v>
      </c>
      <c r="G256" s="15" t="n">
        <v>8</v>
      </c>
      <c r="H256" s="15" t="n">
        <v>8</v>
      </c>
      <c r="I256" s="15" t="n">
        <v>3</v>
      </c>
      <c r="J256" s="15" t="n">
        <v>9</v>
      </c>
      <c r="K256" s="15" t="n">
        <v>8</v>
      </c>
      <c r="L256" s="15" t="n">
        <v>7</v>
      </c>
      <c r="M256" s="4" t="n">
        <f aca="false">ROUND(F256*Rubric!$B$4+G256*Rubric!$B$5+H256*Rubric!$B$6+I256*Rubric!$B$7+J256*Rubric!$B$8+K256*Rubric!$B$9+L256*Rubric!$B$10-IF(OR(H256&lt;Rubric!$B$12,K256&lt;Rubric!$B$12),Rubric!$B$13,0),2)</f>
        <v>7.8</v>
      </c>
      <c r="N256" s="14" t="n">
        <v>1102</v>
      </c>
      <c r="O256" s="2" t="s">
        <v>744</v>
      </c>
    </row>
    <row r="257" customFormat="false" ht="23.85" hidden="false" customHeight="false" outlineLevel="0" collapsed="false">
      <c r="A257" s="2" t="s">
        <v>140</v>
      </c>
      <c r="B257" s="2" t="s">
        <v>141</v>
      </c>
      <c r="C257" s="14" t="n">
        <v>0</v>
      </c>
      <c r="D257" s="14" t="n">
        <v>4</v>
      </c>
      <c r="E257" s="2" t="s">
        <v>377</v>
      </c>
      <c r="F257" s="15" t="n">
        <v>9</v>
      </c>
      <c r="G257" s="15" t="n">
        <v>8</v>
      </c>
      <c r="H257" s="15" t="n">
        <v>8</v>
      </c>
      <c r="I257" s="15" t="n">
        <v>3</v>
      </c>
      <c r="J257" s="15" t="n">
        <v>6</v>
      </c>
      <c r="K257" s="15" t="n">
        <v>8</v>
      </c>
      <c r="L257" s="15" t="n">
        <v>7</v>
      </c>
      <c r="M257" s="4" t="n">
        <f aca="false">ROUND(F257*Rubric!$B$4+G257*Rubric!$B$5+H257*Rubric!$B$6+I257*Rubric!$B$7+J257*Rubric!$B$8+K257*Rubric!$B$9+L257*Rubric!$B$10-IF(OR(H257&lt;Rubric!$B$12,K257&lt;Rubric!$B$12),Rubric!$B$13,0),2)</f>
        <v>6.65</v>
      </c>
      <c r="N257" s="14" t="n">
        <v>1103</v>
      </c>
      <c r="O257" s="2" t="s">
        <v>726</v>
      </c>
    </row>
    <row r="258" customFormat="false" ht="23.85" hidden="false" customHeight="false" outlineLevel="0" collapsed="false">
      <c r="A258" s="2" t="s">
        <v>140</v>
      </c>
      <c r="B258" s="2" t="s">
        <v>141</v>
      </c>
      <c r="C258" s="14" t="n">
        <v>1</v>
      </c>
      <c r="D258" s="14" t="n">
        <v>4</v>
      </c>
      <c r="E258" s="2" t="s">
        <v>471</v>
      </c>
      <c r="F258" s="15" t="n">
        <v>7</v>
      </c>
      <c r="G258" s="15" t="n">
        <v>8</v>
      </c>
      <c r="H258" s="15" t="n">
        <v>8</v>
      </c>
      <c r="I258" s="15" t="n">
        <v>4</v>
      </c>
      <c r="J258" s="15" t="n">
        <v>9</v>
      </c>
      <c r="K258" s="15" t="n">
        <v>8</v>
      </c>
      <c r="L258" s="15" t="n">
        <v>7</v>
      </c>
      <c r="M258" s="4" t="n">
        <f aca="false">ROUND(F258*Rubric!$B$4+G258*Rubric!$B$5+H258*Rubric!$B$6+I258*Rubric!$B$7+J258*Rubric!$B$8+K258*Rubric!$B$9+L258*Rubric!$B$10-IF(OR(H258&lt;Rubric!$B$12,K258&lt;Rubric!$B$12),Rubric!$B$13,0),2)</f>
        <v>7.85</v>
      </c>
      <c r="N258" s="14" t="n">
        <v>1103</v>
      </c>
      <c r="O258" s="2" t="s">
        <v>744</v>
      </c>
    </row>
    <row r="259" customFormat="false" ht="23.85" hidden="false" customHeight="false" outlineLevel="0" collapsed="false">
      <c r="A259" s="2" t="s">
        <v>140</v>
      </c>
      <c r="B259" s="2" t="s">
        <v>141</v>
      </c>
      <c r="C259" s="14" t="n">
        <v>0</v>
      </c>
      <c r="D259" s="14" t="n">
        <v>5</v>
      </c>
      <c r="E259" s="2" t="s">
        <v>376</v>
      </c>
      <c r="F259" s="15" t="n">
        <v>8</v>
      </c>
      <c r="G259" s="15" t="n">
        <v>8</v>
      </c>
      <c r="H259" s="15" t="n">
        <v>7</v>
      </c>
      <c r="I259" s="15" t="n">
        <v>9</v>
      </c>
      <c r="J259" s="15" t="n">
        <v>6</v>
      </c>
      <c r="K259" s="15" t="n">
        <v>8</v>
      </c>
      <c r="L259" s="15" t="n">
        <v>9</v>
      </c>
      <c r="M259" s="4" t="n">
        <f aca="false">ROUND(F259*Rubric!$B$4+G259*Rubric!$B$5+H259*Rubric!$B$6+I259*Rubric!$B$7+J259*Rubric!$B$8+K259*Rubric!$B$9+L259*Rubric!$B$10-IF(OR(H259&lt;Rubric!$B$12,K259&lt;Rubric!$B$12),Rubric!$B$13,0),2)</f>
        <v>7.3</v>
      </c>
      <c r="N259" s="14" t="n">
        <v>1104</v>
      </c>
      <c r="O259" s="2" t="s">
        <v>726</v>
      </c>
    </row>
    <row r="260" customFormat="false" ht="23.85" hidden="false" customHeight="false" outlineLevel="0" collapsed="false">
      <c r="A260" s="2" t="s">
        <v>140</v>
      </c>
      <c r="B260" s="2" t="s">
        <v>141</v>
      </c>
      <c r="C260" s="14" t="n">
        <v>1</v>
      </c>
      <c r="D260" s="14" t="n">
        <v>5</v>
      </c>
      <c r="E260" s="2" t="s">
        <v>745</v>
      </c>
      <c r="F260" s="15" t="n">
        <v>7</v>
      </c>
      <c r="G260" s="15" t="n">
        <v>8</v>
      </c>
      <c r="H260" s="15" t="n">
        <v>7</v>
      </c>
      <c r="I260" s="15" t="n">
        <v>4</v>
      </c>
      <c r="J260" s="15" t="n">
        <v>8</v>
      </c>
      <c r="K260" s="15" t="n">
        <v>7</v>
      </c>
      <c r="L260" s="15" t="n">
        <v>7</v>
      </c>
      <c r="M260" s="4" t="n">
        <f aca="false">ROUND(F260*Rubric!$B$4+G260*Rubric!$B$5+H260*Rubric!$B$6+I260*Rubric!$B$7+J260*Rubric!$B$8+K260*Rubric!$B$9+L260*Rubric!$B$10-IF(OR(H260&lt;Rubric!$B$12,K260&lt;Rubric!$B$12),Rubric!$B$13,0),2)</f>
        <v>7.25</v>
      </c>
      <c r="N260" s="14" t="n">
        <v>1104</v>
      </c>
      <c r="O260" s="2" t="s">
        <v>744</v>
      </c>
    </row>
    <row r="261" customFormat="false" ht="23.85" hidden="false" customHeight="false" outlineLevel="0" collapsed="false">
      <c r="A261" s="2" t="s">
        <v>140</v>
      </c>
      <c r="B261" s="2" t="s">
        <v>141</v>
      </c>
      <c r="C261" s="14" t="n">
        <v>3</v>
      </c>
      <c r="D261" s="14" t="n">
        <v>5</v>
      </c>
      <c r="E261" s="2" t="s">
        <v>472</v>
      </c>
      <c r="F261" s="15" t="n">
        <v>8</v>
      </c>
      <c r="G261" s="15" t="n">
        <v>8</v>
      </c>
      <c r="H261" s="15" t="n">
        <v>8</v>
      </c>
      <c r="I261" s="15" t="n">
        <v>3</v>
      </c>
      <c r="J261" s="15" t="n">
        <v>9</v>
      </c>
      <c r="K261" s="15" t="n">
        <v>8</v>
      </c>
      <c r="L261" s="15" t="n">
        <v>7</v>
      </c>
      <c r="M261" s="4" t="n">
        <f aca="false">ROUND(F261*Rubric!$B$4+G261*Rubric!$B$5+H261*Rubric!$B$6+I261*Rubric!$B$7+J261*Rubric!$B$8+K261*Rubric!$B$9+L261*Rubric!$B$10-IF(OR(H261&lt;Rubric!$B$12,K261&lt;Rubric!$B$12),Rubric!$B$13,0),2)</f>
        <v>7.8</v>
      </c>
      <c r="N261" s="14" t="n">
        <v>1104</v>
      </c>
      <c r="O261" s="2" t="s">
        <v>746</v>
      </c>
    </row>
    <row r="262" customFormat="false" ht="23.85" hidden="false" customHeight="false" outlineLevel="0" collapsed="false">
      <c r="A262" s="2" t="s">
        <v>146</v>
      </c>
      <c r="B262" s="2" t="s">
        <v>147</v>
      </c>
      <c r="C262" s="14" t="n">
        <v>0</v>
      </c>
      <c r="D262" s="14" t="n">
        <v>1</v>
      </c>
      <c r="E262" s="2" t="s">
        <v>412</v>
      </c>
      <c r="F262" s="15" t="n">
        <v>9</v>
      </c>
      <c r="G262" s="15" t="n">
        <v>8</v>
      </c>
      <c r="H262" s="15" t="n">
        <v>8</v>
      </c>
      <c r="I262" s="15" t="n">
        <v>3</v>
      </c>
      <c r="J262" s="15" t="n">
        <v>5</v>
      </c>
      <c r="K262" s="15" t="n">
        <v>8</v>
      </c>
      <c r="L262" s="15" t="n">
        <v>7</v>
      </c>
      <c r="M262" s="4" t="n">
        <f aca="false">ROUND(F262*Rubric!$B$4+G262*Rubric!$B$5+H262*Rubric!$B$6+I262*Rubric!$B$7+J262*Rubric!$B$8+K262*Rubric!$B$9+L262*Rubric!$B$10-IF(OR(H262&lt;Rubric!$B$12,K262&lt;Rubric!$B$12),Rubric!$B$13,0),2)</f>
        <v>6.25</v>
      </c>
      <c r="N262" s="14" t="n">
        <v>1110</v>
      </c>
      <c r="O262" s="2" t="s">
        <v>726</v>
      </c>
    </row>
    <row r="263" customFormat="false" ht="23.85" hidden="false" customHeight="false" outlineLevel="0" collapsed="false">
      <c r="A263" s="2" t="s">
        <v>146</v>
      </c>
      <c r="B263" s="2" t="s">
        <v>147</v>
      </c>
      <c r="C263" s="14" t="n">
        <v>1</v>
      </c>
      <c r="D263" s="14" t="n">
        <v>1</v>
      </c>
      <c r="E263" s="2" t="s">
        <v>747</v>
      </c>
      <c r="F263" s="15" t="n">
        <v>7</v>
      </c>
      <c r="G263" s="15" t="n">
        <v>8</v>
      </c>
      <c r="H263" s="15" t="n">
        <v>8</v>
      </c>
      <c r="I263" s="15" t="n">
        <v>3</v>
      </c>
      <c r="J263" s="15" t="n">
        <v>8</v>
      </c>
      <c r="K263" s="15" t="n">
        <v>8</v>
      </c>
      <c r="L263" s="15" t="n">
        <v>7</v>
      </c>
      <c r="M263" s="4" t="n">
        <f aca="false">ROUND(F263*Rubric!$B$4+G263*Rubric!$B$5+H263*Rubric!$B$6+I263*Rubric!$B$7+J263*Rubric!$B$8+K263*Rubric!$B$9+L263*Rubric!$B$10-IF(OR(H263&lt;Rubric!$B$12,K263&lt;Rubric!$B$12),Rubric!$B$13,0),2)</f>
        <v>7.35</v>
      </c>
      <c r="N263" s="14" t="n">
        <v>1110</v>
      </c>
      <c r="O263" s="2" t="s">
        <v>748</v>
      </c>
    </row>
    <row r="264" customFormat="false" ht="23.85" hidden="false" customHeight="false" outlineLevel="0" collapsed="false">
      <c r="A264" s="2" t="s">
        <v>146</v>
      </c>
      <c r="B264" s="2" t="s">
        <v>147</v>
      </c>
      <c r="C264" s="14" t="n">
        <v>2</v>
      </c>
      <c r="D264" s="14" t="n">
        <v>1</v>
      </c>
      <c r="E264" s="2" t="s">
        <v>473</v>
      </c>
      <c r="F264" s="15" t="n">
        <v>8</v>
      </c>
      <c r="G264" s="15" t="n">
        <v>8</v>
      </c>
      <c r="H264" s="15" t="n">
        <v>8</v>
      </c>
      <c r="I264" s="15" t="n">
        <v>3</v>
      </c>
      <c r="J264" s="15" t="n">
        <v>8</v>
      </c>
      <c r="K264" s="15" t="n">
        <v>8</v>
      </c>
      <c r="L264" s="15" t="n">
        <v>7</v>
      </c>
      <c r="M264" s="4" t="n">
        <f aca="false">ROUND(F264*Rubric!$B$4+G264*Rubric!$B$5+H264*Rubric!$B$6+I264*Rubric!$B$7+J264*Rubric!$B$8+K264*Rubric!$B$9+L264*Rubric!$B$10-IF(OR(H264&lt;Rubric!$B$12,K264&lt;Rubric!$B$12),Rubric!$B$13,0),2)</f>
        <v>7.4</v>
      </c>
      <c r="N264" s="14" t="n">
        <v>1110</v>
      </c>
      <c r="O264" s="2" t="s">
        <v>694</v>
      </c>
    </row>
    <row r="265" customFormat="false" ht="15" hidden="false" customHeight="false" outlineLevel="0" collapsed="false">
      <c r="A265" s="2" t="s">
        <v>146</v>
      </c>
      <c r="B265" s="2" t="s">
        <v>147</v>
      </c>
      <c r="C265" s="14" t="n">
        <v>0</v>
      </c>
      <c r="D265" s="14" t="n">
        <v>2</v>
      </c>
      <c r="E265" s="2" t="s">
        <v>413</v>
      </c>
      <c r="F265" s="15" t="n">
        <v>9</v>
      </c>
      <c r="G265" s="15" t="n">
        <v>9</v>
      </c>
      <c r="H265" s="15" t="n">
        <v>8</v>
      </c>
      <c r="I265" s="15" t="n">
        <v>3</v>
      </c>
      <c r="J265" s="15" t="n">
        <v>5</v>
      </c>
      <c r="K265" s="15" t="n">
        <v>9</v>
      </c>
      <c r="L265" s="15" t="n">
        <v>8</v>
      </c>
      <c r="M265" s="4" t="n">
        <f aca="false">ROUND(F265*Rubric!$B$4+G265*Rubric!$B$5+H265*Rubric!$B$6+I265*Rubric!$B$7+J265*Rubric!$B$8+K265*Rubric!$B$9+L265*Rubric!$B$10-IF(OR(H265&lt;Rubric!$B$12,K265&lt;Rubric!$B$12),Rubric!$B$13,0),2)</f>
        <v>6.6</v>
      </c>
      <c r="N265" s="14" t="n">
        <v>1111</v>
      </c>
      <c r="O265" s="2" t="s">
        <v>726</v>
      </c>
    </row>
    <row r="266" customFormat="false" ht="23.85" hidden="false" customHeight="false" outlineLevel="0" collapsed="false">
      <c r="A266" s="2" t="s">
        <v>146</v>
      </c>
      <c r="B266" s="2" t="s">
        <v>147</v>
      </c>
      <c r="C266" s="14" t="n">
        <v>1</v>
      </c>
      <c r="D266" s="14" t="n">
        <v>2</v>
      </c>
      <c r="E266" s="2" t="s">
        <v>474</v>
      </c>
      <c r="F266" s="15" t="n">
        <v>9</v>
      </c>
      <c r="G266" s="15" t="n">
        <v>9</v>
      </c>
      <c r="H266" s="15" t="n">
        <v>8</v>
      </c>
      <c r="I266" s="15" t="n">
        <v>3</v>
      </c>
      <c r="J266" s="15" t="n">
        <v>8</v>
      </c>
      <c r="K266" s="15" t="n">
        <v>9</v>
      </c>
      <c r="L266" s="15" t="n">
        <v>8</v>
      </c>
      <c r="M266" s="4" t="n">
        <f aca="false">ROUND(F266*Rubric!$B$4+G266*Rubric!$B$5+H266*Rubric!$B$6+I266*Rubric!$B$7+J266*Rubric!$B$8+K266*Rubric!$B$9+L266*Rubric!$B$10-IF(OR(H266&lt;Rubric!$B$12,K266&lt;Rubric!$B$12),Rubric!$B$13,0),2)</f>
        <v>7.8</v>
      </c>
      <c r="N266" s="14" t="n">
        <v>1111</v>
      </c>
      <c r="O266" s="2" t="s">
        <v>748</v>
      </c>
    </row>
    <row r="267" customFormat="false" ht="23.85" hidden="false" customHeight="false" outlineLevel="0" collapsed="false">
      <c r="A267" s="2" t="s">
        <v>146</v>
      </c>
      <c r="B267" s="2" t="s">
        <v>147</v>
      </c>
      <c r="C267" s="14" t="n">
        <v>0</v>
      </c>
      <c r="D267" s="14" t="n">
        <v>3</v>
      </c>
      <c r="E267" s="2" t="s">
        <v>402</v>
      </c>
      <c r="F267" s="15" t="n">
        <v>9</v>
      </c>
      <c r="G267" s="15" t="n">
        <v>9</v>
      </c>
      <c r="H267" s="15" t="n">
        <v>7</v>
      </c>
      <c r="I267" s="15" t="n">
        <v>4</v>
      </c>
      <c r="J267" s="15" t="n">
        <v>5</v>
      </c>
      <c r="K267" s="15" t="n">
        <v>7</v>
      </c>
      <c r="L267" s="15" t="n">
        <v>8</v>
      </c>
      <c r="M267" s="4" t="n">
        <f aca="false">ROUND(F267*Rubric!$B$4+G267*Rubric!$B$5+H267*Rubric!$B$6+I267*Rubric!$B$7+J267*Rubric!$B$8+K267*Rubric!$B$9+L267*Rubric!$B$10-IF(OR(H267&lt;Rubric!$B$12,K267&lt;Rubric!$B$12),Rubric!$B$13,0),2)</f>
        <v>6.4</v>
      </c>
      <c r="N267" s="14" t="n">
        <v>1112</v>
      </c>
      <c r="O267" s="2" t="s">
        <v>726</v>
      </c>
    </row>
    <row r="268" customFormat="false" ht="23.85" hidden="false" customHeight="false" outlineLevel="0" collapsed="false">
      <c r="A268" s="2" t="s">
        <v>146</v>
      </c>
      <c r="B268" s="2" t="s">
        <v>147</v>
      </c>
      <c r="C268" s="14" t="n">
        <v>1</v>
      </c>
      <c r="D268" s="14" t="n">
        <v>3</v>
      </c>
      <c r="E268" s="2" t="s">
        <v>475</v>
      </c>
      <c r="F268" s="15" t="n">
        <v>7</v>
      </c>
      <c r="G268" s="15" t="n">
        <v>9</v>
      </c>
      <c r="H268" s="15" t="n">
        <v>7</v>
      </c>
      <c r="I268" s="15" t="n">
        <v>4</v>
      </c>
      <c r="J268" s="15" t="n">
        <v>9</v>
      </c>
      <c r="K268" s="15" t="n">
        <v>7</v>
      </c>
      <c r="L268" s="15" t="n">
        <v>8</v>
      </c>
      <c r="M268" s="4" t="n">
        <f aca="false">ROUND(F268*Rubric!$B$4+G268*Rubric!$B$5+H268*Rubric!$B$6+I268*Rubric!$B$7+J268*Rubric!$B$8+K268*Rubric!$B$9+L268*Rubric!$B$10-IF(OR(H268&lt;Rubric!$B$12,K268&lt;Rubric!$B$12),Rubric!$B$13,0),2)</f>
        <v>7.9</v>
      </c>
      <c r="N268" s="14" t="n">
        <v>1112</v>
      </c>
      <c r="O268" s="2" t="s">
        <v>748</v>
      </c>
    </row>
    <row r="269" customFormat="false" ht="23.85" hidden="false" customHeight="false" outlineLevel="0" collapsed="false">
      <c r="A269" s="2" t="s">
        <v>146</v>
      </c>
      <c r="B269" s="2" t="s">
        <v>147</v>
      </c>
      <c r="C269" s="14" t="n">
        <v>0</v>
      </c>
      <c r="D269" s="14" t="n">
        <v>4</v>
      </c>
      <c r="E269" s="2" t="s">
        <v>379</v>
      </c>
      <c r="F269" s="15" t="n">
        <v>9</v>
      </c>
      <c r="G269" s="15" t="n">
        <v>8</v>
      </c>
      <c r="H269" s="15" t="n">
        <v>7</v>
      </c>
      <c r="I269" s="15" t="n">
        <v>4</v>
      </c>
      <c r="J269" s="15" t="n">
        <v>5</v>
      </c>
      <c r="K269" s="15" t="n">
        <v>7</v>
      </c>
      <c r="L269" s="15" t="n">
        <v>7</v>
      </c>
      <c r="M269" s="4" t="n">
        <f aca="false">ROUND(F269*Rubric!$B$4+G269*Rubric!$B$5+H269*Rubric!$B$6+I269*Rubric!$B$7+J269*Rubric!$B$8+K269*Rubric!$B$9+L269*Rubric!$B$10-IF(OR(H269&lt;Rubric!$B$12,K269&lt;Rubric!$B$12),Rubric!$B$13,0),2)</f>
        <v>6.15</v>
      </c>
      <c r="N269" s="14" t="n">
        <v>1113</v>
      </c>
      <c r="O269" s="2" t="s">
        <v>726</v>
      </c>
    </row>
    <row r="270" customFormat="false" ht="23.85" hidden="false" customHeight="false" outlineLevel="0" collapsed="false">
      <c r="A270" s="2" t="s">
        <v>146</v>
      </c>
      <c r="B270" s="2" t="s">
        <v>147</v>
      </c>
      <c r="C270" s="14" t="n">
        <v>1</v>
      </c>
      <c r="D270" s="14" t="n">
        <v>4</v>
      </c>
      <c r="E270" s="2" t="s">
        <v>749</v>
      </c>
      <c r="F270" s="15" t="n">
        <v>6</v>
      </c>
      <c r="G270" s="15" t="n">
        <v>8</v>
      </c>
      <c r="H270" s="15" t="n">
        <v>7</v>
      </c>
      <c r="I270" s="15" t="n">
        <v>4</v>
      </c>
      <c r="J270" s="15" t="n">
        <v>7</v>
      </c>
      <c r="K270" s="15" t="n">
        <v>7</v>
      </c>
      <c r="L270" s="15" t="n">
        <v>7</v>
      </c>
      <c r="M270" s="4" t="n">
        <f aca="false">ROUND(F270*Rubric!$B$4+G270*Rubric!$B$5+H270*Rubric!$B$6+I270*Rubric!$B$7+J270*Rubric!$B$8+K270*Rubric!$B$9+L270*Rubric!$B$10-IF(OR(H270&lt;Rubric!$B$12,K270&lt;Rubric!$B$12),Rubric!$B$13,0),2)</f>
        <v>6.8</v>
      </c>
      <c r="N270" s="14" t="n">
        <v>1113</v>
      </c>
      <c r="O270" s="2" t="s">
        <v>748</v>
      </c>
    </row>
    <row r="271" customFormat="false" ht="23.85" hidden="false" customHeight="false" outlineLevel="0" collapsed="false">
      <c r="A271" s="2" t="s">
        <v>146</v>
      </c>
      <c r="B271" s="2" t="s">
        <v>147</v>
      </c>
      <c r="C271" s="14" t="n">
        <v>2</v>
      </c>
      <c r="D271" s="14" t="n">
        <v>4</v>
      </c>
      <c r="E271" s="2" t="s">
        <v>476</v>
      </c>
      <c r="F271" s="15" t="n">
        <v>7</v>
      </c>
      <c r="G271" s="15" t="n">
        <v>8</v>
      </c>
      <c r="H271" s="15" t="n">
        <v>8</v>
      </c>
      <c r="I271" s="15" t="n">
        <v>4</v>
      </c>
      <c r="J271" s="15" t="n">
        <v>8</v>
      </c>
      <c r="K271" s="15" t="n">
        <v>8</v>
      </c>
      <c r="L271" s="15" t="n">
        <v>7</v>
      </c>
      <c r="M271" s="4" t="n">
        <f aca="false">ROUND(F271*Rubric!$B$4+G271*Rubric!$B$5+H271*Rubric!$B$6+I271*Rubric!$B$7+J271*Rubric!$B$8+K271*Rubric!$B$9+L271*Rubric!$B$10-IF(OR(H271&lt;Rubric!$B$12,K271&lt;Rubric!$B$12),Rubric!$B$13,0),2)</f>
        <v>7.45</v>
      </c>
      <c r="N271" s="14" t="n">
        <v>1113</v>
      </c>
      <c r="O271" s="2" t="s">
        <v>750</v>
      </c>
    </row>
    <row r="272" customFormat="false" ht="23.85" hidden="false" customHeight="false" outlineLevel="0" collapsed="false">
      <c r="A272" s="2" t="s">
        <v>146</v>
      </c>
      <c r="B272" s="2" t="s">
        <v>147</v>
      </c>
      <c r="C272" s="14" t="n">
        <v>0</v>
      </c>
      <c r="D272" s="14" t="n">
        <v>5</v>
      </c>
      <c r="E272" s="2" t="s">
        <v>404</v>
      </c>
      <c r="F272" s="15" t="n">
        <v>8</v>
      </c>
      <c r="G272" s="15" t="n">
        <v>8</v>
      </c>
      <c r="H272" s="15" t="n">
        <v>7</v>
      </c>
      <c r="I272" s="15" t="n">
        <v>10</v>
      </c>
      <c r="J272" s="15" t="n">
        <v>4</v>
      </c>
      <c r="K272" s="15" t="n">
        <v>7</v>
      </c>
      <c r="L272" s="15" t="n">
        <v>9</v>
      </c>
      <c r="M272" s="4" t="n">
        <f aca="false">ROUND(F272*Rubric!$B$4+G272*Rubric!$B$5+H272*Rubric!$B$6+I272*Rubric!$B$7+J272*Rubric!$B$8+K272*Rubric!$B$9+L272*Rubric!$B$10-IF(OR(H272&lt;Rubric!$B$12,K272&lt;Rubric!$B$12),Rubric!$B$13,0),2)</f>
        <v>6.5</v>
      </c>
      <c r="N272" s="14" t="n">
        <v>1114</v>
      </c>
      <c r="O272" s="2" t="s">
        <v>726</v>
      </c>
    </row>
    <row r="273" customFormat="false" ht="23.85" hidden="false" customHeight="false" outlineLevel="0" collapsed="false">
      <c r="A273" s="2" t="s">
        <v>146</v>
      </c>
      <c r="B273" s="2" t="s">
        <v>147</v>
      </c>
      <c r="C273" s="14" t="n">
        <v>1</v>
      </c>
      <c r="D273" s="14" t="n">
        <v>5</v>
      </c>
      <c r="E273" s="2" t="s">
        <v>477</v>
      </c>
      <c r="F273" s="15" t="n">
        <v>8</v>
      </c>
      <c r="G273" s="15" t="n">
        <v>8</v>
      </c>
      <c r="H273" s="15" t="n">
        <v>7</v>
      </c>
      <c r="I273" s="15" t="n">
        <v>9</v>
      </c>
      <c r="J273" s="15" t="n">
        <v>8</v>
      </c>
      <c r="K273" s="15" t="n">
        <v>8</v>
      </c>
      <c r="L273" s="15" t="n">
        <v>9</v>
      </c>
      <c r="M273" s="4" t="n">
        <f aca="false">ROUND(F273*Rubric!$B$4+G273*Rubric!$B$5+H273*Rubric!$B$6+I273*Rubric!$B$7+J273*Rubric!$B$8+K273*Rubric!$B$9+L273*Rubric!$B$10-IF(OR(H273&lt;Rubric!$B$12,K273&lt;Rubric!$B$12),Rubric!$B$13,0),2)</f>
        <v>8.1</v>
      </c>
      <c r="N273" s="14" t="n">
        <v>1114</v>
      </c>
      <c r="O273" s="2" t="s">
        <v>748</v>
      </c>
    </row>
    <row r="274" customFormat="false" ht="23.85" hidden="false" customHeight="false" outlineLevel="0" collapsed="false">
      <c r="A274" s="2" t="s">
        <v>152</v>
      </c>
      <c r="B274" s="2" t="s">
        <v>153</v>
      </c>
      <c r="C274" s="14" t="n">
        <v>0</v>
      </c>
      <c r="D274" s="14" t="n">
        <v>1</v>
      </c>
      <c r="E274" s="2" t="s">
        <v>422</v>
      </c>
      <c r="F274" s="15" t="n">
        <v>8</v>
      </c>
      <c r="G274" s="15" t="n">
        <v>9</v>
      </c>
      <c r="H274" s="15" t="n">
        <v>7</v>
      </c>
      <c r="I274" s="15" t="n">
        <v>3</v>
      </c>
      <c r="J274" s="15" t="n">
        <v>6</v>
      </c>
      <c r="K274" s="15" t="n">
        <v>8</v>
      </c>
      <c r="L274" s="15" t="n">
        <v>8</v>
      </c>
      <c r="M274" s="4" t="n">
        <f aca="false">ROUND(F274*Rubric!$B$4+G274*Rubric!$B$5+H274*Rubric!$B$6+I274*Rubric!$B$7+J274*Rubric!$B$8+K274*Rubric!$B$9+L274*Rubric!$B$10-IF(OR(H274&lt;Rubric!$B$12,K274&lt;Rubric!$B$12),Rubric!$B$13,0),2)</f>
        <v>6.75</v>
      </c>
      <c r="N274" s="14" t="n">
        <v>1120</v>
      </c>
      <c r="O274" s="2" t="s">
        <v>726</v>
      </c>
    </row>
    <row r="275" customFormat="false" ht="23.85" hidden="false" customHeight="false" outlineLevel="0" collapsed="false">
      <c r="A275" s="2" t="s">
        <v>152</v>
      </c>
      <c r="B275" s="2" t="s">
        <v>153</v>
      </c>
      <c r="C275" s="14" t="n">
        <v>1</v>
      </c>
      <c r="D275" s="14" t="n">
        <v>1</v>
      </c>
      <c r="E275" s="2" t="s">
        <v>478</v>
      </c>
      <c r="F275" s="15" t="n">
        <v>9</v>
      </c>
      <c r="G275" s="15" t="n">
        <v>8</v>
      </c>
      <c r="H275" s="15" t="n">
        <v>8</v>
      </c>
      <c r="I275" s="15" t="n">
        <v>3</v>
      </c>
      <c r="J275" s="15" t="n">
        <v>9</v>
      </c>
      <c r="K275" s="15" t="n">
        <v>8</v>
      </c>
      <c r="L275" s="15" t="n">
        <v>7</v>
      </c>
      <c r="M275" s="4" t="n">
        <f aca="false">ROUND(F275*Rubric!$B$4+G275*Rubric!$B$5+H275*Rubric!$B$6+I275*Rubric!$B$7+J275*Rubric!$B$8+K275*Rubric!$B$9+L275*Rubric!$B$10-IF(OR(H275&lt;Rubric!$B$12,K275&lt;Rubric!$B$12),Rubric!$B$13,0),2)</f>
        <v>7.85</v>
      </c>
      <c r="N275" s="14" t="n">
        <v>1120</v>
      </c>
      <c r="O275" s="2" t="s">
        <v>751</v>
      </c>
    </row>
    <row r="276" customFormat="false" ht="15" hidden="false" customHeight="false" outlineLevel="0" collapsed="false">
      <c r="A276" s="2" t="s">
        <v>152</v>
      </c>
      <c r="B276" s="2" t="s">
        <v>153</v>
      </c>
      <c r="C276" s="14" t="n">
        <v>0</v>
      </c>
      <c r="D276" s="14" t="n">
        <v>2</v>
      </c>
      <c r="E276" s="2" t="s">
        <v>424</v>
      </c>
      <c r="F276" s="15" t="n">
        <v>9</v>
      </c>
      <c r="G276" s="15" t="n">
        <v>9</v>
      </c>
      <c r="H276" s="15" t="n">
        <v>7</v>
      </c>
      <c r="I276" s="15" t="n">
        <v>3</v>
      </c>
      <c r="J276" s="15" t="n">
        <v>6</v>
      </c>
      <c r="K276" s="15" t="n">
        <v>8</v>
      </c>
      <c r="L276" s="15" t="n">
        <v>8</v>
      </c>
      <c r="M276" s="4" t="n">
        <f aca="false">ROUND(F276*Rubric!$B$4+G276*Rubric!$B$5+H276*Rubric!$B$6+I276*Rubric!$B$7+J276*Rubric!$B$8+K276*Rubric!$B$9+L276*Rubric!$B$10-IF(OR(H276&lt;Rubric!$B$12,K276&lt;Rubric!$B$12),Rubric!$B$13,0),2)</f>
        <v>6.8</v>
      </c>
      <c r="N276" s="14" t="n">
        <v>1121</v>
      </c>
      <c r="O276" s="2" t="s">
        <v>726</v>
      </c>
    </row>
    <row r="277" customFormat="false" ht="23.85" hidden="false" customHeight="false" outlineLevel="0" collapsed="false">
      <c r="A277" s="2" t="s">
        <v>152</v>
      </c>
      <c r="B277" s="2" t="s">
        <v>153</v>
      </c>
      <c r="C277" s="14" t="n">
        <v>1</v>
      </c>
      <c r="D277" s="14" t="n">
        <v>2</v>
      </c>
      <c r="E277" s="2" t="s">
        <v>479</v>
      </c>
      <c r="F277" s="15" t="n">
        <v>7</v>
      </c>
      <c r="G277" s="15" t="n">
        <v>9</v>
      </c>
      <c r="H277" s="15" t="n">
        <v>7</v>
      </c>
      <c r="I277" s="15" t="n">
        <v>3</v>
      </c>
      <c r="J277" s="15" t="n">
        <v>9</v>
      </c>
      <c r="K277" s="15" t="n">
        <v>8</v>
      </c>
      <c r="L277" s="15" t="n">
        <v>8</v>
      </c>
      <c r="M277" s="4" t="n">
        <f aca="false">ROUND(F277*Rubric!$B$4+G277*Rubric!$B$5+H277*Rubric!$B$6+I277*Rubric!$B$7+J277*Rubric!$B$8+K277*Rubric!$B$9+L277*Rubric!$B$10-IF(OR(H277&lt;Rubric!$B$12,K277&lt;Rubric!$B$12),Rubric!$B$13,0),2)</f>
        <v>7.9</v>
      </c>
      <c r="N277" s="14" t="n">
        <v>1121</v>
      </c>
      <c r="O277" s="2" t="s">
        <v>751</v>
      </c>
    </row>
    <row r="278" customFormat="false" ht="23.85" hidden="false" customHeight="false" outlineLevel="0" collapsed="false">
      <c r="A278" s="2" t="s">
        <v>152</v>
      </c>
      <c r="B278" s="2" t="s">
        <v>153</v>
      </c>
      <c r="C278" s="14" t="n">
        <v>0</v>
      </c>
      <c r="D278" s="14" t="n">
        <v>3</v>
      </c>
      <c r="E278" s="2" t="s">
        <v>380</v>
      </c>
      <c r="F278" s="15" t="n">
        <v>8</v>
      </c>
      <c r="G278" s="15" t="n">
        <v>8</v>
      </c>
      <c r="H278" s="15" t="n">
        <v>8</v>
      </c>
      <c r="I278" s="15" t="n">
        <v>3</v>
      </c>
      <c r="J278" s="15" t="n">
        <v>6</v>
      </c>
      <c r="K278" s="15" t="n">
        <v>8</v>
      </c>
      <c r="L278" s="15" t="n">
        <v>7</v>
      </c>
      <c r="M278" s="4" t="n">
        <f aca="false">ROUND(F278*Rubric!$B$4+G278*Rubric!$B$5+H278*Rubric!$B$6+I278*Rubric!$B$7+J278*Rubric!$B$8+K278*Rubric!$B$9+L278*Rubric!$B$10-IF(OR(H278&lt;Rubric!$B$12,K278&lt;Rubric!$B$12),Rubric!$B$13,0),2)</f>
        <v>6.6</v>
      </c>
      <c r="N278" s="14" t="n">
        <v>1122</v>
      </c>
      <c r="O278" s="2" t="s">
        <v>726</v>
      </c>
    </row>
    <row r="279" customFormat="false" ht="23.85" hidden="false" customHeight="false" outlineLevel="0" collapsed="false">
      <c r="A279" s="2" t="s">
        <v>152</v>
      </c>
      <c r="B279" s="2" t="s">
        <v>153</v>
      </c>
      <c r="C279" s="14" t="n">
        <v>1</v>
      </c>
      <c r="D279" s="14" t="n">
        <v>3</v>
      </c>
      <c r="E279" s="2" t="s">
        <v>480</v>
      </c>
      <c r="F279" s="15" t="n">
        <v>7</v>
      </c>
      <c r="G279" s="15" t="n">
        <v>8</v>
      </c>
      <c r="H279" s="15" t="n">
        <v>8</v>
      </c>
      <c r="I279" s="15" t="n">
        <v>3</v>
      </c>
      <c r="J279" s="15" t="n">
        <v>9</v>
      </c>
      <c r="K279" s="15" t="n">
        <v>8</v>
      </c>
      <c r="L279" s="15" t="n">
        <v>7</v>
      </c>
      <c r="M279" s="4" t="n">
        <f aca="false">ROUND(F279*Rubric!$B$4+G279*Rubric!$B$5+H279*Rubric!$B$6+I279*Rubric!$B$7+J279*Rubric!$B$8+K279*Rubric!$B$9+L279*Rubric!$B$10-IF(OR(H279&lt;Rubric!$B$12,K279&lt;Rubric!$B$12),Rubric!$B$13,0),2)</f>
        <v>7.75</v>
      </c>
      <c r="N279" s="14" t="n">
        <v>1122</v>
      </c>
      <c r="O279" s="2" t="s">
        <v>751</v>
      </c>
    </row>
    <row r="280" customFormat="false" ht="23.85" hidden="false" customHeight="false" outlineLevel="0" collapsed="false">
      <c r="A280" s="2" t="s">
        <v>152</v>
      </c>
      <c r="B280" s="2" t="s">
        <v>153</v>
      </c>
      <c r="C280" s="14" t="n">
        <v>0</v>
      </c>
      <c r="D280" s="14" t="n">
        <v>4</v>
      </c>
      <c r="E280" s="2" t="s">
        <v>416</v>
      </c>
      <c r="F280" s="15" t="n">
        <v>8</v>
      </c>
      <c r="G280" s="15" t="n">
        <v>8</v>
      </c>
      <c r="H280" s="15" t="n">
        <v>8</v>
      </c>
      <c r="I280" s="15" t="n">
        <v>3</v>
      </c>
      <c r="J280" s="15" t="n">
        <v>6</v>
      </c>
      <c r="K280" s="15" t="n">
        <v>8</v>
      </c>
      <c r="L280" s="15" t="n">
        <v>8</v>
      </c>
      <c r="M280" s="4" t="n">
        <f aca="false">ROUND(F280*Rubric!$B$4+G280*Rubric!$B$5+H280*Rubric!$B$6+I280*Rubric!$B$7+J280*Rubric!$B$8+K280*Rubric!$B$9+L280*Rubric!$B$10-IF(OR(H280&lt;Rubric!$B$12,K280&lt;Rubric!$B$12),Rubric!$B$13,0),2)</f>
        <v>6.7</v>
      </c>
      <c r="N280" s="14" t="n">
        <v>1123</v>
      </c>
      <c r="O280" s="2" t="s">
        <v>726</v>
      </c>
    </row>
    <row r="281" customFormat="false" ht="23.85" hidden="false" customHeight="false" outlineLevel="0" collapsed="false">
      <c r="A281" s="2" t="s">
        <v>152</v>
      </c>
      <c r="B281" s="2" t="s">
        <v>153</v>
      </c>
      <c r="C281" s="14" t="n">
        <v>1</v>
      </c>
      <c r="D281" s="14" t="n">
        <v>4</v>
      </c>
      <c r="E281" s="2" t="s">
        <v>509</v>
      </c>
      <c r="F281" s="15" t="n">
        <v>8</v>
      </c>
      <c r="G281" s="15" t="n">
        <v>7</v>
      </c>
      <c r="H281" s="15" t="n">
        <v>7</v>
      </c>
      <c r="I281" s="15" t="n">
        <v>3</v>
      </c>
      <c r="J281" s="15" t="n">
        <v>8</v>
      </c>
      <c r="K281" s="15" t="n">
        <v>7</v>
      </c>
      <c r="L281" s="15" t="n">
        <v>8</v>
      </c>
      <c r="M281" s="4" t="n">
        <f aca="false">ROUND(F281*Rubric!$B$4+G281*Rubric!$B$5+H281*Rubric!$B$6+I281*Rubric!$B$7+J281*Rubric!$B$8+K281*Rubric!$B$9+L281*Rubric!$B$10-IF(OR(H281&lt;Rubric!$B$12,K281&lt;Rubric!$B$12),Rubric!$B$13,0),2)</f>
        <v>7.15</v>
      </c>
      <c r="N281" s="14" t="n">
        <v>1123</v>
      </c>
      <c r="O281" s="2" t="s">
        <v>751</v>
      </c>
    </row>
    <row r="282" customFormat="false" ht="23.85" hidden="false" customHeight="false" outlineLevel="0" collapsed="false">
      <c r="A282" s="2" t="s">
        <v>152</v>
      </c>
      <c r="B282" s="2" t="s">
        <v>153</v>
      </c>
      <c r="C282" s="14" t="n">
        <v>3</v>
      </c>
      <c r="D282" s="14" t="n">
        <v>4</v>
      </c>
      <c r="E282" s="2" t="s">
        <v>481</v>
      </c>
      <c r="F282" s="15" t="n">
        <v>8</v>
      </c>
      <c r="G282" s="15" t="n">
        <v>8</v>
      </c>
      <c r="H282" s="15" t="n">
        <v>8</v>
      </c>
      <c r="I282" s="15" t="n">
        <v>3</v>
      </c>
      <c r="J282" s="15" t="n">
        <v>8</v>
      </c>
      <c r="K282" s="15" t="n">
        <v>8</v>
      </c>
      <c r="L282" s="15" t="n">
        <v>8</v>
      </c>
      <c r="M282" s="4" t="n">
        <f aca="false">ROUND(F282*Rubric!$B$4+G282*Rubric!$B$5+H282*Rubric!$B$6+I282*Rubric!$B$7+J282*Rubric!$B$8+K282*Rubric!$B$9+L282*Rubric!$B$10-IF(OR(H282&lt;Rubric!$B$12,K282&lt;Rubric!$B$12),Rubric!$B$13,0),2)</f>
        <v>7.5</v>
      </c>
      <c r="N282" s="14" t="n">
        <v>1123</v>
      </c>
      <c r="O282" s="2" t="s">
        <v>752</v>
      </c>
    </row>
    <row r="283" customFormat="false" ht="23.85" hidden="false" customHeight="false" outlineLevel="0" collapsed="false">
      <c r="A283" s="2" t="s">
        <v>152</v>
      </c>
      <c r="B283" s="2" t="s">
        <v>153</v>
      </c>
      <c r="C283" s="14" t="n">
        <v>0</v>
      </c>
      <c r="D283" s="14" t="n">
        <v>5</v>
      </c>
      <c r="E283" s="2" t="s">
        <v>381</v>
      </c>
      <c r="F283" s="15" t="n">
        <v>8</v>
      </c>
      <c r="G283" s="15" t="n">
        <v>8</v>
      </c>
      <c r="H283" s="15" t="n">
        <v>8</v>
      </c>
      <c r="I283" s="15" t="n">
        <v>8</v>
      </c>
      <c r="J283" s="15" t="n">
        <v>5</v>
      </c>
      <c r="K283" s="15" t="n">
        <v>7</v>
      </c>
      <c r="L283" s="15" t="n">
        <v>8</v>
      </c>
      <c r="M283" s="4" t="n">
        <f aca="false">ROUND(F283*Rubric!$B$4+G283*Rubric!$B$5+H283*Rubric!$B$6+I283*Rubric!$B$7+J283*Rubric!$B$8+K283*Rubric!$B$9+L283*Rubric!$B$10-IF(OR(H283&lt;Rubric!$B$12,K283&lt;Rubric!$B$12),Rubric!$B$13,0),2)</f>
        <v>6.7</v>
      </c>
      <c r="N283" s="14" t="n">
        <v>1124</v>
      </c>
      <c r="O283" s="2" t="s">
        <v>726</v>
      </c>
    </row>
    <row r="284" customFormat="false" ht="23.85" hidden="false" customHeight="false" outlineLevel="0" collapsed="false">
      <c r="A284" s="2" t="s">
        <v>152</v>
      </c>
      <c r="B284" s="2" t="s">
        <v>153</v>
      </c>
      <c r="C284" s="14" t="n">
        <v>1</v>
      </c>
      <c r="D284" s="14" t="n">
        <v>5</v>
      </c>
      <c r="E284" s="2" t="s">
        <v>482</v>
      </c>
      <c r="F284" s="15" t="n">
        <v>9</v>
      </c>
      <c r="G284" s="15" t="n">
        <v>8</v>
      </c>
      <c r="H284" s="15" t="n">
        <v>8</v>
      </c>
      <c r="I284" s="15" t="n">
        <v>3</v>
      </c>
      <c r="J284" s="15" t="n">
        <v>9</v>
      </c>
      <c r="K284" s="15" t="n">
        <v>8</v>
      </c>
      <c r="L284" s="15" t="n">
        <v>7</v>
      </c>
      <c r="M284" s="4" t="n">
        <f aca="false">ROUND(F284*Rubric!$B$4+G284*Rubric!$B$5+H284*Rubric!$B$6+I284*Rubric!$B$7+J284*Rubric!$B$8+K284*Rubric!$B$9+L284*Rubric!$B$10-IF(OR(H284&lt;Rubric!$B$12,K284&lt;Rubric!$B$12),Rubric!$B$13,0),2)</f>
        <v>7.85</v>
      </c>
      <c r="N284" s="14" t="n">
        <v>1124</v>
      </c>
      <c r="O284" s="2" t="s">
        <v>751</v>
      </c>
    </row>
    <row r="285" customFormat="false" ht="23.85" hidden="false" customHeight="false" outlineLevel="0" collapsed="false">
      <c r="A285" s="2" t="s">
        <v>158</v>
      </c>
      <c r="B285" s="2" t="s">
        <v>159</v>
      </c>
      <c r="C285" s="14" t="n">
        <v>0</v>
      </c>
      <c r="D285" s="14" t="n">
        <v>1</v>
      </c>
      <c r="E285" s="2" t="s">
        <v>372</v>
      </c>
      <c r="F285" s="15" t="n">
        <v>8</v>
      </c>
      <c r="G285" s="15" t="n">
        <v>8</v>
      </c>
      <c r="H285" s="15" t="n">
        <v>8</v>
      </c>
      <c r="I285" s="15" t="n">
        <v>3</v>
      </c>
      <c r="J285" s="15" t="n">
        <v>9</v>
      </c>
      <c r="K285" s="15" t="n">
        <v>8</v>
      </c>
      <c r="L285" s="15" t="n">
        <v>7</v>
      </c>
      <c r="M285" s="4" t="n">
        <f aca="false">ROUND(F285*Rubric!$B$4+G285*Rubric!$B$5+H285*Rubric!$B$6+I285*Rubric!$B$7+J285*Rubric!$B$8+K285*Rubric!$B$9+L285*Rubric!$B$10-IF(OR(H285&lt;Rubric!$B$12,K285&lt;Rubric!$B$12),Rubric!$B$13,0),2)</f>
        <v>7.8</v>
      </c>
      <c r="N285" s="14" t="n">
        <v>1130</v>
      </c>
      <c r="O285" s="2" t="s">
        <v>726</v>
      </c>
    </row>
    <row r="286" customFormat="false" ht="23.85" hidden="false" customHeight="false" outlineLevel="0" collapsed="false">
      <c r="A286" s="2" t="s">
        <v>158</v>
      </c>
      <c r="B286" s="2" t="s">
        <v>159</v>
      </c>
      <c r="C286" s="14" t="n">
        <v>1</v>
      </c>
      <c r="D286" s="14" t="n">
        <v>1</v>
      </c>
      <c r="E286" s="2" t="s">
        <v>483</v>
      </c>
      <c r="F286" s="15" t="n">
        <v>7</v>
      </c>
      <c r="G286" s="15" t="n">
        <v>8</v>
      </c>
      <c r="H286" s="15" t="n">
        <v>8</v>
      </c>
      <c r="I286" s="15" t="n">
        <v>2</v>
      </c>
      <c r="J286" s="15" t="n">
        <v>9</v>
      </c>
      <c r="K286" s="15" t="n">
        <v>8</v>
      </c>
      <c r="L286" s="15" t="n">
        <v>8</v>
      </c>
      <c r="M286" s="4" t="n">
        <f aca="false">ROUND(F286*Rubric!$B$4+G286*Rubric!$B$5+H286*Rubric!$B$6+I286*Rubric!$B$7+J286*Rubric!$B$8+K286*Rubric!$B$9+L286*Rubric!$B$10-IF(OR(H286&lt;Rubric!$B$12,K286&lt;Rubric!$B$12),Rubric!$B$13,0),2)</f>
        <v>7.75</v>
      </c>
      <c r="N286" s="14" t="n">
        <v>1130</v>
      </c>
      <c r="O286" s="2" t="s">
        <v>753</v>
      </c>
    </row>
    <row r="287" customFormat="false" ht="23.85" hidden="false" customHeight="false" outlineLevel="0" collapsed="false">
      <c r="A287" s="2" t="s">
        <v>158</v>
      </c>
      <c r="B287" s="2" t="s">
        <v>159</v>
      </c>
      <c r="C287" s="14" t="n">
        <v>0</v>
      </c>
      <c r="D287" s="14" t="n">
        <v>2</v>
      </c>
      <c r="E287" s="2" t="s">
        <v>358</v>
      </c>
      <c r="F287" s="15" t="n">
        <v>9</v>
      </c>
      <c r="G287" s="15" t="n">
        <v>9</v>
      </c>
      <c r="H287" s="15" t="n">
        <v>8</v>
      </c>
      <c r="I287" s="15" t="n">
        <v>4</v>
      </c>
      <c r="J287" s="15" t="n">
        <v>8</v>
      </c>
      <c r="K287" s="15" t="n">
        <v>9</v>
      </c>
      <c r="L287" s="15" t="n">
        <v>8</v>
      </c>
      <c r="M287" s="4" t="n">
        <f aca="false">ROUND(F287*Rubric!$B$4+G287*Rubric!$B$5+H287*Rubric!$B$6+I287*Rubric!$B$7+J287*Rubric!$B$8+K287*Rubric!$B$9+L287*Rubric!$B$10-IF(OR(H287&lt;Rubric!$B$12,K287&lt;Rubric!$B$12),Rubric!$B$13,0),2)</f>
        <v>7.9</v>
      </c>
      <c r="N287" s="14" t="n">
        <v>1131</v>
      </c>
      <c r="O287" s="2" t="s">
        <v>726</v>
      </c>
    </row>
    <row r="288" customFormat="false" ht="23.85" hidden="false" customHeight="false" outlineLevel="0" collapsed="false">
      <c r="A288" s="2" t="s">
        <v>158</v>
      </c>
      <c r="B288" s="2" t="s">
        <v>159</v>
      </c>
      <c r="C288" s="14" t="n">
        <v>1</v>
      </c>
      <c r="D288" s="14" t="n">
        <v>2</v>
      </c>
      <c r="E288" s="2" t="s">
        <v>484</v>
      </c>
      <c r="F288" s="15" t="n">
        <v>8</v>
      </c>
      <c r="G288" s="15" t="n">
        <v>8</v>
      </c>
      <c r="H288" s="15" t="n">
        <v>8</v>
      </c>
      <c r="I288" s="15" t="n">
        <v>3</v>
      </c>
      <c r="J288" s="15" t="n">
        <v>10</v>
      </c>
      <c r="K288" s="15" t="n">
        <v>8</v>
      </c>
      <c r="L288" s="15" t="n">
        <v>7</v>
      </c>
      <c r="M288" s="4" t="n">
        <f aca="false">ROUND(F288*Rubric!$B$4+G288*Rubric!$B$5+H288*Rubric!$B$6+I288*Rubric!$B$7+J288*Rubric!$B$8+K288*Rubric!$B$9+L288*Rubric!$B$10-IF(OR(H288&lt;Rubric!$B$12,K288&lt;Rubric!$B$12),Rubric!$B$13,0),2)</f>
        <v>8.2</v>
      </c>
      <c r="N288" s="14" t="n">
        <v>1131</v>
      </c>
      <c r="O288" s="2" t="s">
        <v>753</v>
      </c>
    </row>
    <row r="289" customFormat="false" ht="23.85" hidden="false" customHeight="false" outlineLevel="0" collapsed="false">
      <c r="A289" s="2" t="s">
        <v>158</v>
      </c>
      <c r="B289" s="2" t="s">
        <v>159</v>
      </c>
      <c r="C289" s="14" t="n">
        <v>0</v>
      </c>
      <c r="D289" s="14" t="n">
        <v>3</v>
      </c>
      <c r="E289" s="2" t="s">
        <v>359</v>
      </c>
      <c r="F289" s="15" t="n">
        <v>9</v>
      </c>
      <c r="G289" s="15" t="n">
        <v>8</v>
      </c>
      <c r="H289" s="15" t="n">
        <v>8</v>
      </c>
      <c r="I289" s="15" t="n">
        <v>4</v>
      </c>
      <c r="J289" s="15" t="n">
        <v>6</v>
      </c>
      <c r="K289" s="15" t="n">
        <v>8</v>
      </c>
      <c r="L289" s="15" t="n">
        <v>7</v>
      </c>
      <c r="M289" s="4" t="n">
        <f aca="false">ROUND(F289*Rubric!$B$4+G289*Rubric!$B$5+H289*Rubric!$B$6+I289*Rubric!$B$7+J289*Rubric!$B$8+K289*Rubric!$B$9+L289*Rubric!$B$10-IF(OR(H289&lt;Rubric!$B$12,K289&lt;Rubric!$B$12),Rubric!$B$13,0),2)</f>
        <v>6.75</v>
      </c>
      <c r="N289" s="14" t="n">
        <v>1132</v>
      </c>
      <c r="O289" s="2" t="s">
        <v>726</v>
      </c>
    </row>
    <row r="290" customFormat="false" ht="23.85" hidden="false" customHeight="false" outlineLevel="0" collapsed="false">
      <c r="A290" s="2" t="s">
        <v>158</v>
      </c>
      <c r="B290" s="2" t="s">
        <v>159</v>
      </c>
      <c r="C290" s="14" t="n">
        <v>1</v>
      </c>
      <c r="D290" s="14" t="n">
        <v>3</v>
      </c>
      <c r="E290" s="2" t="s">
        <v>485</v>
      </c>
      <c r="F290" s="15" t="n">
        <v>7</v>
      </c>
      <c r="G290" s="15" t="n">
        <v>8</v>
      </c>
      <c r="H290" s="15" t="n">
        <v>8</v>
      </c>
      <c r="I290" s="15" t="n">
        <v>3</v>
      </c>
      <c r="J290" s="15" t="n">
        <v>9</v>
      </c>
      <c r="K290" s="15" t="n">
        <v>8</v>
      </c>
      <c r="L290" s="15" t="n">
        <v>6</v>
      </c>
      <c r="M290" s="4" t="n">
        <f aca="false">ROUND(F290*Rubric!$B$4+G290*Rubric!$B$5+H290*Rubric!$B$6+I290*Rubric!$B$7+J290*Rubric!$B$8+K290*Rubric!$B$9+L290*Rubric!$B$10-IF(OR(H290&lt;Rubric!$B$12,K290&lt;Rubric!$B$12),Rubric!$B$13,0),2)</f>
        <v>7.65</v>
      </c>
      <c r="N290" s="14" t="n">
        <v>1132</v>
      </c>
      <c r="O290" s="2" t="s">
        <v>753</v>
      </c>
    </row>
    <row r="291" customFormat="false" ht="23.85" hidden="false" customHeight="false" outlineLevel="0" collapsed="false">
      <c r="A291" s="2" t="s">
        <v>158</v>
      </c>
      <c r="B291" s="2" t="s">
        <v>159</v>
      </c>
      <c r="C291" s="14" t="n">
        <v>0</v>
      </c>
      <c r="D291" s="14" t="n">
        <v>4</v>
      </c>
      <c r="E291" s="2" t="s">
        <v>379</v>
      </c>
      <c r="F291" s="15" t="n">
        <v>9</v>
      </c>
      <c r="G291" s="15" t="n">
        <v>8</v>
      </c>
      <c r="H291" s="15" t="n">
        <v>7</v>
      </c>
      <c r="I291" s="15" t="n">
        <v>4</v>
      </c>
      <c r="J291" s="15" t="n">
        <v>7</v>
      </c>
      <c r="K291" s="15" t="n">
        <v>7</v>
      </c>
      <c r="L291" s="15" t="n">
        <v>7</v>
      </c>
      <c r="M291" s="4" t="n">
        <f aca="false">ROUND(F291*Rubric!$B$4+G291*Rubric!$B$5+H291*Rubric!$B$6+I291*Rubric!$B$7+J291*Rubric!$B$8+K291*Rubric!$B$9+L291*Rubric!$B$10-IF(OR(H291&lt;Rubric!$B$12,K291&lt;Rubric!$B$12),Rubric!$B$13,0),2)</f>
        <v>6.95</v>
      </c>
      <c r="N291" s="14" t="n">
        <v>1133</v>
      </c>
      <c r="O291" s="2" t="s">
        <v>726</v>
      </c>
    </row>
    <row r="292" customFormat="false" ht="23.85" hidden="false" customHeight="false" outlineLevel="0" collapsed="false">
      <c r="A292" s="2" t="s">
        <v>158</v>
      </c>
      <c r="B292" s="2" t="s">
        <v>159</v>
      </c>
      <c r="C292" s="14" t="n">
        <v>1</v>
      </c>
      <c r="D292" s="14" t="n">
        <v>4</v>
      </c>
      <c r="E292" s="2" t="s">
        <v>486</v>
      </c>
      <c r="F292" s="15" t="n">
        <v>8</v>
      </c>
      <c r="G292" s="15" t="n">
        <v>8</v>
      </c>
      <c r="H292" s="15" t="n">
        <v>8</v>
      </c>
      <c r="I292" s="15" t="n">
        <v>3</v>
      </c>
      <c r="J292" s="15" t="n">
        <v>9</v>
      </c>
      <c r="K292" s="15" t="n">
        <v>8</v>
      </c>
      <c r="L292" s="15" t="n">
        <v>6</v>
      </c>
      <c r="M292" s="4" t="n">
        <f aca="false">ROUND(F292*Rubric!$B$4+G292*Rubric!$B$5+H292*Rubric!$B$6+I292*Rubric!$B$7+J292*Rubric!$B$8+K292*Rubric!$B$9+L292*Rubric!$B$10-IF(OR(H292&lt;Rubric!$B$12,K292&lt;Rubric!$B$12),Rubric!$B$13,0),2)</f>
        <v>7.7</v>
      </c>
      <c r="N292" s="14" t="n">
        <v>1133</v>
      </c>
      <c r="O292" s="2" t="s">
        <v>753</v>
      </c>
    </row>
    <row r="293" customFormat="false" ht="23.85" hidden="false" customHeight="false" outlineLevel="0" collapsed="false">
      <c r="A293" s="2" t="s">
        <v>158</v>
      </c>
      <c r="B293" s="2" t="s">
        <v>159</v>
      </c>
      <c r="C293" s="14" t="n">
        <v>0</v>
      </c>
      <c r="D293" s="14" t="n">
        <v>5</v>
      </c>
      <c r="E293" s="2" t="s">
        <v>361</v>
      </c>
      <c r="F293" s="15" t="n">
        <v>9</v>
      </c>
      <c r="G293" s="15" t="n">
        <v>7</v>
      </c>
      <c r="H293" s="15" t="n">
        <v>8</v>
      </c>
      <c r="I293" s="15" t="n">
        <v>8</v>
      </c>
      <c r="J293" s="15" t="n">
        <v>6</v>
      </c>
      <c r="K293" s="15" t="n">
        <v>8</v>
      </c>
      <c r="L293" s="15" t="n">
        <v>7</v>
      </c>
      <c r="M293" s="4" t="n">
        <f aca="false">ROUND(F293*Rubric!$B$4+G293*Rubric!$B$5+H293*Rubric!$B$6+I293*Rubric!$B$7+J293*Rubric!$B$8+K293*Rubric!$B$9+L293*Rubric!$B$10-IF(OR(H293&lt;Rubric!$B$12,K293&lt;Rubric!$B$12),Rubric!$B$13,0),2)</f>
        <v>7</v>
      </c>
      <c r="N293" s="14" t="n">
        <v>1134</v>
      </c>
      <c r="O293" s="2" t="s">
        <v>726</v>
      </c>
    </row>
    <row r="294" customFormat="false" ht="23.85" hidden="false" customHeight="false" outlineLevel="0" collapsed="false">
      <c r="A294" s="2" t="s">
        <v>158</v>
      </c>
      <c r="B294" s="2" t="s">
        <v>159</v>
      </c>
      <c r="C294" s="14" t="n">
        <v>1</v>
      </c>
      <c r="D294" s="14" t="n">
        <v>5</v>
      </c>
      <c r="E294" s="2" t="s">
        <v>487</v>
      </c>
      <c r="F294" s="15" t="n">
        <v>8</v>
      </c>
      <c r="G294" s="15" t="n">
        <v>7</v>
      </c>
      <c r="H294" s="15" t="n">
        <v>8</v>
      </c>
      <c r="I294" s="15" t="n">
        <v>8</v>
      </c>
      <c r="J294" s="15" t="n">
        <v>8</v>
      </c>
      <c r="K294" s="15" t="n">
        <v>8</v>
      </c>
      <c r="L294" s="15" t="n">
        <v>7</v>
      </c>
      <c r="M294" s="4" t="n">
        <f aca="false">ROUND(F294*Rubric!$B$4+G294*Rubric!$B$5+H294*Rubric!$B$6+I294*Rubric!$B$7+J294*Rubric!$B$8+K294*Rubric!$B$9+L294*Rubric!$B$10-IF(OR(H294&lt;Rubric!$B$12,K294&lt;Rubric!$B$12),Rubric!$B$13,0),2)</f>
        <v>7.75</v>
      </c>
      <c r="N294" s="14" t="n">
        <v>1134</v>
      </c>
      <c r="O294" s="2" t="s">
        <v>753</v>
      </c>
    </row>
    <row r="295" customFormat="false" ht="23.85" hidden="false" customHeight="false" outlineLevel="0" collapsed="false">
      <c r="A295" s="2" t="s">
        <v>163</v>
      </c>
      <c r="B295" s="2" t="s">
        <v>164</v>
      </c>
      <c r="C295" s="14" t="n">
        <v>0</v>
      </c>
      <c r="D295" s="14" t="n">
        <v>1</v>
      </c>
      <c r="E295" s="2" t="s">
        <v>382</v>
      </c>
      <c r="F295" s="15" t="n">
        <v>9</v>
      </c>
      <c r="G295" s="15" t="n">
        <v>8</v>
      </c>
      <c r="H295" s="15" t="n">
        <v>8</v>
      </c>
      <c r="I295" s="15" t="n">
        <v>4</v>
      </c>
      <c r="J295" s="15" t="n">
        <v>8</v>
      </c>
      <c r="K295" s="15" t="n">
        <v>8</v>
      </c>
      <c r="L295" s="15" t="n">
        <v>7</v>
      </c>
      <c r="M295" s="4" t="n">
        <f aca="false">ROUND(F295*Rubric!$B$4+G295*Rubric!$B$5+H295*Rubric!$B$6+I295*Rubric!$B$7+J295*Rubric!$B$8+K295*Rubric!$B$9+L295*Rubric!$B$10-IF(OR(H295&lt;Rubric!$B$12,K295&lt;Rubric!$B$12),Rubric!$B$13,0),2)</f>
        <v>7.55</v>
      </c>
      <c r="N295" s="14" t="n">
        <v>1140</v>
      </c>
      <c r="O295" s="2" t="s">
        <v>726</v>
      </c>
    </row>
    <row r="296" customFormat="false" ht="23.85" hidden="false" customHeight="false" outlineLevel="0" collapsed="false">
      <c r="A296" s="2" t="s">
        <v>163</v>
      </c>
      <c r="B296" s="2" t="s">
        <v>164</v>
      </c>
      <c r="C296" s="14" t="n">
        <v>1</v>
      </c>
      <c r="D296" s="14" t="n">
        <v>1</v>
      </c>
      <c r="E296" s="2" t="s">
        <v>488</v>
      </c>
      <c r="F296" s="15" t="n">
        <v>9</v>
      </c>
      <c r="G296" s="15" t="n">
        <v>8</v>
      </c>
      <c r="H296" s="15" t="n">
        <v>8</v>
      </c>
      <c r="I296" s="15" t="n">
        <v>3</v>
      </c>
      <c r="J296" s="15" t="n">
        <v>10</v>
      </c>
      <c r="K296" s="15" t="n">
        <v>8</v>
      </c>
      <c r="L296" s="15" t="n">
        <v>7</v>
      </c>
      <c r="M296" s="4" t="n">
        <f aca="false">ROUND(F296*Rubric!$B$4+G296*Rubric!$B$5+H296*Rubric!$B$6+I296*Rubric!$B$7+J296*Rubric!$B$8+K296*Rubric!$B$9+L296*Rubric!$B$10-IF(OR(H296&lt;Rubric!$B$12,K296&lt;Rubric!$B$12),Rubric!$B$13,0),2)</f>
        <v>8.25</v>
      </c>
      <c r="N296" s="14" t="n">
        <v>1140</v>
      </c>
      <c r="O296" s="2" t="s">
        <v>754</v>
      </c>
    </row>
    <row r="297" customFormat="false" ht="23.85" hidden="false" customHeight="false" outlineLevel="0" collapsed="false">
      <c r="A297" s="2" t="s">
        <v>163</v>
      </c>
      <c r="B297" s="2" t="s">
        <v>164</v>
      </c>
      <c r="C297" s="14" t="n">
        <v>0</v>
      </c>
      <c r="D297" s="14" t="n">
        <v>2</v>
      </c>
      <c r="E297" s="2" t="s">
        <v>386</v>
      </c>
      <c r="F297" s="15" t="n">
        <v>9</v>
      </c>
      <c r="G297" s="15" t="n">
        <v>8</v>
      </c>
      <c r="H297" s="15" t="n">
        <v>8</v>
      </c>
      <c r="I297" s="15" t="n">
        <v>3</v>
      </c>
      <c r="J297" s="15" t="n">
        <v>9</v>
      </c>
      <c r="K297" s="15" t="n">
        <v>8</v>
      </c>
      <c r="L297" s="15" t="n">
        <v>7</v>
      </c>
      <c r="M297" s="4" t="n">
        <f aca="false">ROUND(F297*Rubric!$B$4+G297*Rubric!$B$5+H297*Rubric!$B$6+I297*Rubric!$B$7+J297*Rubric!$B$8+K297*Rubric!$B$9+L297*Rubric!$B$10-IF(OR(H297&lt;Rubric!$B$12,K297&lt;Rubric!$B$12),Rubric!$B$13,0),2)</f>
        <v>7.85</v>
      </c>
      <c r="N297" s="14" t="n">
        <v>1141</v>
      </c>
      <c r="O297" s="2" t="s">
        <v>726</v>
      </c>
    </row>
    <row r="298" customFormat="false" ht="23.85" hidden="false" customHeight="false" outlineLevel="0" collapsed="false">
      <c r="A298" s="2" t="s">
        <v>163</v>
      </c>
      <c r="B298" s="2" t="s">
        <v>164</v>
      </c>
      <c r="C298" s="14" t="n">
        <v>1</v>
      </c>
      <c r="D298" s="14" t="n">
        <v>2</v>
      </c>
      <c r="E298" s="2" t="s">
        <v>489</v>
      </c>
      <c r="F298" s="15" t="n">
        <v>7</v>
      </c>
      <c r="G298" s="15" t="n">
        <v>8</v>
      </c>
      <c r="H298" s="15" t="n">
        <v>8</v>
      </c>
      <c r="I298" s="15" t="n">
        <v>3</v>
      </c>
      <c r="J298" s="15" t="n">
        <v>10</v>
      </c>
      <c r="K298" s="15" t="n">
        <v>8</v>
      </c>
      <c r="L298" s="15" t="n">
        <v>7</v>
      </c>
      <c r="M298" s="4" t="n">
        <f aca="false">ROUND(F298*Rubric!$B$4+G298*Rubric!$B$5+H298*Rubric!$B$6+I298*Rubric!$B$7+J298*Rubric!$B$8+K298*Rubric!$B$9+L298*Rubric!$B$10-IF(OR(H298&lt;Rubric!$B$12,K298&lt;Rubric!$B$12),Rubric!$B$13,0),2)</f>
        <v>8.15</v>
      </c>
      <c r="N298" s="14" t="n">
        <v>1141</v>
      </c>
      <c r="O298" s="2" t="s">
        <v>754</v>
      </c>
    </row>
    <row r="299" customFormat="false" ht="23.85" hidden="false" customHeight="false" outlineLevel="0" collapsed="false">
      <c r="A299" s="2" t="s">
        <v>163</v>
      </c>
      <c r="B299" s="2" t="s">
        <v>164</v>
      </c>
      <c r="C299" s="14" t="n">
        <v>0</v>
      </c>
      <c r="D299" s="14" t="n">
        <v>3</v>
      </c>
      <c r="E299" s="2" t="s">
        <v>384</v>
      </c>
      <c r="F299" s="15" t="n">
        <v>9</v>
      </c>
      <c r="G299" s="15" t="n">
        <v>8</v>
      </c>
      <c r="H299" s="15" t="n">
        <v>8</v>
      </c>
      <c r="I299" s="15" t="n">
        <v>3</v>
      </c>
      <c r="J299" s="15" t="n">
        <v>9</v>
      </c>
      <c r="K299" s="15" t="n">
        <v>8</v>
      </c>
      <c r="L299" s="15" t="n">
        <v>7</v>
      </c>
      <c r="M299" s="4" t="n">
        <f aca="false">ROUND(F299*Rubric!$B$4+G299*Rubric!$B$5+H299*Rubric!$B$6+I299*Rubric!$B$7+J299*Rubric!$B$8+K299*Rubric!$B$9+L299*Rubric!$B$10-IF(OR(H299&lt;Rubric!$B$12,K299&lt;Rubric!$B$12),Rubric!$B$13,0),2)</f>
        <v>7.85</v>
      </c>
      <c r="N299" s="14" t="n">
        <v>1142</v>
      </c>
      <c r="O299" s="2" t="s">
        <v>726</v>
      </c>
    </row>
    <row r="300" customFormat="false" ht="23.85" hidden="false" customHeight="false" outlineLevel="0" collapsed="false">
      <c r="A300" s="2" t="s">
        <v>163</v>
      </c>
      <c r="B300" s="2" t="s">
        <v>164</v>
      </c>
      <c r="C300" s="14" t="n">
        <v>1</v>
      </c>
      <c r="D300" s="14" t="n">
        <v>3</v>
      </c>
      <c r="E300" s="2" t="s">
        <v>755</v>
      </c>
      <c r="F300" s="15" t="n">
        <v>6</v>
      </c>
      <c r="G300" s="15" t="n">
        <v>8</v>
      </c>
      <c r="H300" s="15" t="n">
        <v>7</v>
      </c>
      <c r="I300" s="15" t="n">
        <v>3</v>
      </c>
      <c r="J300" s="15" t="n">
        <v>9</v>
      </c>
      <c r="K300" s="15" t="n">
        <v>6</v>
      </c>
      <c r="L300" s="15" t="n">
        <v>7</v>
      </c>
      <c r="M300" s="4" t="n">
        <f aca="false">ROUND(F300*Rubric!$B$4+G300*Rubric!$B$5+H300*Rubric!$B$6+I300*Rubric!$B$7+J300*Rubric!$B$8+K300*Rubric!$B$9+L300*Rubric!$B$10-IF(OR(H300&lt;Rubric!$B$12,K300&lt;Rubric!$B$12),Rubric!$B$13,0),2)</f>
        <v>6.4</v>
      </c>
      <c r="N300" s="14" t="n">
        <v>1142</v>
      </c>
      <c r="O300" s="2" t="s">
        <v>754</v>
      </c>
    </row>
    <row r="301" customFormat="false" ht="23.85" hidden="false" customHeight="false" outlineLevel="0" collapsed="false">
      <c r="A301" s="2" t="s">
        <v>163</v>
      </c>
      <c r="B301" s="2" t="s">
        <v>164</v>
      </c>
      <c r="C301" s="14" t="n">
        <v>2</v>
      </c>
      <c r="D301" s="14" t="n">
        <v>3</v>
      </c>
      <c r="E301" s="2" t="s">
        <v>490</v>
      </c>
      <c r="F301" s="15" t="n">
        <v>7</v>
      </c>
      <c r="G301" s="15" t="n">
        <v>8</v>
      </c>
      <c r="H301" s="15" t="n">
        <v>8</v>
      </c>
      <c r="I301" s="15" t="n">
        <v>3</v>
      </c>
      <c r="J301" s="15" t="n">
        <v>9</v>
      </c>
      <c r="K301" s="15" t="n">
        <v>8</v>
      </c>
      <c r="L301" s="15" t="n">
        <v>7</v>
      </c>
      <c r="M301" s="4" t="n">
        <f aca="false">ROUND(F301*Rubric!$B$4+G301*Rubric!$B$5+H301*Rubric!$B$6+I301*Rubric!$B$7+J301*Rubric!$B$8+K301*Rubric!$B$9+L301*Rubric!$B$10-IF(OR(H301&lt;Rubric!$B$12,K301&lt;Rubric!$B$12),Rubric!$B$13,0),2)</f>
        <v>7.75</v>
      </c>
      <c r="N301" s="14" t="n">
        <v>1142</v>
      </c>
      <c r="O301" s="2" t="s">
        <v>756</v>
      </c>
    </row>
    <row r="302" customFormat="false" ht="23.85" hidden="false" customHeight="false" outlineLevel="0" collapsed="false">
      <c r="A302" s="2" t="s">
        <v>163</v>
      </c>
      <c r="B302" s="2" t="s">
        <v>164</v>
      </c>
      <c r="C302" s="14" t="n">
        <v>0</v>
      </c>
      <c r="D302" s="14" t="n">
        <v>4</v>
      </c>
      <c r="E302" s="2" t="s">
        <v>389</v>
      </c>
      <c r="F302" s="15" t="n">
        <v>9</v>
      </c>
      <c r="G302" s="15" t="n">
        <v>8</v>
      </c>
      <c r="H302" s="15" t="n">
        <v>8</v>
      </c>
      <c r="I302" s="15" t="n">
        <v>3</v>
      </c>
      <c r="J302" s="15" t="n">
        <v>8</v>
      </c>
      <c r="K302" s="15" t="n">
        <v>8</v>
      </c>
      <c r="L302" s="15" t="n">
        <v>8</v>
      </c>
      <c r="M302" s="4" t="n">
        <f aca="false">ROUND(F302*Rubric!$B$4+G302*Rubric!$B$5+H302*Rubric!$B$6+I302*Rubric!$B$7+J302*Rubric!$B$8+K302*Rubric!$B$9+L302*Rubric!$B$10-IF(OR(H302&lt;Rubric!$B$12,K302&lt;Rubric!$B$12),Rubric!$B$13,0),2)</f>
        <v>7.55</v>
      </c>
      <c r="N302" s="14" t="n">
        <v>1143</v>
      </c>
      <c r="O302" s="2" t="s">
        <v>726</v>
      </c>
    </row>
    <row r="303" customFormat="false" ht="23.85" hidden="false" customHeight="false" outlineLevel="0" collapsed="false">
      <c r="A303" s="2" t="s">
        <v>163</v>
      </c>
      <c r="B303" s="2" t="s">
        <v>164</v>
      </c>
      <c r="C303" s="14" t="n">
        <v>1</v>
      </c>
      <c r="D303" s="14" t="n">
        <v>4</v>
      </c>
      <c r="E303" s="2" t="s">
        <v>491</v>
      </c>
      <c r="F303" s="15" t="n">
        <v>9</v>
      </c>
      <c r="G303" s="15" t="n">
        <v>8</v>
      </c>
      <c r="H303" s="15" t="n">
        <v>8</v>
      </c>
      <c r="I303" s="15" t="n">
        <v>3</v>
      </c>
      <c r="J303" s="15" t="n">
        <v>9</v>
      </c>
      <c r="K303" s="15" t="n">
        <v>8</v>
      </c>
      <c r="L303" s="15" t="n">
        <v>7</v>
      </c>
      <c r="M303" s="4" t="n">
        <f aca="false">ROUND(F303*Rubric!$B$4+G303*Rubric!$B$5+H303*Rubric!$B$6+I303*Rubric!$B$7+J303*Rubric!$B$8+K303*Rubric!$B$9+L303*Rubric!$B$10-IF(OR(H303&lt;Rubric!$B$12,K303&lt;Rubric!$B$12),Rubric!$B$13,0),2)</f>
        <v>7.85</v>
      </c>
      <c r="N303" s="14" t="n">
        <v>1143</v>
      </c>
      <c r="O303" s="2" t="s">
        <v>754</v>
      </c>
    </row>
    <row r="304" customFormat="false" ht="23.85" hidden="false" customHeight="false" outlineLevel="0" collapsed="false">
      <c r="A304" s="2" t="s">
        <v>163</v>
      </c>
      <c r="B304" s="2" t="s">
        <v>164</v>
      </c>
      <c r="C304" s="14" t="n">
        <v>0</v>
      </c>
      <c r="D304" s="14" t="n">
        <v>5</v>
      </c>
      <c r="E304" s="2" t="s">
        <v>359</v>
      </c>
      <c r="F304" s="15" t="n">
        <v>9</v>
      </c>
      <c r="G304" s="15" t="n">
        <v>8</v>
      </c>
      <c r="H304" s="15" t="n">
        <v>8</v>
      </c>
      <c r="I304" s="15" t="n">
        <v>4</v>
      </c>
      <c r="J304" s="15" t="n">
        <v>7</v>
      </c>
      <c r="K304" s="15" t="n">
        <v>8</v>
      </c>
      <c r="L304" s="15" t="n">
        <v>7</v>
      </c>
      <c r="M304" s="4" t="n">
        <f aca="false">ROUND(F304*Rubric!$B$4+G304*Rubric!$B$5+H304*Rubric!$B$6+I304*Rubric!$B$7+J304*Rubric!$B$8+K304*Rubric!$B$9+L304*Rubric!$B$10-IF(OR(H304&lt;Rubric!$B$12,K304&lt;Rubric!$B$12),Rubric!$B$13,0),2)</f>
        <v>7.15</v>
      </c>
      <c r="N304" s="14" t="n">
        <v>1144</v>
      </c>
      <c r="O304" s="2" t="s">
        <v>726</v>
      </c>
    </row>
    <row r="305" customFormat="false" ht="23.85" hidden="false" customHeight="false" outlineLevel="0" collapsed="false">
      <c r="A305" s="2" t="s">
        <v>163</v>
      </c>
      <c r="B305" s="2" t="s">
        <v>164</v>
      </c>
      <c r="C305" s="14" t="n">
        <v>1</v>
      </c>
      <c r="D305" s="14" t="n">
        <v>5</v>
      </c>
      <c r="E305" s="2" t="s">
        <v>492</v>
      </c>
      <c r="F305" s="15" t="n">
        <v>8</v>
      </c>
      <c r="G305" s="15" t="n">
        <v>8</v>
      </c>
      <c r="H305" s="15" t="n">
        <v>8</v>
      </c>
      <c r="I305" s="15" t="n">
        <v>2</v>
      </c>
      <c r="J305" s="15" t="n">
        <v>9</v>
      </c>
      <c r="K305" s="15" t="n">
        <v>8</v>
      </c>
      <c r="L305" s="15" t="n">
        <v>8</v>
      </c>
      <c r="M305" s="4" t="n">
        <f aca="false">ROUND(F305*Rubric!$B$4+G305*Rubric!$B$5+H305*Rubric!$B$6+I305*Rubric!$B$7+J305*Rubric!$B$8+K305*Rubric!$B$9+L305*Rubric!$B$10-IF(OR(H305&lt;Rubric!$B$12,K305&lt;Rubric!$B$12),Rubric!$B$13,0),2)</f>
        <v>7.8</v>
      </c>
      <c r="N305" s="14" t="n">
        <v>1144</v>
      </c>
      <c r="O305" s="2" t="s">
        <v>754</v>
      </c>
    </row>
    <row r="306" customFormat="false" ht="23.85" hidden="false" customHeight="false" outlineLevel="0" collapsed="false">
      <c r="A306" s="2" t="s">
        <v>169</v>
      </c>
      <c r="B306" s="2" t="s">
        <v>170</v>
      </c>
      <c r="C306" s="14" t="n">
        <v>0</v>
      </c>
      <c r="D306" s="14" t="n">
        <v>1</v>
      </c>
      <c r="E306" s="2" t="s">
        <v>358</v>
      </c>
      <c r="F306" s="15" t="n">
        <v>9</v>
      </c>
      <c r="G306" s="15" t="n">
        <v>9</v>
      </c>
      <c r="H306" s="15" t="n">
        <v>8</v>
      </c>
      <c r="I306" s="15" t="n">
        <v>4</v>
      </c>
      <c r="J306" s="15" t="n">
        <v>6</v>
      </c>
      <c r="K306" s="15" t="n">
        <v>9</v>
      </c>
      <c r="L306" s="15" t="n">
        <v>8</v>
      </c>
      <c r="M306" s="4" t="n">
        <f aca="false">ROUND(F306*Rubric!$B$4+G306*Rubric!$B$5+H306*Rubric!$B$6+I306*Rubric!$B$7+J306*Rubric!$B$8+K306*Rubric!$B$9+L306*Rubric!$B$10-IF(OR(H306&lt;Rubric!$B$12,K306&lt;Rubric!$B$12),Rubric!$B$13,0),2)</f>
        <v>7.1</v>
      </c>
      <c r="N306" s="14" t="n">
        <v>1150</v>
      </c>
      <c r="O306" s="2" t="s">
        <v>726</v>
      </c>
    </row>
    <row r="307" customFormat="false" ht="23.85" hidden="false" customHeight="false" outlineLevel="0" collapsed="false">
      <c r="A307" s="2" t="s">
        <v>169</v>
      </c>
      <c r="B307" s="2" t="s">
        <v>170</v>
      </c>
      <c r="C307" s="14" t="n">
        <v>1</v>
      </c>
      <c r="D307" s="14" t="n">
        <v>1</v>
      </c>
      <c r="E307" s="2" t="s">
        <v>493</v>
      </c>
      <c r="F307" s="15" t="n">
        <v>8</v>
      </c>
      <c r="G307" s="15" t="n">
        <v>9</v>
      </c>
      <c r="H307" s="15" t="n">
        <v>8</v>
      </c>
      <c r="I307" s="15" t="n">
        <v>3</v>
      </c>
      <c r="J307" s="15" t="n">
        <v>9</v>
      </c>
      <c r="K307" s="15" t="n">
        <v>9</v>
      </c>
      <c r="L307" s="15" t="n">
        <v>8</v>
      </c>
      <c r="M307" s="4" t="n">
        <f aca="false">ROUND(F307*Rubric!$B$4+G307*Rubric!$B$5+H307*Rubric!$B$6+I307*Rubric!$B$7+J307*Rubric!$B$8+K307*Rubric!$B$9+L307*Rubric!$B$10-IF(OR(H307&lt;Rubric!$B$12,K307&lt;Rubric!$B$12),Rubric!$B$13,0),2)</f>
        <v>8.15</v>
      </c>
      <c r="N307" s="14" t="n">
        <v>1150</v>
      </c>
      <c r="O307" s="2" t="s">
        <v>757</v>
      </c>
    </row>
    <row r="308" customFormat="false" ht="23.85" hidden="false" customHeight="false" outlineLevel="0" collapsed="false">
      <c r="A308" s="2" t="s">
        <v>169</v>
      </c>
      <c r="B308" s="2" t="s">
        <v>170</v>
      </c>
      <c r="C308" s="14" t="n">
        <v>0</v>
      </c>
      <c r="D308" s="14" t="n">
        <v>2</v>
      </c>
      <c r="E308" s="2" t="s">
        <v>363</v>
      </c>
      <c r="F308" s="15" t="n">
        <v>9</v>
      </c>
      <c r="G308" s="15" t="n">
        <v>9</v>
      </c>
      <c r="H308" s="15" t="n">
        <v>8</v>
      </c>
      <c r="I308" s="15" t="n">
        <v>3</v>
      </c>
      <c r="J308" s="15" t="n">
        <v>6</v>
      </c>
      <c r="K308" s="15" t="n">
        <v>9</v>
      </c>
      <c r="L308" s="15" t="n">
        <v>9</v>
      </c>
      <c r="M308" s="4" t="n">
        <f aca="false">ROUND(F308*Rubric!$B$4+G308*Rubric!$B$5+H308*Rubric!$B$6+I308*Rubric!$B$7+J308*Rubric!$B$8+K308*Rubric!$B$9+L308*Rubric!$B$10-IF(OR(H308&lt;Rubric!$B$12,K308&lt;Rubric!$B$12),Rubric!$B$13,0),2)</f>
        <v>7.1</v>
      </c>
      <c r="N308" s="14" t="n">
        <v>1151</v>
      </c>
      <c r="O308" s="2" t="s">
        <v>726</v>
      </c>
    </row>
    <row r="309" customFormat="false" ht="23.85" hidden="false" customHeight="false" outlineLevel="0" collapsed="false">
      <c r="A309" s="2" t="s">
        <v>169</v>
      </c>
      <c r="B309" s="2" t="s">
        <v>170</v>
      </c>
      <c r="C309" s="14" t="n">
        <v>1</v>
      </c>
      <c r="D309" s="14" t="n">
        <v>2</v>
      </c>
      <c r="E309" s="2" t="s">
        <v>494</v>
      </c>
      <c r="F309" s="15" t="n">
        <v>8</v>
      </c>
      <c r="G309" s="15" t="n">
        <v>9</v>
      </c>
      <c r="H309" s="15" t="n">
        <v>8</v>
      </c>
      <c r="I309" s="15" t="n">
        <v>3</v>
      </c>
      <c r="J309" s="15" t="n">
        <v>8</v>
      </c>
      <c r="K309" s="15" t="n">
        <v>9</v>
      </c>
      <c r="L309" s="15" t="n">
        <v>9</v>
      </c>
      <c r="M309" s="4" t="n">
        <f aca="false">ROUND(F309*Rubric!$B$4+G309*Rubric!$B$5+H309*Rubric!$B$6+I309*Rubric!$B$7+J309*Rubric!$B$8+K309*Rubric!$B$9+L309*Rubric!$B$10-IF(OR(H309&lt;Rubric!$B$12,K309&lt;Rubric!$B$12),Rubric!$B$13,0),2)</f>
        <v>7.85</v>
      </c>
      <c r="N309" s="14" t="n">
        <v>1151</v>
      </c>
      <c r="O309" s="2" t="s">
        <v>757</v>
      </c>
    </row>
    <row r="310" customFormat="false" ht="23.85" hidden="false" customHeight="false" outlineLevel="0" collapsed="false">
      <c r="A310" s="2" t="s">
        <v>169</v>
      </c>
      <c r="B310" s="2" t="s">
        <v>170</v>
      </c>
      <c r="C310" s="14" t="n">
        <v>0</v>
      </c>
      <c r="D310" s="14" t="n">
        <v>3</v>
      </c>
      <c r="E310" s="2" t="s">
        <v>374</v>
      </c>
      <c r="F310" s="15" t="n">
        <v>9</v>
      </c>
      <c r="G310" s="15" t="n">
        <v>9</v>
      </c>
      <c r="H310" s="15" t="n">
        <v>8</v>
      </c>
      <c r="I310" s="15" t="n">
        <v>3</v>
      </c>
      <c r="J310" s="15" t="n">
        <v>5</v>
      </c>
      <c r="K310" s="15" t="n">
        <v>9</v>
      </c>
      <c r="L310" s="15" t="n">
        <v>8</v>
      </c>
      <c r="M310" s="4" t="n">
        <f aca="false">ROUND(F310*Rubric!$B$4+G310*Rubric!$B$5+H310*Rubric!$B$6+I310*Rubric!$B$7+J310*Rubric!$B$8+K310*Rubric!$B$9+L310*Rubric!$B$10-IF(OR(H310&lt;Rubric!$B$12,K310&lt;Rubric!$B$12),Rubric!$B$13,0),2)</f>
        <v>6.6</v>
      </c>
      <c r="N310" s="14" t="n">
        <v>1152</v>
      </c>
      <c r="O310" s="2" t="s">
        <v>726</v>
      </c>
    </row>
    <row r="311" customFormat="false" ht="23.85" hidden="false" customHeight="false" outlineLevel="0" collapsed="false">
      <c r="A311" s="2" t="s">
        <v>169</v>
      </c>
      <c r="B311" s="2" t="s">
        <v>170</v>
      </c>
      <c r="C311" s="14" t="n">
        <v>1</v>
      </c>
      <c r="D311" s="14" t="n">
        <v>3</v>
      </c>
      <c r="E311" s="2" t="s">
        <v>495</v>
      </c>
      <c r="F311" s="15" t="n">
        <v>7</v>
      </c>
      <c r="G311" s="15" t="n">
        <v>8</v>
      </c>
      <c r="H311" s="15" t="n">
        <v>8</v>
      </c>
      <c r="I311" s="15" t="n">
        <v>4</v>
      </c>
      <c r="J311" s="15" t="n">
        <v>8</v>
      </c>
      <c r="K311" s="15" t="n">
        <v>7</v>
      </c>
      <c r="L311" s="15" t="n">
        <v>9</v>
      </c>
      <c r="M311" s="4" t="n">
        <f aca="false">ROUND(F311*Rubric!$B$4+G311*Rubric!$B$5+H311*Rubric!$B$6+I311*Rubric!$B$7+J311*Rubric!$B$8+K311*Rubric!$B$9+L311*Rubric!$B$10-IF(OR(H311&lt;Rubric!$B$12,K311&lt;Rubric!$B$12),Rubric!$B$13,0),2)</f>
        <v>7.55</v>
      </c>
      <c r="N311" s="14" t="n">
        <v>1152</v>
      </c>
      <c r="O311" s="2" t="s">
        <v>757</v>
      </c>
    </row>
    <row r="312" customFormat="false" ht="23.85" hidden="false" customHeight="false" outlineLevel="0" collapsed="false">
      <c r="A312" s="2" t="s">
        <v>169</v>
      </c>
      <c r="B312" s="2" t="s">
        <v>170</v>
      </c>
      <c r="C312" s="14" t="n">
        <v>0</v>
      </c>
      <c r="D312" s="14" t="n">
        <v>4</v>
      </c>
      <c r="E312" s="2" t="s">
        <v>410</v>
      </c>
      <c r="F312" s="15" t="n">
        <v>9</v>
      </c>
      <c r="G312" s="15" t="n">
        <v>8</v>
      </c>
      <c r="H312" s="15" t="n">
        <v>8</v>
      </c>
      <c r="I312" s="15" t="n">
        <v>5</v>
      </c>
      <c r="J312" s="15" t="n">
        <v>5</v>
      </c>
      <c r="K312" s="15" t="n">
        <v>7</v>
      </c>
      <c r="L312" s="15" t="n">
        <v>8</v>
      </c>
      <c r="M312" s="4" t="n">
        <f aca="false">ROUND(F312*Rubric!$B$4+G312*Rubric!$B$5+H312*Rubric!$B$6+I312*Rubric!$B$7+J312*Rubric!$B$8+K312*Rubric!$B$9+L312*Rubric!$B$10-IF(OR(H312&lt;Rubric!$B$12,K312&lt;Rubric!$B$12),Rubric!$B$13,0),2)</f>
        <v>6.45</v>
      </c>
      <c r="N312" s="14" t="n">
        <v>1153</v>
      </c>
      <c r="O312" s="2" t="s">
        <v>726</v>
      </c>
    </row>
    <row r="313" customFormat="false" ht="23.85" hidden="false" customHeight="false" outlineLevel="0" collapsed="false">
      <c r="A313" s="2" t="s">
        <v>169</v>
      </c>
      <c r="B313" s="2" t="s">
        <v>170</v>
      </c>
      <c r="C313" s="14" t="n">
        <v>1</v>
      </c>
      <c r="D313" s="14" t="n">
        <v>4</v>
      </c>
      <c r="E313" s="2" t="s">
        <v>758</v>
      </c>
      <c r="F313" s="15" t="n">
        <v>7</v>
      </c>
      <c r="G313" s="15" t="n">
        <v>7</v>
      </c>
      <c r="H313" s="15" t="n">
        <v>8</v>
      </c>
      <c r="I313" s="15" t="n">
        <v>7</v>
      </c>
      <c r="J313" s="15" t="n">
        <v>7</v>
      </c>
      <c r="K313" s="15" t="n">
        <v>8</v>
      </c>
      <c r="L313" s="15" t="n">
        <v>7</v>
      </c>
      <c r="M313" s="4" t="n">
        <f aca="false">ROUND(F313*Rubric!$B$4+G313*Rubric!$B$5+H313*Rubric!$B$6+I313*Rubric!$B$7+J313*Rubric!$B$8+K313*Rubric!$B$9+L313*Rubric!$B$10-IF(OR(H313&lt;Rubric!$B$12,K313&lt;Rubric!$B$12),Rubric!$B$13,0),2)</f>
        <v>7.2</v>
      </c>
      <c r="N313" s="14" t="n">
        <v>1153</v>
      </c>
      <c r="O313" s="2" t="s">
        <v>757</v>
      </c>
    </row>
    <row r="314" customFormat="false" ht="23.85" hidden="false" customHeight="false" outlineLevel="0" collapsed="false">
      <c r="A314" s="2" t="s">
        <v>169</v>
      </c>
      <c r="B314" s="2" t="s">
        <v>170</v>
      </c>
      <c r="C314" s="14" t="n">
        <v>2</v>
      </c>
      <c r="D314" s="14" t="n">
        <v>4</v>
      </c>
      <c r="E314" s="2" t="s">
        <v>496</v>
      </c>
      <c r="F314" s="15" t="n">
        <v>7</v>
      </c>
      <c r="G314" s="15" t="n">
        <v>7</v>
      </c>
      <c r="H314" s="15" t="n">
        <v>8</v>
      </c>
      <c r="I314" s="15" t="n">
        <v>7</v>
      </c>
      <c r="J314" s="15" t="n">
        <v>8</v>
      </c>
      <c r="K314" s="15" t="n">
        <v>8</v>
      </c>
      <c r="L314" s="15" t="n">
        <v>7</v>
      </c>
      <c r="M314" s="4" t="n">
        <f aca="false">ROUND(F314*Rubric!$B$4+G314*Rubric!$B$5+H314*Rubric!$B$6+I314*Rubric!$B$7+J314*Rubric!$B$8+K314*Rubric!$B$9+L314*Rubric!$B$10-IF(OR(H314&lt;Rubric!$B$12,K314&lt;Rubric!$B$12),Rubric!$B$13,0),2)</f>
        <v>7.6</v>
      </c>
      <c r="N314" s="14" t="n">
        <v>1153</v>
      </c>
      <c r="O314" s="2" t="s">
        <v>759</v>
      </c>
    </row>
    <row r="315" customFormat="false" ht="23.85" hidden="false" customHeight="false" outlineLevel="0" collapsed="false">
      <c r="A315" s="2" t="s">
        <v>169</v>
      </c>
      <c r="B315" s="2" t="s">
        <v>170</v>
      </c>
      <c r="C315" s="14" t="n">
        <v>0</v>
      </c>
      <c r="D315" s="14" t="n">
        <v>5</v>
      </c>
      <c r="E315" s="2" t="s">
        <v>381</v>
      </c>
      <c r="F315" s="15" t="n">
        <v>8</v>
      </c>
      <c r="G315" s="15" t="n">
        <v>8</v>
      </c>
      <c r="H315" s="15" t="n">
        <v>8</v>
      </c>
      <c r="I315" s="15" t="n">
        <v>8</v>
      </c>
      <c r="J315" s="15" t="n">
        <v>3</v>
      </c>
      <c r="K315" s="15" t="n">
        <v>7</v>
      </c>
      <c r="L315" s="15" t="n">
        <v>8</v>
      </c>
      <c r="M315" s="4" t="n">
        <f aca="false">ROUND(F315*Rubric!$B$4+G315*Rubric!$B$5+H315*Rubric!$B$6+I315*Rubric!$B$7+J315*Rubric!$B$8+K315*Rubric!$B$9+L315*Rubric!$B$10-IF(OR(H315&lt;Rubric!$B$12,K315&lt;Rubric!$B$12),Rubric!$B$13,0),2)</f>
        <v>5.9</v>
      </c>
      <c r="N315" s="14" t="n">
        <v>1154</v>
      </c>
      <c r="O315" s="2" t="s">
        <v>726</v>
      </c>
    </row>
    <row r="316" customFormat="false" ht="23.85" hidden="false" customHeight="false" outlineLevel="0" collapsed="false">
      <c r="A316" s="2" t="s">
        <v>169</v>
      </c>
      <c r="B316" s="2" t="s">
        <v>170</v>
      </c>
      <c r="C316" s="14" t="n">
        <v>1</v>
      </c>
      <c r="D316" s="14" t="n">
        <v>5</v>
      </c>
      <c r="E316" s="2" t="s">
        <v>760</v>
      </c>
      <c r="F316" s="15" t="n">
        <v>7</v>
      </c>
      <c r="G316" s="15" t="n">
        <v>8</v>
      </c>
      <c r="H316" s="15" t="n">
        <v>8</v>
      </c>
      <c r="I316" s="15" t="n">
        <v>3</v>
      </c>
      <c r="J316" s="15" t="n">
        <v>8</v>
      </c>
      <c r="K316" s="15" t="n">
        <v>8</v>
      </c>
      <c r="L316" s="15" t="n">
        <v>8</v>
      </c>
      <c r="M316" s="4" t="n">
        <f aca="false">ROUND(F316*Rubric!$B$4+G316*Rubric!$B$5+H316*Rubric!$B$6+I316*Rubric!$B$7+J316*Rubric!$B$8+K316*Rubric!$B$9+L316*Rubric!$B$10-IF(OR(H316&lt;Rubric!$B$12,K316&lt;Rubric!$B$12),Rubric!$B$13,0),2)</f>
        <v>7.45</v>
      </c>
      <c r="N316" s="14" t="n">
        <v>1154</v>
      </c>
      <c r="O316" s="2" t="s">
        <v>757</v>
      </c>
    </row>
    <row r="317" customFormat="false" ht="23.85" hidden="false" customHeight="false" outlineLevel="0" collapsed="false">
      <c r="A317" s="2" t="s">
        <v>169</v>
      </c>
      <c r="B317" s="2" t="s">
        <v>170</v>
      </c>
      <c r="C317" s="14" t="n">
        <v>3</v>
      </c>
      <c r="D317" s="14" t="n">
        <v>5</v>
      </c>
      <c r="E317" s="2" t="s">
        <v>497</v>
      </c>
      <c r="F317" s="15" t="n">
        <v>7</v>
      </c>
      <c r="G317" s="15" t="n">
        <v>9</v>
      </c>
      <c r="H317" s="15" t="n">
        <v>8</v>
      </c>
      <c r="I317" s="15" t="n">
        <v>3</v>
      </c>
      <c r="J317" s="15" t="n">
        <v>9</v>
      </c>
      <c r="K317" s="15" t="n">
        <v>8</v>
      </c>
      <c r="L317" s="15" t="n">
        <v>8</v>
      </c>
      <c r="M317" s="4" t="n">
        <f aca="false">ROUND(F317*Rubric!$B$4+G317*Rubric!$B$5+H317*Rubric!$B$6+I317*Rubric!$B$7+J317*Rubric!$B$8+K317*Rubric!$B$9+L317*Rubric!$B$10-IF(OR(H317&lt;Rubric!$B$12,K317&lt;Rubric!$B$12),Rubric!$B$13,0),2)</f>
        <v>8</v>
      </c>
      <c r="N317" s="14" t="n">
        <v>1154</v>
      </c>
      <c r="O317" s="2" t="s">
        <v>761</v>
      </c>
    </row>
    <row r="318" customFormat="false" ht="23.85" hidden="false" customHeight="false" outlineLevel="0" collapsed="false">
      <c r="A318" s="2" t="s">
        <v>175</v>
      </c>
      <c r="B318" s="2" t="s">
        <v>176</v>
      </c>
      <c r="C318" s="14" t="n">
        <v>0</v>
      </c>
      <c r="D318" s="14" t="n">
        <v>1</v>
      </c>
      <c r="E318" s="2" t="s">
        <v>381</v>
      </c>
      <c r="F318" s="15" t="n">
        <v>8</v>
      </c>
      <c r="G318" s="15" t="n">
        <v>8</v>
      </c>
      <c r="H318" s="15" t="n">
        <v>8</v>
      </c>
      <c r="I318" s="15" t="n">
        <v>8</v>
      </c>
      <c r="J318" s="15" t="n">
        <v>9</v>
      </c>
      <c r="K318" s="15" t="n">
        <v>7</v>
      </c>
      <c r="L318" s="15" t="n">
        <v>8</v>
      </c>
      <c r="M318" s="4" t="n">
        <f aca="false">ROUND(F318*Rubric!$B$4+G318*Rubric!$B$5+H318*Rubric!$B$6+I318*Rubric!$B$7+J318*Rubric!$B$8+K318*Rubric!$B$9+L318*Rubric!$B$10-IF(OR(H318&lt;Rubric!$B$12,K318&lt;Rubric!$B$12),Rubric!$B$13,0),2)</f>
        <v>8.3</v>
      </c>
      <c r="N318" s="14" t="n">
        <v>1160</v>
      </c>
      <c r="O318" s="2" t="s">
        <v>726</v>
      </c>
    </row>
    <row r="319" customFormat="false" ht="23.85" hidden="false" customHeight="false" outlineLevel="0" collapsed="false">
      <c r="A319" s="2" t="s">
        <v>175</v>
      </c>
      <c r="B319" s="2" t="s">
        <v>176</v>
      </c>
      <c r="C319" s="14" t="n">
        <v>1</v>
      </c>
      <c r="D319" s="14" t="n">
        <v>1</v>
      </c>
      <c r="E319" s="2" t="s">
        <v>498</v>
      </c>
      <c r="F319" s="15" t="n">
        <v>6</v>
      </c>
      <c r="G319" s="15" t="n">
        <v>8</v>
      </c>
      <c r="H319" s="15" t="n">
        <v>8</v>
      </c>
      <c r="I319" s="15" t="n">
        <v>4</v>
      </c>
      <c r="J319" s="15" t="n">
        <v>10</v>
      </c>
      <c r="K319" s="15" t="n">
        <v>8</v>
      </c>
      <c r="L319" s="15" t="n">
        <v>8</v>
      </c>
      <c r="M319" s="4" t="n">
        <f aca="false">ROUND(F319*Rubric!$B$4+G319*Rubric!$B$5+H319*Rubric!$B$6+I319*Rubric!$B$7+J319*Rubric!$B$8+K319*Rubric!$B$9+L319*Rubric!$B$10-IF(OR(H319&lt;Rubric!$B$12,K319&lt;Rubric!$B$12),Rubric!$B$13,0),2)</f>
        <v>8.3</v>
      </c>
      <c r="N319" s="14" t="n">
        <v>1160</v>
      </c>
      <c r="O319" s="2" t="s">
        <v>762</v>
      </c>
    </row>
    <row r="320" customFormat="false" ht="23.85" hidden="false" customHeight="false" outlineLevel="0" collapsed="false">
      <c r="A320" s="2" t="s">
        <v>175</v>
      </c>
      <c r="B320" s="2" t="s">
        <v>176</v>
      </c>
      <c r="C320" s="14" t="n">
        <v>0</v>
      </c>
      <c r="D320" s="14" t="n">
        <v>2</v>
      </c>
      <c r="E320" s="2" t="s">
        <v>407</v>
      </c>
      <c r="F320" s="15" t="n">
        <v>8</v>
      </c>
      <c r="G320" s="15" t="n">
        <v>8</v>
      </c>
      <c r="H320" s="15" t="n">
        <v>7</v>
      </c>
      <c r="I320" s="15" t="n">
        <v>10</v>
      </c>
      <c r="J320" s="15" t="n">
        <v>8</v>
      </c>
      <c r="K320" s="15" t="n">
        <v>7</v>
      </c>
      <c r="L320" s="15" t="n">
        <v>9</v>
      </c>
      <c r="M320" s="4" t="n">
        <f aca="false">ROUND(F320*Rubric!$B$4+G320*Rubric!$B$5+H320*Rubric!$B$6+I320*Rubric!$B$7+J320*Rubric!$B$8+K320*Rubric!$B$9+L320*Rubric!$B$10-IF(OR(H320&lt;Rubric!$B$12,K320&lt;Rubric!$B$12),Rubric!$B$13,0),2)</f>
        <v>8.1</v>
      </c>
      <c r="N320" s="14" t="n">
        <v>1161</v>
      </c>
      <c r="O320" s="2" t="s">
        <v>726</v>
      </c>
    </row>
    <row r="321" customFormat="false" ht="23.85" hidden="false" customHeight="false" outlineLevel="0" collapsed="false">
      <c r="A321" s="2" t="s">
        <v>175</v>
      </c>
      <c r="B321" s="2" t="s">
        <v>176</v>
      </c>
      <c r="C321" s="14" t="n">
        <v>1</v>
      </c>
      <c r="D321" s="14" t="n">
        <v>2</v>
      </c>
      <c r="E321" s="2" t="s">
        <v>381</v>
      </c>
      <c r="F321" s="15" t="n">
        <v>8</v>
      </c>
      <c r="G321" s="15" t="n">
        <v>8</v>
      </c>
      <c r="H321" s="15" t="n">
        <v>8</v>
      </c>
      <c r="I321" s="15" t="n">
        <v>9</v>
      </c>
      <c r="J321" s="15" t="n">
        <v>10</v>
      </c>
      <c r="K321" s="15" t="n">
        <v>7</v>
      </c>
      <c r="L321" s="15" t="n">
        <v>8</v>
      </c>
      <c r="M321" s="4" t="n">
        <f aca="false">ROUND(F321*Rubric!$B$4+G321*Rubric!$B$5+H321*Rubric!$B$6+I321*Rubric!$B$7+J321*Rubric!$B$8+K321*Rubric!$B$9+L321*Rubric!$B$10-IF(OR(H321&lt;Rubric!$B$12,K321&lt;Rubric!$B$12),Rubric!$B$13,0),2)</f>
        <v>8.8</v>
      </c>
      <c r="N321" s="14" t="n">
        <v>1161</v>
      </c>
      <c r="O321" s="2" t="s">
        <v>762</v>
      </c>
    </row>
    <row r="322" customFormat="false" ht="23.85" hidden="false" customHeight="false" outlineLevel="0" collapsed="false">
      <c r="A322" s="2" t="s">
        <v>175</v>
      </c>
      <c r="B322" s="2" t="s">
        <v>176</v>
      </c>
      <c r="C322" s="14" t="n">
        <v>0</v>
      </c>
      <c r="D322" s="14" t="n">
        <v>3</v>
      </c>
      <c r="E322" s="2" t="s">
        <v>372</v>
      </c>
      <c r="F322" s="15" t="n">
        <v>8</v>
      </c>
      <c r="G322" s="15" t="n">
        <v>8</v>
      </c>
      <c r="H322" s="15" t="n">
        <v>8</v>
      </c>
      <c r="I322" s="15" t="n">
        <v>3</v>
      </c>
      <c r="J322" s="15" t="n">
        <v>7</v>
      </c>
      <c r="K322" s="15" t="n">
        <v>8</v>
      </c>
      <c r="L322" s="15" t="n">
        <v>7</v>
      </c>
      <c r="M322" s="4" t="n">
        <f aca="false">ROUND(F322*Rubric!$B$4+G322*Rubric!$B$5+H322*Rubric!$B$6+I322*Rubric!$B$7+J322*Rubric!$B$8+K322*Rubric!$B$9+L322*Rubric!$B$10-IF(OR(H322&lt;Rubric!$B$12,K322&lt;Rubric!$B$12),Rubric!$B$13,0),2)</f>
        <v>7</v>
      </c>
      <c r="N322" s="14" t="n">
        <v>1162</v>
      </c>
      <c r="O322" s="2" t="s">
        <v>726</v>
      </c>
    </row>
    <row r="323" customFormat="false" ht="23.85" hidden="false" customHeight="false" outlineLevel="0" collapsed="false">
      <c r="A323" s="2" t="s">
        <v>175</v>
      </c>
      <c r="B323" s="2" t="s">
        <v>176</v>
      </c>
      <c r="C323" s="14" t="n">
        <v>1</v>
      </c>
      <c r="D323" s="14" t="n">
        <v>3</v>
      </c>
      <c r="E323" s="2" t="s">
        <v>435</v>
      </c>
      <c r="F323" s="15" t="n">
        <v>9</v>
      </c>
      <c r="G323" s="15" t="n">
        <v>8</v>
      </c>
      <c r="H323" s="15" t="n">
        <v>7</v>
      </c>
      <c r="I323" s="15" t="n">
        <v>10</v>
      </c>
      <c r="J323" s="15" t="n">
        <v>10</v>
      </c>
      <c r="K323" s="15" t="n">
        <v>7</v>
      </c>
      <c r="L323" s="15" t="n">
        <v>9</v>
      </c>
      <c r="M323" s="4" t="n">
        <f aca="false">ROUND(F323*Rubric!$B$4+G323*Rubric!$B$5+H323*Rubric!$B$6+I323*Rubric!$B$7+J323*Rubric!$B$8+K323*Rubric!$B$9+L323*Rubric!$B$10-IF(OR(H323&lt;Rubric!$B$12,K323&lt;Rubric!$B$12),Rubric!$B$13,0),2)</f>
        <v>8.95</v>
      </c>
      <c r="N323" s="14" t="n">
        <v>1162</v>
      </c>
      <c r="O323" s="2" t="s">
        <v>762</v>
      </c>
    </row>
    <row r="324" customFormat="false" ht="23.85" hidden="false" customHeight="false" outlineLevel="0" collapsed="false">
      <c r="A324" s="2" t="s">
        <v>175</v>
      </c>
      <c r="B324" s="2" t="s">
        <v>176</v>
      </c>
      <c r="C324" s="14" t="n">
        <v>0</v>
      </c>
      <c r="D324" s="14" t="n">
        <v>4</v>
      </c>
      <c r="E324" s="2" t="s">
        <v>379</v>
      </c>
      <c r="F324" s="15" t="n">
        <v>9</v>
      </c>
      <c r="G324" s="15" t="n">
        <v>8</v>
      </c>
      <c r="H324" s="15" t="n">
        <v>7</v>
      </c>
      <c r="I324" s="15" t="n">
        <v>4</v>
      </c>
      <c r="J324" s="15" t="n">
        <v>6</v>
      </c>
      <c r="K324" s="15" t="n">
        <v>7</v>
      </c>
      <c r="L324" s="15" t="n">
        <v>7</v>
      </c>
      <c r="M324" s="4" t="n">
        <f aca="false">ROUND(F324*Rubric!$B$4+G324*Rubric!$B$5+H324*Rubric!$B$6+I324*Rubric!$B$7+J324*Rubric!$B$8+K324*Rubric!$B$9+L324*Rubric!$B$10-IF(OR(H324&lt;Rubric!$B$12,K324&lt;Rubric!$B$12),Rubric!$B$13,0),2)</f>
        <v>6.55</v>
      </c>
      <c r="N324" s="14" t="n">
        <v>1163</v>
      </c>
      <c r="O324" s="2" t="s">
        <v>726</v>
      </c>
    </row>
    <row r="325" customFormat="false" ht="23.85" hidden="false" customHeight="false" outlineLevel="0" collapsed="false">
      <c r="A325" s="2" t="s">
        <v>175</v>
      </c>
      <c r="B325" s="2" t="s">
        <v>176</v>
      </c>
      <c r="C325" s="14" t="n">
        <v>1</v>
      </c>
      <c r="D325" s="14" t="n">
        <v>4</v>
      </c>
      <c r="E325" s="2" t="s">
        <v>535</v>
      </c>
      <c r="F325" s="15" t="n">
        <v>9</v>
      </c>
      <c r="G325" s="15" t="n">
        <v>8</v>
      </c>
      <c r="H325" s="15" t="n">
        <v>8</v>
      </c>
      <c r="I325" s="15" t="n">
        <v>3</v>
      </c>
      <c r="J325" s="15" t="n">
        <v>8</v>
      </c>
      <c r="K325" s="15" t="n">
        <v>8</v>
      </c>
      <c r="L325" s="15" t="n">
        <v>7</v>
      </c>
      <c r="M325" s="4" t="n">
        <f aca="false">ROUND(F325*Rubric!$B$4+G325*Rubric!$B$5+H325*Rubric!$B$6+I325*Rubric!$B$7+J325*Rubric!$B$8+K325*Rubric!$B$9+L325*Rubric!$B$10-IF(OR(H325&lt;Rubric!$B$12,K325&lt;Rubric!$B$12),Rubric!$B$13,0),2)</f>
        <v>7.45</v>
      </c>
      <c r="N325" s="14" t="n">
        <v>1163</v>
      </c>
      <c r="O325" s="2" t="s">
        <v>762</v>
      </c>
    </row>
    <row r="326" customFormat="false" ht="23.85" hidden="false" customHeight="false" outlineLevel="0" collapsed="false">
      <c r="A326" s="2" t="s">
        <v>175</v>
      </c>
      <c r="B326" s="2" t="s">
        <v>176</v>
      </c>
      <c r="C326" s="14" t="n">
        <v>3</v>
      </c>
      <c r="D326" s="14" t="n">
        <v>4</v>
      </c>
      <c r="E326" s="2" t="s">
        <v>499</v>
      </c>
      <c r="F326" s="15" t="n">
        <v>8</v>
      </c>
      <c r="G326" s="15" t="n">
        <v>8</v>
      </c>
      <c r="H326" s="15" t="n">
        <v>8</v>
      </c>
      <c r="I326" s="15" t="n">
        <v>4</v>
      </c>
      <c r="J326" s="15" t="n">
        <v>9</v>
      </c>
      <c r="K326" s="15" t="n">
        <v>7</v>
      </c>
      <c r="L326" s="15" t="n">
        <v>8</v>
      </c>
      <c r="M326" s="4" t="n">
        <f aca="false">ROUND(F326*Rubric!$B$4+G326*Rubric!$B$5+H326*Rubric!$B$6+I326*Rubric!$B$7+J326*Rubric!$B$8+K326*Rubric!$B$9+L326*Rubric!$B$10-IF(OR(H326&lt;Rubric!$B$12,K326&lt;Rubric!$B$12),Rubric!$B$13,0),2)</f>
        <v>7.9</v>
      </c>
      <c r="N326" s="14" t="n">
        <v>1163</v>
      </c>
      <c r="O326" s="2" t="s">
        <v>763</v>
      </c>
    </row>
    <row r="327" customFormat="false" ht="23.85" hidden="false" customHeight="false" outlineLevel="0" collapsed="false">
      <c r="A327" s="2" t="s">
        <v>175</v>
      </c>
      <c r="B327" s="2" t="s">
        <v>176</v>
      </c>
      <c r="C327" s="14" t="n">
        <v>0</v>
      </c>
      <c r="D327" s="14" t="n">
        <v>5</v>
      </c>
      <c r="E327" s="2" t="s">
        <v>361</v>
      </c>
      <c r="F327" s="15" t="n">
        <v>9</v>
      </c>
      <c r="G327" s="15" t="n">
        <v>7</v>
      </c>
      <c r="H327" s="15" t="n">
        <v>8</v>
      </c>
      <c r="I327" s="15" t="n">
        <v>8</v>
      </c>
      <c r="J327" s="15" t="n">
        <v>8</v>
      </c>
      <c r="K327" s="15" t="n">
        <v>8</v>
      </c>
      <c r="L327" s="15" t="n">
        <v>7</v>
      </c>
      <c r="M327" s="4" t="n">
        <f aca="false">ROUND(F327*Rubric!$B$4+G327*Rubric!$B$5+H327*Rubric!$B$6+I327*Rubric!$B$7+J327*Rubric!$B$8+K327*Rubric!$B$9+L327*Rubric!$B$10-IF(OR(H327&lt;Rubric!$B$12,K327&lt;Rubric!$B$12),Rubric!$B$13,0),2)</f>
        <v>7.8</v>
      </c>
      <c r="N327" s="14" t="n">
        <v>1164</v>
      </c>
      <c r="O327" s="2" t="s">
        <v>726</v>
      </c>
    </row>
    <row r="328" customFormat="false" ht="23.85" hidden="false" customHeight="false" outlineLevel="0" collapsed="false">
      <c r="A328" s="2" t="s">
        <v>175</v>
      </c>
      <c r="B328" s="2" t="s">
        <v>176</v>
      </c>
      <c r="C328" s="14" t="n">
        <v>1</v>
      </c>
      <c r="D328" s="14" t="n">
        <v>5</v>
      </c>
      <c r="E328" s="2" t="s">
        <v>500</v>
      </c>
      <c r="F328" s="15" t="n">
        <v>7</v>
      </c>
      <c r="G328" s="15" t="n">
        <v>7</v>
      </c>
      <c r="H328" s="15" t="n">
        <v>8</v>
      </c>
      <c r="I328" s="15" t="n">
        <v>4</v>
      </c>
      <c r="J328" s="15" t="n">
        <v>9</v>
      </c>
      <c r="K328" s="15" t="n">
        <v>8</v>
      </c>
      <c r="L328" s="15" t="n">
        <v>8</v>
      </c>
      <c r="M328" s="4" t="n">
        <f aca="false">ROUND(F328*Rubric!$B$4+G328*Rubric!$B$5+H328*Rubric!$B$6+I328*Rubric!$B$7+J328*Rubric!$B$8+K328*Rubric!$B$9+L328*Rubric!$B$10-IF(OR(H328&lt;Rubric!$B$12,K328&lt;Rubric!$B$12),Rubric!$B$13,0),2)</f>
        <v>7.8</v>
      </c>
      <c r="N328" s="14" t="n">
        <v>1164</v>
      </c>
      <c r="O328" s="2" t="s">
        <v>762</v>
      </c>
    </row>
    <row r="329" customFormat="false" ht="23.85" hidden="false" customHeight="false" outlineLevel="0" collapsed="false">
      <c r="A329" s="2" t="s">
        <v>180</v>
      </c>
      <c r="B329" s="2" t="s">
        <v>181</v>
      </c>
      <c r="C329" s="14" t="n">
        <v>0</v>
      </c>
      <c r="D329" s="14" t="n">
        <v>1</v>
      </c>
      <c r="E329" s="2" t="s">
        <v>357</v>
      </c>
      <c r="F329" s="15" t="n">
        <v>7</v>
      </c>
      <c r="G329" s="15" t="n">
        <v>8</v>
      </c>
      <c r="H329" s="15" t="n">
        <v>8</v>
      </c>
      <c r="I329" s="15" t="n">
        <v>4</v>
      </c>
      <c r="J329" s="15" t="n">
        <v>6</v>
      </c>
      <c r="K329" s="15" t="n">
        <v>8</v>
      </c>
      <c r="L329" s="15" t="n">
        <v>8</v>
      </c>
      <c r="M329" s="4" t="n">
        <f aca="false">ROUND(F329*Rubric!$B$4+G329*Rubric!$B$5+H329*Rubric!$B$6+I329*Rubric!$B$7+J329*Rubric!$B$8+K329*Rubric!$B$9+L329*Rubric!$B$10-IF(OR(H329&lt;Rubric!$B$12,K329&lt;Rubric!$B$12),Rubric!$B$13,0),2)</f>
        <v>6.75</v>
      </c>
      <c r="N329" s="14" t="n">
        <v>1170</v>
      </c>
      <c r="O329" s="2" t="s">
        <v>726</v>
      </c>
    </row>
    <row r="330" customFormat="false" ht="23.85" hidden="false" customHeight="false" outlineLevel="0" collapsed="false">
      <c r="A330" s="2" t="s">
        <v>180</v>
      </c>
      <c r="B330" s="2" t="s">
        <v>181</v>
      </c>
      <c r="C330" s="14" t="n">
        <v>1</v>
      </c>
      <c r="D330" s="14" t="n">
        <v>1</v>
      </c>
      <c r="E330" s="2" t="s">
        <v>764</v>
      </c>
      <c r="F330" s="15" t="n">
        <v>6</v>
      </c>
      <c r="G330" s="15" t="n">
        <v>8</v>
      </c>
      <c r="H330" s="15" t="n">
        <v>8</v>
      </c>
      <c r="I330" s="15" t="n">
        <v>3</v>
      </c>
      <c r="J330" s="15" t="n">
        <v>8</v>
      </c>
      <c r="K330" s="15" t="n">
        <v>8</v>
      </c>
      <c r="L330" s="15" t="n">
        <v>8</v>
      </c>
      <c r="M330" s="4" t="n">
        <f aca="false">ROUND(F330*Rubric!$B$4+G330*Rubric!$B$5+H330*Rubric!$B$6+I330*Rubric!$B$7+J330*Rubric!$B$8+K330*Rubric!$B$9+L330*Rubric!$B$10-IF(OR(H330&lt;Rubric!$B$12,K330&lt;Rubric!$B$12),Rubric!$B$13,0),2)</f>
        <v>7.4</v>
      </c>
      <c r="N330" s="14" t="n">
        <v>1170</v>
      </c>
      <c r="O330" s="2" t="s">
        <v>765</v>
      </c>
    </row>
    <row r="331" customFormat="false" ht="23.85" hidden="false" customHeight="false" outlineLevel="0" collapsed="false">
      <c r="A331" s="2" t="s">
        <v>180</v>
      </c>
      <c r="B331" s="2" t="s">
        <v>181</v>
      </c>
      <c r="C331" s="14" t="n">
        <v>3</v>
      </c>
      <c r="D331" s="14" t="n">
        <v>1</v>
      </c>
      <c r="E331" s="2" t="s">
        <v>501</v>
      </c>
      <c r="F331" s="15" t="n">
        <v>8</v>
      </c>
      <c r="G331" s="15" t="n">
        <v>8</v>
      </c>
      <c r="H331" s="15" t="n">
        <v>8</v>
      </c>
      <c r="I331" s="15" t="n">
        <v>3</v>
      </c>
      <c r="J331" s="15" t="n">
        <v>8</v>
      </c>
      <c r="K331" s="15" t="n">
        <v>8</v>
      </c>
      <c r="L331" s="15" t="n">
        <v>8</v>
      </c>
      <c r="M331" s="4" t="n">
        <f aca="false">ROUND(F331*Rubric!$B$4+G331*Rubric!$B$5+H331*Rubric!$B$6+I331*Rubric!$B$7+J331*Rubric!$B$8+K331*Rubric!$B$9+L331*Rubric!$B$10-IF(OR(H331&lt;Rubric!$B$12,K331&lt;Rubric!$B$12),Rubric!$B$13,0),2)</f>
        <v>7.5</v>
      </c>
      <c r="N331" s="14" t="n">
        <v>1170</v>
      </c>
      <c r="O331" s="2" t="s">
        <v>766</v>
      </c>
    </row>
    <row r="332" customFormat="false" ht="23.85" hidden="false" customHeight="false" outlineLevel="0" collapsed="false">
      <c r="A332" s="2" t="s">
        <v>180</v>
      </c>
      <c r="B332" s="2" t="s">
        <v>181</v>
      </c>
      <c r="C332" s="14" t="n">
        <v>0</v>
      </c>
      <c r="D332" s="14" t="n">
        <v>2</v>
      </c>
      <c r="E332" s="2" t="s">
        <v>358</v>
      </c>
      <c r="F332" s="15" t="n">
        <v>9</v>
      </c>
      <c r="G332" s="15" t="n">
        <v>9</v>
      </c>
      <c r="H332" s="15" t="n">
        <v>8</v>
      </c>
      <c r="I332" s="15" t="n">
        <v>4</v>
      </c>
      <c r="J332" s="15" t="n">
        <v>6</v>
      </c>
      <c r="K332" s="15" t="n">
        <v>9</v>
      </c>
      <c r="L332" s="15" t="n">
        <v>8</v>
      </c>
      <c r="M332" s="4" t="n">
        <f aca="false">ROUND(F332*Rubric!$B$4+G332*Rubric!$B$5+H332*Rubric!$B$6+I332*Rubric!$B$7+J332*Rubric!$B$8+K332*Rubric!$B$9+L332*Rubric!$B$10-IF(OR(H332&lt;Rubric!$B$12,K332&lt;Rubric!$B$12),Rubric!$B$13,0),2)</f>
        <v>7.1</v>
      </c>
      <c r="N332" s="14" t="n">
        <v>1171</v>
      </c>
      <c r="O332" s="2" t="s">
        <v>726</v>
      </c>
    </row>
    <row r="333" customFormat="false" ht="23.85" hidden="false" customHeight="false" outlineLevel="0" collapsed="false">
      <c r="A333" s="2" t="s">
        <v>180</v>
      </c>
      <c r="B333" s="2" t="s">
        <v>181</v>
      </c>
      <c r="C333" s="14" t="n">
        <v>1</v>
      </c>
      <c r="D333" s="14" t="n">
        <v>2</v>
      </c>
      <c r="E333" s="2" t="s">
        <v>502</v>
      </c>
      <c r="F333" s="15" t="n">
        <v>9</v>
      </c>
      <c r="G333" s="15" t="n">
        <v>9</v>
      </c>
      <c r="H333" s="15" t="n">
        <v>8</v>
      </c>
      <c r="I333" s="15" t="n">
        <v>3</v>
      </c>
      <c r="J333" s="15" t="n">
        <v>8</v>
      </c>
      <c r="K333" s="15" t="n">
        <v>9</v>
      </c>
      <c r="L333" s="15" t="n">
        <v>8</v>
      </c>
      <c r="M333" s="4" t="n">
        <f aca="false">ROUND(F333*Rubric!$B$4+G333*Rubric!$B$5+H333*Rubric!$B$6+I333*Rubric!$B$7+J333*Rubric!$B$8+K333*Rubric!$B$9+L333*Rubric!$B$10-IF(OR(H333&lt;Rubric!$B$12,K333&lt;Rubric!$B$12),Rubric!$B$13,0),2)</f>
        <v>7.8</v>
      </c>
      <c r="N333" s="14" t="n">
        <v>1171</v>
      </c>
      <c r="O333" s="2" t="s">
        <v>765</v>
      </c>
    </row>
    <row r="334" customFormat="false" ht="23.85" hidden="false" customHeight="false" outlineLevel="0" collapsed="false">
      <c r="A334" s="2" t="s">
        <v>180</v>
      </c>
      <c r="B334" s="2" t="s">
        <v>181</v>
      </c>
      <c r="C334" s="14" t="n">
        <v>0</v>
      </c>
      <c r="D334" s="14" t="n">
        <v>3</v>
      </c>
      <c r="E334" s="2" t="s">
        <v>368</v>
      </c>
      <c r="F334" s="15" t="n">
        <v>8</v>
      </c>
      <c r="G334" s="15" t="n">
        <v>8</v>
      </c>
      <c r="H334" s="15" t="n">
        <v>8</v>
      </c>
      <c r="I334" s="15" t="n">
        <v>3</v>
      </c>
      <c r="J334" s="15" t="n">
        <v>6</v>
      </c>
      <c r="K334" s="15" t="n">
        <v>8</v>
      </c>
      <c r="L334" s="15" t="n">
        <v>7</v>
      </c>
      <c r="M334" s="4" t="n">
        <f aca="false">ROUND(F334*Rubric!$B$4+G334*Rubric!$B$5+H334*Rubric!$B$6+I334*Rubric!$B$7+J334*Rubric!$B$8+K334*Rubric!$B$9+L334*Rubric!$B$10-IF(OR(H334&lt;Rubric!$B$12,K334&lt;Rubric!$B$12),Rubric!$B$13,0),2)</f>
        <v>6.6</v>
      </c>
      <c r="N334" s="14" t="n">
        <v>1172</v>
      </c>
      <c r="O334" s="2" t="s">
        <v>726</v>
      </c>
    </row>
    <row r="335" customFormat="false" ht="23.85" hidden="false" customHeight="false" outlineLevel="0" collapsed="false">
      <c r="A335" s="2" t="s">
        <v>180</v>
      </c>
      <c r="B335" s="2" t="s">
        <v>181</v>
      </c>
      <c r="C335" s="14" t="n">
        <v>1</v>
      </c>
      <c r="D335" s="14" t="n">
        <v>3</v>
      </c>
      <c r="E335" s="2" t="s">
        <v>359</v>
      </c>
      <c r="F335" s="15" t="n">
        <v>8</v>
      </c>
      <c r="G335" s="15" t="n">
        <v>8</v>
      </c>
      <c r="H335" s="15" t="n">
        <v>8</v>
      </c>
      <c r="I335" s="15" t="n">
        <v>4</v>
      </c>
      <c r="J335" s="15" t="n">
        <v>8</v>
      </c>
      <c r="K335" s="15" t="n">
        <v>8</v>
      </c>
      <c r="L335" s="15" t="n">
        <v>7</v>
      </c>
      <c r="M335" s="4" t="n">
        <f aca="false">ROUND(F335*Rubric!$B$4+G335*Rubric!$B$5+H335*Rubric!$B$6+I335*Rubric!$B$7+J335*Rubric!$B$8+K335*Rubric!$B$9+L335*Rubric!$B$10-IF(OR(H335&lt;Rubric!$B$12,K335&lt;Rubric!$B$12),Rubric!$B$13,0),2)</f>
        <v>7.5</v>
      </c>
      <c r="N335" s="14" t="n">
        <v>1172</v>
      </c>
      <c r="O335" s="2" t="s">
        <v>765</v>
      </c>
    </row>
    <row r="336" customFormat="false" ht="23.85" hidden="false" customHeight="false" outlineLevel="0" collapsed="false">
      <c r="A336" s="2" t="s">
        <v>180</v>
      </c>
      <c r="B336" s="2" t="s">
        <v>181</v>
      </c>
      <c r="C336" s="14" t="n">
        <v>0</v>
      </c>
      <c r="D336" s="14" t="n">
        <v>4</v>
      </c>
      <c r="E336" s="2" t="s">
        <v>359</v>
      </c>
      <c r="F336" s="15" t="n">
        <v>9</v>
      </c>
      <c r="G336" s="15" t="n">
        <v>8</v>
      </c>
      <c r="H336" s="15" t="n">
        <v>8</v>
      </c>
      <c r="I336" s="15" t="n">
        <v>4</v>
      </c>
      <c r="J336" s="15" t="n">
        <v>6</v>
      </c>
      <c r="K336" s="15" t="n">
        <v>8</v>
      </c>
      <c r="L336" s="15" t="n">
        <v>7</v>
      </c>
      <c r="M336" s="4" t="n">
        <f aca="false">ROUND(F336*Rubric!$B$4+G336*Rubric!$B$5+H336*Rubric!$B$6+I336*Rubric!$B$7+J336*Rubric!$B$8+K336*Rubric!$B$9+L336*Rubric!$B$10-IF(OR(H336&lt;Rubric!$B$12,K336&lt;Rubric!$B$12),Rubric!$B$13,0),2)</f>
        <v>6.75</v>
      </c>
      <c r="N336" s="14" t="n">
        <v>1173</v>
      </c>
      <c r="O336" s="2" t="s">
        <v>726</v>
      </c>
    </row>
    <row r="337" customFormat="false" ht="23.85" hidden="false" customHeight="false" outlineLevel="0" collapsed="false">
      <c r="A337" s="2" t="s">
        <v>180</v>
      </c>
      <c r="B337" s="2" t="s">
        <v>181</v>
      </c>
      <c r="C337" s="14" t="n">
        <v>1</v>
      </c>
      <c r="D337" s="14" t="n">
        <v>4</v>
      </c>
      <c r="E337" s="2" t="s">
        <v>492</v>
      </c>
      <c r="F337" s="15" t="n">
        <v>8</v>
      </c>
      <c r="G337" s="15" t="n">
        <v>8</v>
      </c>
      <c r="H337" s="15" t="n">
        <v>8</v>
      </c>
      <c r="I337" s="15" t="n">
        <v>2</v>
      </c>
      <c r="J337" s="15" t="n">
        <v>8</v>
      </c>
      <c r="K337" s="15" t="n">
        <v>8</v>
      </c>
      <c r="L337" s="15" t="n">
        <v>8</v>
      </c>
      <c r="M337" s="4" t="n">
        <f aca="false">ROUND(F337*Rubric!$B$4+G337*Rubric!$B$5+H337*Rubric!$B$6+I337*Rubric!$B$7+J337*Rubric!$B$8+K337*Rubric!$B$9+L337*Rubric!$B$10-IF(OR(H337&lt;Rubric!$B$12,K337&lt;Rubric!$B$12),Rubric!$B$13,0),2)</f>
        <v>7.4</v>
      </c>
      <c r="N337" s="14" t="n">
        <v>1173</v>
      </c>
      <c r="O337" s="2" t="s">
        <v>765</v>
      </c>
    </row>
    <row r="338" customFormat="false" ht="23.85" hidden="false" customHeight="false" outlineLevel="0" collapsed="false">
      <c r="A338" s="2" t="s">
        <v>180</v>
      </c>
      <c r="B338" s="2" t="s">
        <v>181</v>
      </c>
      <c r="C338" s="14" t="n">
        <v>0</v>
      </c>
      <c r="D338" s="14" t="n">
        <v>5</v>
      </c>
      <c r="E338" s="2" t="s">
        <v>361</v>
      </c>
      <c r="F338" s="15" t="n">
        <v>9</v>
      </c>
      <c r="G338" s="15" t="n">
        <v>7</v>
      </c>
      <c r="H338" s="15" t="n">
        <v>8</v>
      </c>
      <c r="I338" s="15" t="n">
        <v>8</v>
      </c>
      <c r="J338" s="15" t="n">
        <v>5</v>
      </c>
      <c r="K338" s="15" t="n">
        <v>8</v>
      </c>
      <c r="L338" s="15" t="n">
        <v>7</v>
      </c>
      <c r="M338" s="4" t="n">
        <f aca="false">ROUND(F338*Rubric!$B$4+G338*Rubric!$B$5+H338*Rubric!$B$6+I338*Rubric!$B$7+J338*Rubric!$B$8+K338*Rubric!$B$9+L338*Rubric!$B$10-IF(OR(H338&lt;Rubric!$B$12,K338&lt;Rubric!$B$12),Rubric!$B$13,0),2)</f>
        <v>6.6</v>
      </c>
      <c r="N338" s="14" t="n">
        <v>1174</v>
      </c>
      <c r="O338" s="2" t="s">
        <v>726</v>
      </c>
    </row>
    <row r="339" customFormat="false" ht="23.85" hidden="false" customHeight="false" outlineLevel="0" collapsed="false">
      <c r="A339" s="2" t="s">
        <v>180</v>
      </c>
      <c r="B339" s="2" t="s">
        <v>181</v>
      </c>
      <c r="C339" s="14" t="n">
        <v>1</v>
      </c>
      <c r="D339" s="14" t="n">
        <v>5</v>
      </c>
      <c r="E339" s="2" t="s">
        <v>514</v>
      </c>
      <c r="F339" s="15" t="n">
        <v>8</v>
      </c>
      <c r="G339" s="15" t="n">
        <v>8</v>
      </c>
      <c r="H339" s="15" t="n">
        <v>8</v>
      </c>
      <c r="I339" s="15" t="n">
        <v>4</v>
      </c>
      <c r="J339" s="15" t="n">
        <v>8</v>
      </c>
      <c r="K339" s="15" t="n">
        <v>7</v>
      </c>
      <c r="L339" s="15" t="n">
        <v>8</v>
      </c>
      <c r="M339" s="4" t="n">
        <f aca="false">ROUND(F339*Rubric!$B$4+G339*Rubric!$B$5+H339*Rubric!$B$6+I339*Rubric!$B$7+J339*Rubric!$B$8+K339*Rubric!$B$9+L339*Rubric!$B$10-IF(OR(H339&lt;Rubric!$B$12,K339&lt;Rubric!$B$12),Rubric!$B$13,0),2)</f>
        <v>7.5</v>
      </c>
      <c r="N339" s="14" t="n">
        <v>1174</v>
      </c>
      <c r="O339" s="2" t="s">
        <v>765</v>
      </c>
    </row>
    <row r="340" customFormat="false" ht="23.85" hidden="false" customHeight="false" outlineLevel="0" collapsed="false">
      <c r="A340" s="2" t="s">
        <v>180</v>
      </c>
      <c r="B340" s="2" t="s">
        <v>181</v>
      </c>
      <c r="C340" s="14" t="n">
        <v>2</v>
      </c>
      <c r="D340" s="14" t="n">
        <v>5</v>
      </c>
      <c r="E340" s="2" t="s">
        <v>503</v>
      </c>
      <c r="F340" s="15" t="n">
        <v>7</v>
      </c>
      <c r="G340" s="15" t="n">
        <v>8</v>
      </c>
      <c r="H340" s="15" t="n">
        <v>8</v>
      </c>
      <c r="I340" s="15" t="n">
        <v>4</v>
      </c>
      <c r="J340" s="15" t="n">
        <v>9</v>
      </c>
      <c r="K340" s="15" t="n">
        <v>8</v>
      </c>
      <c r="L340" s="15" t="n">
        <v>8</v>
      </c>
      <c r="M340" s="4" t="n">
        <f aca="false">ROUND(F340*Rubric!$B$4+G340*Rubric!$B$5+H340*Rubric!$B$6+I340*Rubric!$B$7+J340*Rubric!$B$8+K340*Rubric!$B$9+L340*Rubric!$B$10-IF(OR(H340&lt;Rubric!$B$12,K340&lt;Rubric!$B$12),Rubric!$B$13,0),2)</f>
        <v>7.95</v>
      </c>
      <c r="N340" s="14" t="n">
        <v>1174</v>
      </c>
      <c r="O340" s="2" t="s">
        <v>767</v>
      </c>
    </row>
    <row r="341" customFormat="false" ht="23.85" hidden="false" customHeight="false" outlineLevel="0" collapsed="false">
      <c r="A341" s="2" t="s">
        <v>186</v>
      </c>
      <c r="B341" s="2" t="s">
        <v>187</v>
      </c>
      <c r="C341" s="14" t="n">
        <v>0</v>
      </c>
      <c r="D341" s="14" t="n">
        <v>1</v>
      </c>
      <c r="E341" s="2" t="s">
        <v>358</v>
      </c>
      <c r="F341" s="15" t="n">
        <v>9</v>
      </c>
      <c r="G341" s="15" t="n">
        <v>9</v>
      </c>
      <c r="H341" s="15" t="n">
        <v>8</v>
      </c>
      <c r="I341" s="15" t="n">
        <v>4</v>
      </c>
      <c r="J341" s="15" t="n">
        <v>4</v>
      </c>
      <c r="K341" s="15" t="n">
        <v>9</v>
      </c>
      <c r="L341" s="15" t="n">
        <v>8</v>
      </c>
      <c r="M341" s="4" t="n">
        <f aca="false">ROUND(F341*Rubric!$B$4+G341*Rubric!$B$5+H341*Rubric!$B$6+I341*Rubric!$B$7+J341*Rubric!$B$8+K341*Rubric!$B$9+L341*Rubric!$B$10-IF(OR(H341&lt;Rubric!$B$12,K341&lt;Rubric!$B$12),Rubric!$B$13,0),2)</f>
        <v>6.3</v>
      </c>
      <c r="N341" s="14" t="n">
        <v>1180</v>
      </c>
      <c r="O341" s="2" t="s">
        <v>726</v>
      </c>
    </row>
    <row r="342" customFormat="false" ht="23.85" hidden="false" customHeight="false" outlineLevel="0" collapsed="false">
      <c r="A342" s="2" t="s">
        <v>186</v>
      </c>
      <c r="B342" s="2" t="s">
        <v>187</v>
      </c>
      <c r="C342" s="14" t="n">
        <v>1</v>
      </c>
      <c r="D342" s="14" t="n">
        <v>1</v>
      </c>
      <c r="E342" s="2" t="s">
        <v>504</v>
      </c>
      <c r="F342" s="15" t="n">
        <v>7</v>
      </c>
      <c r="G342" s="15" t="n">
        <v>8</v>
      </c>
      <c r="H342" s="15" t="n">
        <v>8</v>
      </c>
      <c r="I342" s="15" t="n">
        <v>4</v>
      </c>
      <c r="J342" s="15" t="n">
        <v>8</v>
      </c>
      <c r="K342" s="15" t="n">
        <v>7</v>
      </c>
      <c r="L342" s="15" t="n">
        <v>9</v>
      </c>
      <c r="M342" s="4" t="n">
        <f aca="false">ROUND(F342*Rubric!$B$4+G342*Rubric!$B$5+H342*Rubric!$B$6+I342*Rubric!$B$7+J342*Rubric!$B$8+K342*Rubric!$B$9+L342*Rubric!$B$10-IF(OR(H342&lt;Rubric!$B$12,K342&lt;Rubric!$B$12),Rubric!$B$13,0),2)</f>
        <v>7.55</v>
      </c>
      <c r="N342" s="14" t="n">
        <v>1180</v>
      </c>
      <c r="O342" s="2" t="s">
        <v>768</v>
      </c>
    </row>
    <row r="343" customFormat="false" ht="23.85" hidden="false" customHeight="false" outlineLevel="0" collapsed="false">
      <c r="A343" s="2" t="s">
        <v>186</v>
      </c>
      <c r="B343" s="2" t="s">
        <v>187</v>
      </c>
      <c r="C343" s="14" t="n">
        <v>0</v>
      </c>
      <c r="D343" s="14" t="n">
        <v>2</v>
      </c>
      <c r="E343" s="2" t="s">
        <v>363</v>
      </c>
      <c r="F343" s="15" t="n">
        <v>9</v>
      </c>
      <c r="G343" s="15" t="n">
        <v>9</v>
      </c>
      <c r="H343" s="15" t="n">
        <v>8</v>
      </c>
      <c r="I343" s="15" t="n">
        <v>3</v>
      </c>
      <c r="J343" s="15" t="n">
        <v>5</v>
      </c>
      <c r="K343" s="15" t="n">
        <v>9</v>
      </c>
      <c r="L343" s="15" t="n">
        <v>9</v>
      </c>
      <c r="M343" s="4" t="n">
        <f aca="false">ROUND(F343*Rubric!$B$4+G343*Rubric!$B$5+H343*Rubric!$B$6+I343*Rubric!$B$7+J343*Rubric!$B$8+K343*Rubric!$B$9+L343*Rubric!$B$10-IF(OR(H343&lt;Rubric!$B$12,K343&lt;Rubric!$B$12),Rubric!$B$13,0),2)</f>
        <v>6.7</v>
      </c>
      <c r="N343" s="14" t="n">
        <v>1181</v>
      </c>
      <c r="O343" s="2" t="s">
        <v>726</v>
      </c>
    </row>
    <row r="344" customFormat="false" ht="23.85" hidden="false" customHeight="false" outlineLevel="0" collapsed="false">
      <c r="A344" s="2" t="s">
        <v>186</v>
      </c>
      <c r="B344" s="2" t="s">
        <v>187</v>
      </c>
      <c r="C344" s="14" t="n">
        <v>1</v>
      </c>
      <c r="D344" s="14" t="n">
        <v>2</v>
      </c>
      <c r="E344" s="2" t="s">
        <v>505</v>
      </c>
      <c r="F344" s="15" t="n">
        <v>9</v>
      </c>
      <c r="G344" s="15" t="n">
        <v>9</v>
      </c>
      <c r="H344" s="15" t="n">
        <v>8</v>
      </c>
      <c r="I344" s="15" t="n">
        <v>3</v>
      </c>
      <c r="J344" s="15" t="n">
        <v>8</v>
      </c>
      <c r="K344" s="15" t="n">
        <v>9</v>
      </c>
      <c r="L344" s="15" t="n">
        <v>8</v>
      </c>
      <c r="M344" s="4" t="n">
        <f aca="false">ROUND(F344*Rubric!$B$4+G344*Rubric!$B$5+H344*Rubric!$B$6+I344*Rubric!$B$7+J344*Rubric!$B$8+K344*Rubric!$B$9+L344*Rubric!$B$10-IF(OR(H344&lt;Rubric!$B$12,K344&lt;Rubric!$B$12),Rubric!$B$13,0),2)</f>
        <v>7.8</v>
      </c>
      <c r="N344" s="14" t="n">
        <v>1181</v>
      </c>
      <c r="O344" s="2" t="s">
        <v>768</v>
      </c>
    </row>
    <row r="345" customFormat="false" ht="23.85" hidden="false" customHeight="false" outlineLevel="0" collapsed="false">
      <c r="A345" s="2" t="s">
        <v>186</v>
      </c>
      <c r="B345" s="2" t="s">
        <v>187</v>
      </c>
      <c r="C345" s="14" t="n">
        <v>0</v>
      </c>
      <c r="D345" s="14" t="n">
        <v>3</v>
      </c>
      <c r="E345" s="2" t="s">
        <v>374</v>
      </c>
      <c r="F345" s="15" t="n">
        <v>9</v>
      </c>
      <c r="G345" s="15" t="n">
        <v>9</v>
      </c>
      <c r="H345" s="15" t="n">
        <v>8</v>
      </c>
      <c r="I345" s="15" t="n">
        <v>3</v>
      </c>
      <c r="J345" s="15" t="n">
        <v>4</v>
      </c>
      <c r="K345" s="15" t="n">
        <v>9</v>
      </c>
      <c r="L345" s="15" t="n">
        <v>8</v>
      </c>
      <c r="M345" s="4" t="n">
        <f aca="false">ROUND(F345*Rubric!$B$4+G345*Rubric!$B$5+H345*Rubric!$B$6+I345*Rubric!$B$7+J345*Rubric!$B$8+K345*Rubric!$B$9+L345*Rubric!$B$10-IF(OR(H345&lt;Rubric!$B$12,K345&lt;Rubric!$B$12),Rubric!$B$13,0),2)</f>
        <v>6.2</v>
      </c>
      <c r="N345" s="14" t="n">
        <v>1182</v>
      </c>
      <c r="O345" s="2" t="s">
        <v>726</v>
      </c>
    </row>
    <row r="346" customFormat="false" ht="23.85" hidden="false" customHeight="false" outlineLevel="0" collapsed="false">
      <c r="A346" s="2" t="s">
        <v>186</v>
      </c>
      <c r="B346" s="2" t="s">
        <v>187</v>
      </c>
      <c r="C346" s="14" t="n">
        <v>1</v>
      </c>
      <c r="D346" s="14" t="n">
        <v>3</v>
      </c>
      <c r="E346" s="2" t="s">
        <v>506</v>
      </c>
      <c r="F346" s="15" t="n">
        <v>9</v>
      </c>
      <c r="G346" s="15" t="n">
        <v>9</v>
      </c>
      <c r="H346" s="15" t="n">
        <v>8</v>
      </c>
      <c r="I346" s="15" t="n">
        <v>3</v>
      </c>
      <c r="J346" s="15" t="n">
        <v>7</v>
      </c>
      <c r="K346" s="15" t="n">
        <v>9</v>
      </c>
      <c r="L346" s="15" t="n">
        <v>9</v>
      </c>
      <c r="M346" s="4" t="n">
        <f aca="false">ROUND(F346*Rubric!$B$4+G346*Rubric!$B$5+H346*Rubric!$B$6+I346*Rubric!$B$7+J346*Rubric!$B$8+K346*Rubric!$B$9+L346*Rubric!$B$10-IF(OR(H346&lt;Rubric!$B$12,K346&lt;Rubric!$B$12),Rubric!$B$13,0),2)</f>
        <v>7.5</v>
      </c>
      <c r="N346" s="14" t="n">
        <v>1182</v>
      </c>
      <c r="O346" s="2" t="s">
        <v>768</v>
      </c>
    </row>
    <row r="347" customFormat="false" ht="23.85" hidden="false" customHeight="false" outlineLevel="0" collapsed="false">
      <c r="A347" s="2" t="s">
        <v>186</v>
      </c>
      <c r="B347" s="2" t="s">
        <v>187</v>
      </c>
      <c r="C347" s="14" t="n">
        <v>0</v>
      </c>
      <c r="D347" s="14" t="n">
        <v>4</v>
      </c>
      <c r="E347" s="2" t="s">
        <v>410</v>
      </c>
      <c r="F347" s="15" t="n">
        <v>9</v>
      </c>
      <c r="G347" s="15" t="n">
        <v>8</v>
      </c>
      <c r="H347" s="15" t="n">
        <v>8</v>
      </c>
      <c r="I347" s="15" t="n">
        <v>5</v>
      </c>
      <c r="J347" s="15" t="n">
        <v>4</v>
      </c>
      <c r="K347" s="15" t="n">
        <v>7</v>
      </c>
      <c r="L347" s="15" t="n">
        <v>8</v>
      </c>
      <c r="M347" s="4" t="n">
        <f aca="false">ROUND(F347*Rubric!$B$4+G347*Rubric!$B$5+H347*Rubric!$B$6+I347*Rubric!$B$7+J347*Rubric!$B$8+K347*Rubric!$B$9+L347*Rubric!$B$10-IF(OR(H347&lt;Rubric!$B$12,K347&lt;Rubric!$B$12),Rubric!$B$13,0),2)</f>
        <v>6.05</v>
      </c>
      <c r="N347" s="14" t="n">
        <v>1183</v>
      </c>
      <c r="O347" s="2" t="s">
        <v>726</v>
      </c>
    </row>
    <row r="348" customFormat="false" ht="23.85" hidden="false" customHeight="false" outlineLevel="0" collapsed="false">
      <c r="A348" s="2" t="s">
        <v>186</v>
      </c>
      <c r="B348" s="2" t="s">
        <v>187</v>
      </c>
      <c r="C348" s="14" t="n">
        <v>1</v>
      </c>
      <c r="D348" s="14" t="n">
        <v>4</v>
      </c>
      <c r="E348" s="2" t="s">
        <v>507</v>
      </c>
      <c r="F348" s="15" t="n">
        <v>7</v>
      </c>
      <c r="G348" s="15" t="n">
        <v>8</v>
      </c>
      <c r="H348" s="15" t="n">
        <v>7</v>
      </c>
      <c r="I348" s="15" t="n">
        <v>10</v>
      </c>
      <c r="J348" s="15" t="n">
        <v>8</v>
      </c>
      <c r="K348" s="15" t="n">
        <v>7</v>
      </c>
      <c r="L348" s="15" t="n">
        <v>9</v>
      </c>
      <c r="M348" s="4" t="n">
        <f aca="false">ROUND(F348*Rubric!$B$4+G348*Rubric!$B$5+H348*Rubric!$B$6+I348*Rubric!$B$7+J348*Rubric!$B$8+K348*Rubric!$B$9+L348*Rubric!$B$10-IF(OR(H348&lt;Rubric!$B$12,K348&lt;Rubric!$B$12),Rubric!$B$13,0),2)</f>
        <v>8.05</v>
      </c>
      <c r="N348" s="14" t="n">
        <v>1183</v>
      </c>
      <c r="O348" s="2" t="s">
        <v>768</v>
      </c>
    </row>
    <row r="349" customFormat="false" ht="23.85" hidden="false" customHeight="false" outlineLevel="0" collapsed="false">
      <c r="A349" s="2" t="s">
        <v>186</v>
      </c>
      <c r="B349" s="2" t="s">
        <v>187</v>
      </c>
      <c r="C349" s="14" t="n">
        <v>0</v>
      </c>
      <c r="D349" s="14" t="n">
        <v>5</v>
      </c>
      <c r="E349" s="2" t="s">
        <v>381</v>
      </c>
      <c r="F349" s="15" t="n">
        <v>8</v>
      </c>
      <c r="G349" s="15" t="n">
        <v>8</v>
      </c>
      <c r="H349" s="15" t="n">
        <v>8</v>
      </c>
      <c r="I349" s="15" t="n">
        <v>8</v>
      </c>
      <c r="J349" s="15" t="n">
        <v>3</v>
      </c>
      <c r="K349" s="15" t="n">
        <v>7</v>
      </c>
      <c r="L349" s="15" t="n">
        <v>8</v>
      </c>
      <c r="M349" s="4" t="n">
        <f aca="false">ROUND(F349*Rubric!$B$4+G349*Rubric!$B$5+H349*Rubric!$B$6+I349*Rubric!$B$7+J349*Rubric!$B$8+K349*Rubric!$B$9+L349*Rubric!$B$10-IF(OR(H349&lt;Rubric!$B$12,K349&lt;Rubric!$B$12),Rubric!$B$13,0),2)</f>
        <v>5.9</v>
      </c>
      <c r="N349" s="14" t="n">
        <v>1184</v>
      </c>
      <c r="O349" s="2" t="s">
        <v>726</v>
      </c>
    </row>
    <row r="350" customFormat="false" ht="23.85" hidden="false" customHeight="false" outlineLevel="0" collapsed="false">
      <c r="A350" s="2" t="s">
        <v>186</v>
      </c>
      <c r="B350" s="2" t="s">
        <v>187</v>
      </c>
      <c r="C350" s="14" t="n">
        <v>1</v>
      </c>
      <c r="D350" s="14" t="n">
        <v>5</v>
      </c>
      <c r="E350" s="2" t="s">
        <v>508</v>
      </c>
      <c r="F350" s="15" t="n">
        <v>7</v>
      </c>
      <c r="G350" s="15" t="n">
        <v>8</v>
      </c>
      <c r="H350" s="15" t="n">
        <v>8</v>
      </c>
      <c r="I350" s="15" t="n">
        <v>5</v>
      </c>
      <c r="J350" s="15" t="n">
        <v>8</v>
      </c>
      <c r="K350" s="15" t="n">
        <v>8</v>
      </c>
      <c r="L350" s="15" t="n">
        <v>8</v>
      </c>
      <c r="M350" s="4" t="n">
        <f aca="false">ROUND(F350*Rubric!$B$4+G350*Rubric!$B$5+H350*Rubric!$B$6+I350*Rubric!$B$7+J350*Rubric!$B$8+K350*Rubric!$B$9+L350*Rubric!$B$10-IF(OR(H350&lt;Rubric!$B$12,K350&lt;Rubric!$B$12),Rubric!$B$13,0),2)</f>
        <v>7.65</v>
      </c>
      <c r="N350" s="14" t="n">
        <v>1184</v>
      </c>
      <c r="O350" s="2" t="s">
        <v>768</v>
      </c>
    </row>
    <row r="351" customFormat="false" ht="23.85" hidden="false" customHeight="false" outlineLevel="0" collapsed="false">
      <c r="A351" s="2" t="s">
        <v>192</v>
      </c>
      <c r="B351" s="2" t="s">
        <v>193</v>
      </c>
      <c r="C351" s="14" t="n">
        <v>0</v>
      </c>
      <c r="D351" s="14" t="n">
        <v>1</v>
      </c>
      <c r="E351" s="2" t="s">
        <v>412</v>
      </c>
      <c r="F351" s="15" t="n">
        <v>9</v>
      </c>
      <c r="G351" s="15" t="n">
        <v>8</v>
      </c>
      <c r="H351" s="15" t="n">
        <v>8</v>
      </c>
      <c r="I351" s="15" t="n">
        <v>3</v>
      </c>
      <c r="J351" s="15" t="n">
        <v>6</v>
      </c>
      <c r="K351" s="15" t="n">
        <v>8</v>
      </c>
      <c r="L351" s="15" t="n">
        <v>7</v>
      </c>
      <c r="M351" s="4" t="n">
        <f aca="false">ROUND(F351*Rubric!$B$4+G351*Rubric!$B$5+H351*Rubric!$B$6+I351*Rubric!$B$7+J351*Rubric!$B$8+K351*Rubric!$B$9+L351*Rubric!$B$10-IF(OR(H351&lt;Rubric!$B$12,K351&lt;Rubric!$B$12),Rubric!$B$13,0),2)</f>
        <v>6.65</v>
      </c>
      <c r="N351" s="14" t="n">
        <v>1190</v>
      </c>
      <c r="O351" s="2" t="s">
        <v>726</v>
      </c>
    </row>
    <row r="352" customFormat="false" ht="23.85" hidden="false" customHeight="false" outlineLevel="0" collapsed="false">
      <c r="A352" s="2" t="s">
        <v>192</v>
      </c>
      <c r="B352" s="2" t="s">
        <v>193</v>
      </c>
      <c r="C352" s="14" t="n">
        <v>1</v>
      </c>
      <c r="D352" s="14" t="n">
        <v>1</v>
      </c>
      <c r="E352" s="2" t="s">
        <v>484</v>
      </c>
      <c r="F352" s="15" t="n">
        <v>8</v>
      </c>
      <c r="G352" s="15" t="n">
        <v>8</v>
      </c>
      <c r="H352" s="15" t="n">
        <v>8</v>
      </c>
      <c r="I352" s="15" t="n">
        <v>3</v>
      </c>
      <c r="J352" s="15" t="n">
        <v>9</v>
      </c>
      <c r="K352" s="15" t="n">
        <v>8</v>
      </c>
      <c r="L352" s="15" t="n">
        <v>7</v>
      </c>
      <c r="M352" s="4" t="n">
        <f aca="false">ROUND(F352*Rubric!$B$4+G352*Rubric!$B$5+H352*Rubric!$B$6+I352*Rubric!$B$7+J352*Rubric!$B$8+K352*Rubric!$B$9+L352*Rubric!$B$10-IF(OR(H352&lt;Rubric!$B$12,K352&lt;Rubric!$B$12),Rubric!$B$13,0),2)</f>
        <v>7.8</v>
      </c>
      <c r="N352" s="14" t="n">
        <v>1190</v>
      </c>
      <c r="O352" s="2" t="s">
        <v>769</v>
      </c>
    </row>
    <row r="353" customFormat="false" ht="15" hidden="false" customHeight="false" outlineLevel="0" collapsed="false">
      <c r="A353" s="2" t="s">
        <v>192</v>
      </c>
      <c r="B353" s="2" t="s">
        <v>193</v>
      </c>
      <c r="C353" s="14" t="n">
        <v>0</v>
      </c>
      <c r="D353" s="14" t="n">
        <v>2</v>
      </c>
      <c r="E353" s="2" t="s">
        <v>413</v>
      </c>
      <c r="F353" s="15" t="n">
        <v>9</v>
      </c>
      <c r="G353" s="15" t="n">
        <v>9</v>
      </c>
      <c r="H353" s="15" t="n">
        <v>8</v>
      </c>
      <c r="I353" s="15" t="n">
        <v>3</v>
      </c>
      <c r="J353" s="15" t="n">
        <v>6</v>
      </c>
      <c r="K353" s="15" t="n">
        <v>9</v>
      </c>
      <c r="L353" s="15" t="n">
        <v>8</v>
      </c>
      <c r="M353" s="4" t="n">
        <f aca="false">ROUND(F353*Rubric!$B$4+G353*Rubric!$B$5+H353*Rubric!$B$6+I353*Rubric!$B$7+J353*Rubric!$B$8+K353*Rubric!$B$9+L353*Rubric!$B$10-IF(OR(H353&lt;Rubric!$B$12,K353&lt;Rubric!$B$12),Rubric!$B$13,0),2)</f>
        <v>7</v>
      </c>
      <c r="N353" s="14" t="n">
        <v>1191</v>
      </c>
      <c r="O353" s="2" t="s">
        <v>726</v>
      </c>
    </row>
    <row r="354" customFormat="false" ht="23.85" hidden="false" customHeight="false" outlineLevel="0" collapsed="false">
      <c r="A354" s="2" t="s">
        <v>192</v>
      </c>
      <c r="B354" s="2" t="s">
        <v>193</v>
      </c>
      <c r="C354" s="14" t="n">
        <v>1</v>
      </c>
      <c r="D354" s="14" t="n">
        <v>2</v>
      </c>
      <c r="E354" s="2" t="s">
        <v>509</v>
      </c>
      <c r="F354" s="15" t="n">
        <v>8</v>
      </c>
      <c r="G354" s="15" t="n">
        <v>7</v>
      </c>
      <c r="H354" s="15" t="n">
        <v>7</v>
      </c>
      <c r="I354" s="15" t="n">
        <v>3</v>
      </c>
      <c r="J354" s="15" t="n">
        <v>9</v>
      </c>
      <c r="K354" s="15" t="n">
        <v>7</v>
      </c>
      <c r="L354" s="15" t="n">
        <v>8</v>
      </c>
      <c r="M354" s="4" t="n">
        <f aca="false">ROUND(F354*Rubric!$B$4+G354*Rubric!$B$5+H354*Rubric!$B$6+I354*Rubric!$B$7+J354*Rubric!$B$8+K354*Rubric!$B$9+L354*Rubric!$B$10-IF(OR(H354&lt;Rubric!$B$12,K354&lt;Rubric!$B$12),Rubric!$B$13,0),2)</f>
        <v>7.55</v>
      </c>
      <c r="N354" s="14" t="n">
        <v>1191</v>
      </c>
      <c r="O354" s="2" t="s">
        <v>769</v>
      </c>
    </row>
    <row r="355" customFormat="false" ht="23.85" hidden="false" customHeight="false" outlineLevel="0" collapsed="false">
      <c r="A355" s="2" t="s">
        <v>192</v>
      </c>
      <c r="B355" s="2" t="s">
        <v>193</v>
      </c>
      <c r="C355" s="14" t="n">
        <v>0</v>
      </c>
      <c r="D355" s="14" t="n">
        <v>3</v>
      </c>
      <c r="E355" s="2" t="s">
        <v>402</v>
      </c>
      <c r="F355" s="15" t="n">
        <v>9</v>
      </c>
      <c r="G355" s="15" t="n">
        <v>9</v>
      </c>
      <c r="H355" s="15" t="n">
        <v>7</v>
      </c>
      <c r="I355" s="15" t="n">
        <v>4</v>
      </c>
      <c r="J355" s="15" t="n">
        <v>6</v>
      </c>
      <c r="K355" s="15" t="n">
        <v>7</v>
      </c>
      <c r="L355" s="15" t="n">
        <v>8</v>
      </c>
      <c r="M355" s="4" t="n">
        <f aca="false">ROUND(F355*Rubric!$B$4+G355*Rubric!$B$5+H355*Rubric!$B$6+I355*Rubric!$B$7+J355*Rubric!$B$8+K355*Rubric!$B$9+L355*Rubric!$B$10-IF(OR(H355&lt;Rubric!$B$12,K355&lt;Rubric!$B$12),Rubric!$B$13,0),2)</f>
        <v>6.8</v>
      </c>
      <c r="N355" s="14" t="n">
        <v>1192</v>
      </c>
      <c r="O355" s="2" t="s">
        <v>726</v>
      </c>
    </row>
    <row r="356" customFormat="false" ht="23.85" hidden="false" customHeight="false" outlineLevel="0" collapsed="false">
      <c r="A356" s="2" t="s">
        <v>192</v>
      </c>
      <c r="B356" s="2" t="s">
        <v>193</v>
      </c>
      <c r="C356" s="14" t="n">
        <v>1</v>
      </c>
      <c r="D356" s="14" t="n">
        <v>3</v>
      </c>
      <c r="E356" s="2" t="s">
        <v>510</v>
      </c>
      <c r="F356" s="15" t="n">
        <v>9</v>
      </c>
      <c r="G356" s="15" t="n">
        <v>9</v>
      </c>
      <c r="H356" s="15" t="n">
        <v>8</v>
      </c>
      <c r="I356" s="15" t="n">
        <v>3</v>
      </c>
      <c r="J356" s="15" t="n">
        <v>8</v>
      </c>
      <c r="K356" s="15" t="n">
        <v>8</v>
      </c>
      <c r="L356" s="15" t="n">
        <v>8</v>
      </c>
      <c r="M356" s="4" t="n">
        <f aca="false">ROUND(F356*Rubric!$B$4+G356*Rubric!$B$5+H356*Rubric!$B$6+I356*Rubric!$B$7+J356*Rubric!$B$8+K356*Rubric!$B$9+L356*Rubric!$B$10-IF(OR(H356&lt;Rubric!$B$12,K356&lt;Rubric!$B$12),Rubric!$B$13,0),2)</f>
        <v>7.7</v>
      </c>
      <c r="N356" s="14" t="n">
        <v>1192</v>
      </c>
      <c r="O356" s="2" t="s">
        <v>769</v>
      </c>
    </row>
    <row r="357" customFormat="false" ht="23.85" hidden="false" customHeight="false" outlineLevel="0" collapsed="false">
      <c r="A357" s="2" t="s">
        <v>192</v>
      </c>
      <c r="B357" s="2" t="s">
        <v>193</v>
      </c>
      <c r="C357" s="14" t="n">
        <v>0</v>
      </c>
      <c r="D357" s="14" t="n">
        <v>4</v>
      </c>
      <c r="E357" s="2" t="s">
        <v>379</v>
      </c>
      <c r="F357" s="15" t="n">
        <v>9</v>
      </c>
      <c r="G357" s="15" t="n">
        <v>8</v>
      </c>
      <c r="H357" s="15" t="n">
        <v>7</v>
      </c>
      <c r="I357" s="15" t="n">
        <v>4</v>
      </c>
      <c r="J357" s="15" t="n">
        <v>5</v>
      </c>
      <c r="K357" s="15" t="n">
        <v>7</v>
      </c>
      <c r="L357" s="15" t="n">
        <v>7</v>
      </c>
      <c r="M357" s="4" t="n">
        <f aca="false">ROUND(F357*Rubric!$B$4+G357*Rubric!$B$5+H357*Rubric!$B$6+I357*Rubric!$B$7+J357*Rubric!$B$8+K357*Rubric!$B$9+L357*Rubric!$B$10-IF(OR(H357&lt;Rubric!$B$12,K357&lt;Rubric!$B$12),Rubric!$B$13,0),2)</f>
        <v>6.15</v>
      </c>
      <c r="N357" s="14" t="n">
        <v>1193</v>
      </c>
      <c r="O357" s="2" t="s">
        <v>726</v>
      </c>
    </row>
    <row r="358" customFormat="false" ht="23.85" hidden="false" customHeight="false" outlineLevel="0" collapsed="false">
      <c r="A358" s="2" t="s">
        <v>192</v>
      </c>
      <c r="B358" s="2" t="s">
        <v>193</v>
      </c>
      <c r="C358" s="14" t="n">
        <v>1</v>
      </c>
      <c r="D358" s="14" t="n">
        <v>4</v>
      </c>
      <c r="E358" s="2" t="s">
        <v>511</v>
      </c>
      <c r="F358" s="15" t="n">
        <v>9</v>
      </c>
      <c r="G358" s="15" t="n">
        <v>9</v>
      </c>
      <c r="H358" s="15" t="n">
        <v>8</v>
      </c>
      <c r="I358" s="15" t="n">
        <v>3</v>
      </c>
      <c r="J358" s="15" t="n">
        <v>8</v>
      </c>
      <c r="K358" s="15" t="n">
        <v>9</v>
      </c>
      <c r="L358" s="15" t="n">
        <v>8</v>
      </c>
      <c r="M358" s="4" t="n">
        <f aca="false">ROUND(F358*Rubric!$B$4+G358*Rubric!$B$5+H358*Rubric!$B$6+I358*Rubric!$B$7+J358*Rubric!$B$8+K358*Rubric!$B$9+L358*Rubric!$B$10-IF(OR(H358&lt;Rubric!$B$12,K358&lt;Rubric!$B$12),Rubric!$B$13,0),2)</f>
        <v>7.8</v>
      </c>
      <c r="N358" s="14" t="n">
        <v>1193</v>
      </c>
      <c r="O358" s="2" t="s">
        <v>769</v>
      </c>
    </row>
    <row r="359" customFormat="false" ht="23.85" hidden="false" customHeight="false" outlineLevel="0" collapsed="false">
      <c r="A359" s="2" t="s">
        <v>192</v>
      </c>
      <c r="B359" s="2" t="s">
        <v>193</v>
      </c>
      <c r="C359" s="14" t="n">
        <v>0</v>
      </c>
      <c r="D359" s="14" t="n">
        <v>5</v>
      </c>
      <c r="E359" s="2" t="s">
        <v>404</v>
      </c>
      <c r="F359" s="15" t="n">
        <v>8</v>
      </c>
      <c r="G359" s="15" t="n">
        <v>8</v>
      </c>
      <c r="H359" s="15" t="n">
        <v>7</v>
      </c>
      <c r="I359" s="15" t="n">
        <v>10</v>
      </c>
      <c r="J359" s="15" t="n">
        <v>5</v>
      </c>
      <c r="K359" s="15" t="n">
        <v>7</v>
      </c>
      <c r="L359" s="15" t="n">
        <v>9</v>
      </c>
      <c r="M359" s="4" t="n">
        <f aca="false">ROUND(F359*Rubric!$B$4+G359*Rubric!$B$5+H359*Rubric!$B$6+I359*Rubric!$B$7+J359*Rubric!$B$8+K359*Rubric!$B$9+L359*Rubric!$B$10-IF(OR(H359&lt;Rubric!$B$12,K359&lt;Rubric!$B$12),Rubric!$B$13,0),2)</f>
        <v>6.9</v>
      </c>
      <c r="N359" s="14" t="n">
        <v>1194</v>
      </c>
      <c r="O359" s="2" t="s">
        <v>726</v>
      </c>
    </row>
    <row r="360" customFormat="false" ht="23.85" hidden="false" customHeight="false" outlineLevel="0" collapsed="false">
      <c r="A360" s="2" t="s">
        <v>192</v>
      </c>
      <c r="B360" s="2" t="s">
        <v>193</v>
      </c>
      <c r="C360" s="14" t="n">
        <v>1</v>
      </c>
      <c r="D360" s="14" t="n">
        <v>5</v>
      </c>
      <c r="E360" s="2" t="s">
        <v>770</v>
      </c>
      <c r="F360" s="15" t="n">
        <v>8</v>
      </c>
      <c r="G360" s="15" t="n">
        <v>7</v>
      </c>
      <c r="H360" s="15" t="n">
        <v>8</v>
      </c>
      <c r="I360" s="15" t="n">
        <v>3</v>
      </c>
      <c r="J360" s="15" t="n">
        <v>8</v>
      </c>
      <c r="K360" s="15" t="n">
        <v>7</v>
      </c>
      <c r="L360" s="15" t="n">
        <v>6</v>
      </c>
      <c r="M360" s="4" t="n">
        <f aca="false">ROUND(F360*Rubric!$B$4+G360*Rubric!$B$5+H360*Rubric!$B$6+I360*Rubric!$B$7+J360*Rubric!$B$8+K360*Rubric!$B$9+L360*Rubric!$B$10-IF(OR(H360&lt;Rubric!$B$12,K360&lt;Rubric!$B$12),Rubric!$B$13,0),2)</f>
        <v>7.05</v>
      </c>
      <c r="N360" s="14" t="n">
        <v>1194</v>
      </c>
      <c r="O360" s="2" t="s">
        <v>769</v>
      </c>
    </row>
    <row r="361" customFormat="false" ht="23.85" hidden="false" customHeight="false" outlineLevel="0" collapsed="false">
      <c r="A361" s="2" t="s">
        <v>192</v>
      </c>
      <c r="B361" s="2" t="s">
        <v>193</v>
      </c>
      <c r="C361" s="14" t="n">
        <v>2</v>
      </c>
      <c r="D361" s="14" t="n">
        <v>5</v>
      </c>
      <c r="E361" s="2" t="s">
        <v>512</v>
      </c>
      <c r="F361" s="15" t="n">
        <v>7</v>
      </c>
      <c r="G361" s="15" t="n">
        <v>8</v>
      </c>
      <c r="H361" s="15" t="n">
        <v>8</v>
      </c>
      <c r="I361" s="15" t="n">
        <v>3</v>
      </c>
      <c r="J361" s="15" t="n">
        <v>9</v>
      </c>
      <c r="K361" s="15" t="n">
        <v>7</v>
      </c>
      <c r="L361" s="15" t="n">
        <v>7</v>
      </c>
      <c r="M361" s="4" t="n">
        <f aca="false">ROUND(F361*Rubric!$B$4+G361*Rubric!$B$5+H361*Rubric!$B$6+I361*Rubric!$B$7+J361*Rubric!$B$8+K361*Rubric!$B$9+L361*Rubric!$B$10-IF(OR(H361&lt;Rubric!$B$12,K361&lt;Rubric!$B$12),Rubric!$B$13,0),2)</f>
        <v>7.65</v>
      </c>
      <c r="N361" s="14" t="n">
        <v>1194</v>
      </c>
      <c r="O361" s="2" t="s">
        <v>771</v>
      </c>
    </row>
    <row r="362" customFormat="false" ht="23.85" hidden="false" customHeight="false" outlineLevel="0" collapsed="false">
      <c r="A362" s="2" t="s">
        <v>197</v>
      </c>
      <c r="B362" s="2" t="s">
        <v>198</v>
      </c>
      <c r="C362" s="14" t="n">
        <v>0</v>
      </c>
      <c r="D362" s="14" t="n">
        <v>1</v>
      </c>
      <c r="E362" s="2" t="s">
        <v>367</v>
      </c>
      <c r="F362" s="15" t="n">
        <v>8</v>
      </c>
      <c r="G362" s="15" t="n">
        <v>7</v>
      </c>
      <c r="H362" s="15" t="n">
        <v>9</v>
      </c>
      <c r="I362" s="15" t="n">
        <v>2</v>
      </c>
      <c r="J362" s="15" t="n">
        <v>5</v>
      </c>
      <c r="K362" s="15" t="n">
        <v>8</v>
      </c>
      <c r="L362" s="15" t="n">
        <v>6</v>
      </c>
      <c r="M362" s="4" t="n">
        <f aca="false">ROUND(F362*Rubric!$B$4+G362*Rubric!$B$5+H362*Rubric!$B$6+I362*Rubric!$B$7+J362*Rubric!$B$8+K362*Rubric!$B$9+L362*Rubric!$B$10-IF(OR(H362&lt;Rubric!$B$12,K362&lt;Rubric!$B$12),Rubric!$B$13,0),2)</f>
        <v>5.95</v>
      </c>
      <c r="N362" s="14" t="n">
        <v>1200</v>
      </c>
      <c r="O362" s="2" t="s">
        <v>726</v>
      </c>
    </row>
    <row r="363" customFormat="false" ht="23.85" hidden="false" customHeight="false" outlineLevel="0" collapsed="false">
      <c r="A363" s="2" t="s">
        <v>197</v>
      </c>
      <c r="B363" s="2" t="s">
        <v>198</v>
      </c>
      <c r="C363" s="14" t="n">
        <v>1</v>
      </c>
      <c r="D363" s="14" t="n">
        <v>1</v>
      </c>
      <c r="E363" s="2" t="s">
        <v>546</v>
      </c>
      <c r="F363" s="15" t="n">
        <v>7</v>
      </c>
      <c r="G363" s="15" t="n">
        <v>8</v>
      </c>
      <c r="H363" s="15" t="n">
        <v>8</v>
      </c>
      <c r="I363" s="15" t="n">
        <v>3</v>
      </c>
      <c r="J363" s="15" t="n">
        <v>8</v>
      </c>
      <c r="K363" s="15" t="n">
        <v>8</v>
      </c>
      <c r="L363" s="15" t="n">
        <v>7</v>
      </c>
      <c r="M363" s="4" t="n">
        <f aca="false">ROUND(F363*Rubric!$B$4+G363*Rubric!$B$5+H363*Rubric!$B$6+I363*Rubric!$B$7+J363*Rubric!$B$8+K363*Rubric!$B$9+L363*Rubric!$B$10-IF(OR(H363&lt;Rubric!$B$12,K363&lt;Rubric!$B$12),Rubric!$B$13,0),2)</f>
        <v>7.35</v>
      </c>
      <c r="N363" s="14" t="n">
        <v>1200</v>
      </c>
      <c r="O363" s="2" t="s">
        <v>772</v>
      </c>
    </row>
    <row r="364" customFormat="false" ht="23.85" hidden="false" customHeight="false" outlineLevel="0" collapsed="false">
      <c r="A364" s="2" t="s">
        <v>197</v>
      </c>
      <c r="B364" s="2" t="s">
        <v>198</v>
      </c>
      <c r="C364" s="14" t="n">
        <v>2</v>
      </c>
      <c r="D364" s="14" t="n">
        <v>1</v>
      </c>
      <c r="E364" s="2" t="s">
        <v>513</v>
      </c>
      <c r="F364" s="15" t="n">
        <v>7</v>
      </c>
      <c r="G364" s="15" t="n">
        <v>8</v>
      </c>
      <c r="H364" s="15" t="n">
        <v>8</v>
      </c>
      <c r="I364" s="15" t="n">
        <v>3</v>
      </c>
      <c r="J364" s="15" t="n">
        <v>8</v>
      </c>
      <c r="K364" s="15" t="n">
        <v>8</v>
      </c>
      <c r="L364" s="15" t="n">
        <v>7</v>
      </c>
      <c r="M364" s="4" t="n">
        <f aca="false">ROUND(F364*Rubric!$B$4+G364*Rubric!$B$5+H364*Rubric!$B$6+I364*Rubric!$B$7+J364*Rubric!$B$8+K364*Rubric!$B$9+L364*Rubric!$B$10-IF(OR(H364&lt;Rubric!$B$12,K364&lt;Rubric!$B$12),Rubric!$B$13,0),2)</f>
        <v>7.35</v>
      </c>
      <c r="N364" s="14" t="n">
        <v>1200</v>
      </c>
      <c r="O364" s="2" t="s">
        <v>773</v>
      </c>
    </row>
    <row r="365" customFormat="false" ht="23.85" hidden="false" customHeight="false" outlineLevel="0" collapsed="false">
      <c r="A365" s="2" t="s">
        <v>197</v>
      </c>
      <c r="B365" s="2" t="s">
        <v>198</v>
      </c>
      <c r="C365" s="14" t="n">
        <v>0</v>
      </c>
      <c r="D365" s="14" t="n">
        <v>2</v>
      </c>
      <c r="E365" s="2" t="s">
        <v>368</v>
      </c>
      <c r="F365" s="15" t="n">
        <v>8</v>
      </c>
      <c r="G365" s="15" t="n">
        <v>8</v>
      </c>
      <c r="H365" s="15" t="n">
        <v>8</v>
      </c>
      <c r="I365" s="15" t="n">
        <v>3</v>
      </c>
      <c r="J365" s="15" t="n">
        <v>5</v>
      </c>
      <c r="K365" s="15" t="n">
        <v>8</v>
      </c>
      <c r="L365" s="15" t="n">
        <v>7</v>
      </c>
      <c r="M365" s="4" t="n">
        <f aca="false">ROUND(F365*Rubric!$B$4+G365*Rubric!$B$5+H365*Rubric!$B$6+I365*Rubric!$B$7+J365*Rubric!$B$8+K365*Rubric!$B$9+L365*Rubric!$B$10-IF(OR(H365&lt;Rubric!$B$12,K365&lt;Rubric!$B$12),Rubric!$B$13,0),2)</f>
        <v>6.2</v>
      </c>
      <c r="N365" s="14" t="n">
        <v>1201</v>
      </c>
      <c r="O365" s="2" t="s">
        <v>726</v>
      </c>
    </row>
    <row r="366" customFormat="false" ht="23.85" hidden="false" customHeight="false" outlineLevel="0" collapsed="false">
      <c r="A366" s="2" t="s">
        <v>197</v>
      </c>
      <c r="B366" s="2" t="s">
        <v>198</v>
      </c>
      <c r="C366" s="14" t="n">
        <v>1</v>
      </c>
      <c r="D366" s="14" t="n">
        <v>2</v>
      </c>
      <c r="E366" s="2" t="s">
        <v>514</v>
      </c>
      <c r="F366" s="15" t="n">
        <v>8</v>
      </c>
      <c r="G366" s="15" t="n">
        <v>8</v>
      </c>
      <c r="H366" s="15" t="n">
        <v>8</v>
      </c>
      <c r="I366" s="15" t="n">
        <v>4</v>
      </c>
      <c r="J366" s="15" t="n">
        <v>8</v>
      </c>
      <c r="K366" s="15" t="n">
        <v>7</v>
      </c>
      <c r="L366" s="15" t="n">
        <v>8</v>
      </c>
      <c r="M366" s="4" t="n">
        <f aca="false">ROUND(F366*Rubric!$B$4+G366*Rubric!$B$5+H366*Rubric!$B$6+I366*Rubric!$B$7+J366*Rubric!$B$8+K366*Rubric!$B$9+L366*Rubric!$B$10-IF(OR(H366&lt;Rubric!$B$12,K366&lt;Rubric!$B$12),Rubric!$B$13,0),2)</f>
        <v>7.5</v>
      </c>
      <c r="N366" s="14" t="n">
        <v>1201</v>
      </c>
      <c r="O366" s="2" t="s">
        <v>772</v>
      </c>
    </row>
    <row r="367" customFormat="false" ht="23.85" hidden="false" customHeight="false" outlineLevel="0" collapsed="false">
      <c r="A367" s="2" t="s">
        <v>197</v>
      </c>
      <c r="B367" s="2" t="s">
        <v>198</v>
      </c>
      <c r="C367" s="14" t="n">
        <v>0</v>
      </c>
      <c r="D367" s="14" t="n">
        <v>3</v>
      </c>
      <c r="E367" s="2" t="s">
        <v>369</v>
      </c>
      <c r="F367" s="15" t="n">
        <v>8</v>
      </c>
      <c r="G367" s="15" t="n">
        <v>8</v>
      </c>
      <c r="H367" s="15" t="n">
        <v>8</v>
      </c>
      <c r="I367" s="15" t="n">
        <v>2</v>
      </c>
      <c r="J367" s="15" t="n">
        <v>5</v>
      </c>
      <c r="K367" s="15" t="n">
        <v>8</v>
      </c>
      <c r="L367" s="15" t="n">
        <v>8</v>
      </c>
      <c r="M367" s="4" t="n">
        <f aca="false">ROUND(F367*Rubric!$B$4+G367*Rubric!$B$5+H367*Rubric!$B$6+I367*Rubric!$B$7+J367*Rubric!$B$8+K367*Rubric!$B$9+L367*Rubric!$B$10-IF(OR(H367&lt;Rubric!$B$12,K367&lt;Rubric!$B$12),Rubric!$B$13,0),2)</f>
        <v>6.2</v>
      </c>
      <c r="N367" s="14" t="n">
        <v>1202</v>
      </c>
      <c r="O367" s="2" t="s">
        <v>726</v>
      </c>
    </row>
    <row r="368" customFormat="false" ht="23.85" hidden="false" customHeight="false" outlineLevel="0" collapsed="false">
      <c r="A368" s="2" t="s">
        <v>197</v>
      </c>
      <c r="B368" s="2" t="s">
        <v>198</v>
      </c>
      <c r="C368" s="14" t="n">
        <v>1</v>
      </c>
      <c r="D368" s="14" t="n">
        <v>3</v>
      </c>
      <c r="E368" s="2" t="s">
        <v>563</v>
      </c>
      <c r="F368" s="15" t="n">
        <v>8</v>
      </c>
      <c r="G368" s="15" t="n">
        <v>7</v>
      </c>
      <c r="H368" s="15" t="n">
        <v>8</v>
      </c>
      <c r="I368" s="15" t="n">
        <v>4</v>
      </c>
      <c r="J368" s="15" t="n">
        <v>8</v>
      </c>
      <c r="K368" s="15" t="n">
        <v>8</v>
      </c>
      <c r="L368" s="15" t="n">
        <v>8</v>
      </c>
      <c r="M368" s="4" t="n">
        <f aca="false">ROUND(F368*Rubric!$B$4+G368*Rubric!$B$5+H368*Rubric!$B$6+I368*Rubric!$B$7+J368*Rubric!$B$8+K368*Rubric!$B$9+L368*Rubric!$B$10-IF(OR(H368&lt;Rubric!$B$12,K368&lt;Rubric!$B$12),Rubric!$B$13,0),2)</f>
        <v>7.45</v>
      </c>
      <c r="N368" s="14" t="n">
        <v>1202</v>
      </c>
      <c r="O368" s="2" t="s">
        <v>772</v>
      </c>
    </row>
    <row r="369" customFormat="false" ht="23.85" hidden="false" customHeight="false" outlineLevel="0" collapsed="false">
      <c r="A369" s="2" t="s">
        <v>197</v>
      </c>
      <c r="B369" s="2" t="s">
        <v>198</v>
      </c>
      <c r="C369" s="14" t="n">
        <v>2</v>
      </c>
      <c r="D369" s="14" t="n">
        <v>3</v>
      </c>
      <c r="E369" s="2" t="s">
        <v>515</v>
      </c>
      <c r="F369" s="15" t="n">
        <v>7</v>
      </c>
      <c r="G369" s="15" t="n">
        <v>9</v>
      </c>
      <c r="H369" s="15" t="n">
        <v>7</v>
      </c>
      <c r="I369" s="15" t="n">
        <v>3</v>
      </c>
      <c r="J369" s="15" t="n">
        <v>9</v>
      </c>
      <c r="K369" s="15" t="n">
        <v>9</v>
      </c>
      <c r="L369" s="15" t="n">
        <v>9</v>
      </c>
      <c r="M369" s="4" t="n">
        <f aca="false">ROUND(F369*Rubric!$B$4+G369*Rubric!$B$5+H369*Rubric!$B$6+I369*Rubric!$B$7+J369*Rubric!$B$8+K369*Rubric!$B$9+L369*Rubric!$B$10-IF(OR(H369&lt;Rubric!$B$12,K369&lt;Rubric!$B$12),Rubric!$B$13,0),2)</f>
        <v>8.1</v>
      </c>
      <c r="N369" s="14" t="n">
        <v>1202</v>
      </c>
      <c r="O369" s="2" t="s">
        <v>774</v>
      </c>
    </row>
    <row r="370" customFormat="false" ht="23.85" hidden="false" customHeight="false" outlineLevel="0" collapsed="false">
      <c r="A370" s="2" t="s">
        <v>197</v>
      </c>
      <c r="B370" s="2" t="s">
        <v>198</v>
      </c>
      <c r="C370" s="14" t="n">
        <v>0</v>
      </c>
      <c r="D370" s="14" t="n">
        <v>4</v>
      </c>
      <c r="E370" s="2" t="s">
        <v>371</v>
      </c>
      <c r="F370" s="15" t="n">
        <v>9</v>
      </c>
      <c r="G370" s="15" t="n">
        <v>7</v>
      </c>
      <c r="H370" s="15" t="n">
        <v>8</v>
      </c>
      <c r="I370" s="15" t="n">
        <v>4</v>
      </c>
      <c r="J370" s="15" t="n">
        <v>5</v>
      </c>
      <c r="K370" s="15" t="n">
        <v>8</v>
      </c>
      <c r="L370" s="15" t="n">
        <v>8</v>
      </c>
      <c r="M370" s="4" t="n">
        <f aca="false">ROUND(F370*Rubric!$B$4+G370*Rubric!$B$5+H370*Rubric!$B$6+I370*Rubric!$B$7+J370*Rubric!$B$8+K370*Rubric!$B$9+L370*Rubric!$B$10-IF(OR(H370&lt;Rubric!$B$12,K370&lt;Rubric!$B$12),Rubric!$B$13,0),2)</f>
        <v>6.3</v>
      </c>
      <c r="N370" s="14" t="n">
        <v>1203</v>
      </c>
      <c r="O370" s="2" t="s">
        <v>726</v>
      </c>
    </row>
    <row r="371" customFormat="false" ht="23.85" hidden="false" customHeight="false" outlineLevel="0" collapsed="false">
      <c r="A371" s="2" t="s">
        <v>197</v>
      </c>
      <c r="B371" s="2" t="s">
        <v>198</v>
      </c>
      <c r="C371" s="14" t="n">
        <v>1</v>
      </c>
      <c r="D371" s="14" t="n">
        <v>4</v>
      </c>
      <c r="E371" s="2" t="s">
        <v>542</v>
      </c>
      <c r="F371" s="15" t="n">
        <v>9</v>
      </c>
      <c r="G371" s="15" t="n">
        <v>7</v>
      </c>
      <c r="H371" s="15" t="n">
        <v>8</v>
      </c>
      <c r="I371" s="15" t="n">
        <v>8</v>
      </c>
      <c r="J371" s="15" t="n">
        <v>7</v>
      </c>
      <c r="K371" s="15" t="n">
        <v>8</v>
      </c>
      <c r="L371" s="15" t="n">
        <v>7</v>
      </c>
      <c r="M371" s="4" t="n">
        <f aca="false">ROUND(F371*Rubric!$B$4+G371*Rubric!$B$5+H371*Rubric!$B$6+I371*Rubric!$B$7+J371*Rubric!$B$8+K371*Rubric!$B$9+L371*Rubric!$B$10-IF(OR(H371&lt;Rubric!$B$12,K371&lt;Rubric!$B$12),Rubric!$B$13,0),2)</f>
        <v>7.4</v>
      </c>
      <c r="N371" s="14" t="n">
        <v>1203</v>
      </c>
      <c r="O371" s="2" t="s">
        <v>772</v>
      </c>
    </row>
    <row r="372" customFormat="false" ht="23.85" hidden="false" customHeight="false" outlineLevel="0" collapsed="false">
      <c r="A372" s="2" t="s">
        <v>197</v>
      </c>
      <c r="B372" s="2" t="s">
        <v>198</v>
      </c>
      <c r="C372" s="14" t="n">
        <v>3</v>
      </c>
      <c r="D372" s="14" t="n">
        <v>4</v>
      </c>
      <c r="E372" s="2" t="s">
        <v>516</v>
      </c>
      <c r="F372" s="15" t="n">
        <v>8</v>
      </c>
      <c r="G372" s="15" t="n">
        <v>8</v>
      </c>
      <c r="H372" s="15" t="n">
        <v>8</v>
      </c>
      <c r="I372" s="15" t="n">
        <v>3</v>
      </c>
      <c r="J372" s="15" t="n">
        <v>8</v>
      </c>
      <c r="K372" s="15" t="n">
        <v>8</v>
      </c>
      <c r="L372" s="15" t="n">
        <v>7</v>
      </c>
      <c r="M372" s="4" t="n">
        <f aca="false">ROUND(F372*Rubric!$B$4+G372*Rubric!$B$5+H372*Rubric!$B$6+I372*Rubric!$B$7+J372*Rubric!$B$8+K372*Rubric!$B$9+L372*Rubric!$B$10-IF(OR(H372&lt;Rubric!$B$12,K372&lt;Rubric!$B$12),Rubric!$B$13,0),2)</f>
        <v>7.4</v>
      </c>
      <c r="N372" s="14" t="n">
        <v>1203</v>
      </c>
      <c r="O372" s="2" t="s">
        <v>775</v>
      </c>
    </row>
    <row r="373" customFormat="false" ht="23.85" hidden="false" customHeight="false" outlineLevel="0" collapsed="false">
      <c r="A373" s="2" t="s">
        <v>197</v>
      </c>
      <c r="B373" s="2" t="s">
        <v>198</v>
      </c>
      <c r="C373" s="14" t="n">
        <v>0</v>
      </c>
      <c r="D373" s="14" t="n">
        <v>5</v>
      </c>
      <c r="E373" s="2" t="s">
        <v>361</v>
      </c>
      <c r="F373" s="15" t="n">
        <v>9</v>
      </c>
      <c r="G373" s="15" t="n">
        <v>7</v>
      </c>
      <c r="H373" s="15" t="n">
        <v>8</v>
      </c>
      <c r="I373" s="15" t="n">
        <v>8</v>
      </c>
      <c r="J373" s="15" t="n">
        <v>5</v>
      </c>
      <c r="K373" s="15" t="n">
        <v>8</v>
      </c>
      <c r="L373" s="15" t="n">
        <v>7</v>
      </c>
      <c r="M373" s="4" t="n">
        <f aca="false">ROUND(F373*Rubric!$B$4+G373*Rubric!$B$5+H373*Rubric!$B$6+I373*Rubric!$B$7+J373*Rubric!$B$8+K373*Rubric!$B$9+L373*Rubric!$B$10-IF(OR(H373&lt;Rubric!$B$12,K373&lt;Rubric!$B$12),Rubric!$B$13,0),2)</f>
        <v>6.6</v>
      </c>
      <c r="N373" s="14" t="n">
        <v>1204</v>
      </c>
      <c r="O373" s="2" t="s">
        <v>726</v>
      </c>
    </row>
    <row r="374" customFormat="false" ht="23.85" hidden="false" customHeight="false" outlineLevel="0" collapsed="false">
      <c r="A374" s="2" t="s">
        <v>197</v>
      </c>
      <c r="B374" s="2" t="s">
        <v>198</v>
      </c>
      <c r="C374" s="14" t="n">
        <v>1</v>
      </c>
      <c r="D374" s="14" t="n">
        <v>5</v>
      </c>
      <c r="E374" s="2" t="s">
        <v>776</v>
      </c>
      <c r="F374" s="15" t="n">
        <v>8</v>
      </c>
      <c r="G374" s="15" t="n">
        <v>8</v>
      </c>
      <c r="H374" s="15" t="n">
        <v>8</v>
      </c>
      <c r="I374" s="15" t="n">
        <v>3</v>
      </c>
      <c r="J374" s="15" t="n">
        <v>8</v>
      </c>
      <c r="K374" s="15" t="n">
        <v>8</v>
      </c>
      <c r="L374" s="15" t="n">
        <v>7</v>
      </c>
      <c r="M374" s="4" t="n">
        <f aca="false">ROUND(F374*Rubric!$B$4+G374*Rubric!$B$5+H374*Rubric!$B$6+I374*Rubric!$B$7+J374*Rubric!$B$8+K374*Rubric!$B$9+L374*Rubric!$B$10-IF(OR(H374&lt;Rubric!$B$12,K374&lt;Rubric!$B$12),Rubric!$B$13,0),2)</f>
        <v>7.4</v>
      </c>
      <c r="N374" s="14" t="n">
        <v>1204</v>
      </c>
      <c r="O374" s="2" t="s">
        <v>772</v>
      </c>
    </row>
    <row r="375" customFormat="false" ht="23.85" hidden="false" customHeight="false" outlineLevel="0" collapsed="false">
      <c r="A375" s="2" t="s">
        <v>197</v>
      </c>
      <c r="B375" s="2" t="s">
        <v>198</v>
      </c>
      <c r="C375" s="14" t="n">
        <v>2</v>
      </c>
      <c r="D375" s="14" t="n">
        <v>5</v>
      </c>
      <c r="E375" s="2" t="s">
        <v>517</v>
      </c>
      <c r="F375" s="15" t="n">
        <v>7</v>
      </c>
      <c r="G375" s="15" t="n">
        <v>8</v>
      </c>
      <c r="H375" s="15" t="n">
        <v>8</v>
      </c>
      <c r="I375" s="15" t="n">
        <v>3</v>
      </c>
      <c r="J375" s="15" t="n">
        <v>9</v>
      </c>
      <c r="K375" s="15" t="n">
        <v>8</v>
      </c>
      <c r="L375" s="15" t="n">
        <v>8</v>
      </c>
      <c r="M375" s="4" t="n">
        <f aca="false">ROUND(F375*Rubric!$B$4+G375*Rubric!$B$5+H375*Rubric!$B$6+I375*Rubric!$B$7+J375*Rubric!$B$8+K375*Rubric!$B$9+L375*Rubric!$B$10-IF(OR(H375&lt;Rubric!$B$12,K375&lt;Rubric!$B$12),Rubric!$B$13,0),2)</f>
        <v>7.85</v>
      </c>
      <c r="N375" s="14" t="n">
        <v>1204</v>
      </c>
      <c r="O375" s="2" t="s">
        <v>777</v>
      </c>
    </row>
    <row r="376" customFormat="false" ht="23.85" hidden="false" customHeight="false" outlineLevel="0" collapsed="false">
      <c r="A376" s="2" t="s">
        <v>203</v>
      </c>
      <c r="B376" s="2" t="s">
        <v>204</v>
      </c>
      <c r="C376" s="14" t="n">
        <v>0</v>
      </c>
      <c r="D376" s="14" t="n">
        <v>1</v>
      </c>
      <c r="E376" s="2" t="s">
        <v>367</v>
      </c>
      <c r="F376" s="15" t="n">
        <v>8</v>
      </c>
      <c r="G376" s="15" t="n">
        <v>7</v>
      </c>
      <c r="H376" s="15" t="n">
        <v>9</v>
      </c>
      <c r="I376" s="15" t="n">
        <v>2</v>
      </c>
      <c r="J376" s="15" t="n">
        <v>5</v>
      </c>
      <c r="K376" s="15" t="n">
        <v>8</v>
      </c>
      <c r="L376" s="15" t="n">
        <v>6</v>
      </c>
      <c r="M376" s="4" t="n">
        <f aca="false">ROUND(F376*Rubric!$B$4+G376*Rubric!$B$5+H376*Rubric!$B$6+I376*Rubric!$B$7+J376*Rubric!$B$8+K376*Rubric!$B$9+L376*Rubric!$B$10-IF(OR(H376&lt;Rubric!$B$12,K376&lt;Rubric!$B$12),Rubric!$B$13,0),2)</f>
        <v>5.95</v>
      </c>
      <c r="N376" s="14" t="n">
        <v>1210</v>
      </c>
      <c r="O376" s="2" t="s">
        <v>726</v>
      </c>
    </row>
    <row r="377" customFormat="false" ht="23.85" hidden="false" customHeight="false" outlineLevel="0" collapsed="false">
      <c r="A377" s="2" t="s">
        <v>203</v>
      </c>
      <c r="B377" s="2" t="s">
        <v>204</v>
      </c>
      <c r="C377" s="14" t="n">
        <v>1</v>
      </c>
      <c r="D377" s="14" t="n">
        <v>1</v>
      </c>
      <c r="E377" s="2" t="s">
        <v>546</v>
      </c>
      <c r="F377" s="15" t="n">
        <v>7</v>
      </c>
      <c r="G377" s="15" t="n">
        <v>8</v>
      </c>
      <c r="H377" s="15" t="n">
        <v>8</v>
      </c>
      <c r="I377" s="15" t="n">
        <v>3</v>
      </c>
      <c r="J377" s="15" t="n">
        <v>8</v>
      </c>
      <c r="K377" s="15" t="n">
        <v>8</v>
      </c>
      <c r="L377" s="15" t="n">
        <v>7</v>
      </c>
      <c r="M377" s="4" t="n">
        <f aca="false">ROUND(F377*Rubric!$B$4+G377*Rubric!$B$5+H377*Rubric!$B$6+I377*Rubric!$B$7+J377*Rubric!$B$8+K377*Rubric!$B$9+L377*Rubric!$B$10-IF(OR(H377&lt;Rubric!$B$12,K377&lt;Rubric!$B$12),Rubric!$B$13,0),2)</f>
        <v>7.35</v>
      </c>
      <c r="N377" s="14" t="n">
        <v>1210</v>
      </c>
      <c r="O377" s="2" t="s">
        <v>778</v>
      </c>
    </row>
    <row r="378" customFormat="false" ht="23.85" hidden="false" customHeight="false" outlineLevel="0" collapsed="false">
      <c r="A378" s="2" t="s">
        <v>203</v>
      </c>
      <c r="B378" s="2" t="s">
        <v>204</v>
      </c>
      <c r="C378" s="14" t="n">
        <v>2</v>
      </c>
      <c r="D378" s="14" t="n">
        <v>1</v>
      </c>
      <c r="E378" s="2" t="s">
        <v>513</v>
      </c>
      <c r="F378" s="15" t="n">
        <v>7</v>
      </c>
      <c r="G378" s="15" t="n">
        <v>8</v>
      </c>
      <c r="H378" s="15" t="n">
        <v>8</v>
      </c>
      <c r="I378" s="15" t="n">
        <v>3</v>
      </c>
      <c r="J378" s="15" t="n">
        <v>8</v>
      </c>
      <c r="K378" s="15" t="n">
        <v>8</v>
      </c>
      <c r="L378" s="15" t="n">
        <v>7</v>
      </c>
      <c r="M378" s="4" t="n">
        <f aca="false">ROUND(F378*Rubric!$B$4+G378*Rubric!$B$5+H378*Rubric!$B$6+I378*Rubric!$B$7+J378*Rubric!$B$8+K378*Rubric!$B$9+L378*Rubric!$B$10-IF(OR(H378&lt;Rubric!$B$12,K378&lt;Rubric!$B$12),Rubric!$B$13,0),2)</f>
        <v>7.35</v>
      </c>
      <c r="N378" s="14" t="n">
        <v>1210</v>
      </c>
      <c r="O378" s="2" t="s">
        <v>773</v>
      </c>
    </row>
    <row r="379" customFormat="false" ht="23.85" hidden="false" customHeight="false" outlineLevel="0" collapsed="false">
      <c r="A379" s="2" t="s">
        <v>203</v>
      </c>
      <c r="B379" s="2" t="s">
        <v>204</v>
      </c>
      <c r="C379" s="14" t="n">
        <v>0</v>
      </c>
      <c r="D379" s="14" t="n">
        <v>2</v>
      </c>
      <c r="E379" s="2" t="s">
        <v>368</v>
      </c>
      <c r="F379" s="15" t="n">
        <v>8</v>
      </c>
      <c r="G379" s="15" t="n">
        <v>8</v>
      </c>
      <c r="H379" s="15" t="n">
        <v>8</v>
      </c>
      <c r="I379" s="15" t="n">
        <v>3</v>
      </c>
      <c r="J379" s="15" t="n">
        <v>5</v>
      </c>
      <c r="K379" s="15" t="n">
        <v>8</v>
      </c>
      <c r="L379" s="15" t="n">
        <v>7</v>
      </c>
      <c r="M379" s="4" t="n">
        <f aca="false">ROUND(F379*Rubric!$B$4+G379*Rubric!$B$5+H379*Rubric!$B$6+I379*Rubric!$B$7+J379*Rubric!$B$8+K379*Rubric!$B$9+L379*Rubric!$B$10-IF(OR(H379&lt;Rubric!$B$12,K379&lt;Rubric!$B$12),Rubric!$B$13,0),2)</f>
        <v>6.2</v>
      </c>
      <c r="N379" s="14" t="n">
        <v>1211</v>
      </c>
      <c r="O379" s="2" t="s">
        <v>726</v>
      </c>
    </row>
    <row r="380" customFormat="false" ht="23.85" hidden="false" customHeight="false" outlineLevel="0" collapsed="false">
      <c r="A380" s="2" t="s">
        <v>203</v>
      </c>
      <c r="B380" s="2" t="s">
        <v>204</v>
      </c>
      <c r="C380" s="14" t="n">
        <v>1</v>
      </c>
      <c r="D380" s="14" t="n">
        <v>2</v>
      </c>
      <c r="E380" s="2" t="s">
        <v>514</v>
      </c>
      <c r="F380" s="15" t="n">
        <v>8</v>
      </c>
      <c r="G380" s="15" t="n">
        <v>8</v>
      </c>
      <c r="H380" s="15" t="n">
        <v>8</v>
      </c>
      <c r="I380" s="15" t="n">
        <v>4</v>
      </c>
      <c r="J380" s="15" t="n">
        <v>8</v>
      </c>
      <c r="K380" s="15" t="n">
        <v>7</v>
      </c>
      <c r="L380" s="15" t="n">
        <v>8</v>
      </c>
      <c r="M380" s="4" t="n">
        <f aca="false">ROUND(F380*Rubric!$B$4+G380*Rubric!$B$5+H380*Rubric!$B$6+I380*Rubric!$B$7+J380*Rubric!$B$8+K380*Rubric!$B$9+L380*Rubric!$B$10-IF(OR(H380&lt;Rubric!$B$12,K380&lt;Rubric!$B$12),Rubric!$B$13,0),2)</f>
        <v>7.5</v>
      </c>
      <c r="N380" s="14" t="n">
        <v>1211</v>
      </c>
      <c r="O380" s="2" t="s">
        <v>778</v>
      </c>
    </row>
    <row r="381" customFormat="false" ht="23.85" hidden="false" customHeight="false" outlineLevel="0" collapsed="false">
      <c r="A381" s="2" t="s">
        <v>203</v>
      </c>
      <c r="B381" s="2" t="s">
        <v>204</v>
      </c>
      <c r="C381" s="14" t="n">
        <v>0</v>
      </c>
      <c r="D381" s="14" t="n">
        <v>3</v>
      </c>
      <c r="E381" s="2" t="s">
        <v>369</v>
      </c>
      <c r="F381" s="15" t="n">
        <v>8</v>
      </c>
      <c r="G381" s="15" t="n">
        <v>8</v>
      </c>
      <c r="H381" s="15" t="n">
        <v>8</v>
      </c>
      <c r="I381" s="15" t="n">
        <v>2</v>
      </c>
      <c r="J381" s="15" t="n">
        <v>5</v>
      </c>
      <c r="K381" s="15" t="n">
        <v>8</v>
      </c>
      <c r="L381" s="15" t="n">
        <v>8</v>
      </c>
      <c r="M381" s="4" t="n">
        <f aca="false">ROUND(F381*Rubric!$B$4+G381*Rubric!$B$5+H381*Rubric!$B$6+I381*Rubric!$B$7+J381*Rubric!$B$8+K381*Rubric!$B$9+L381*Rubric!$B$10-IF(OR(H381&lt;Rubric!$B$12,K381&lt;Rubric!$B$12),Rubric!$B$13,0),2)</f>
        <v>6.2</v>
      </c>
      <c r="N381" s="14" t="n">
        <v>1212</v>
      </c>
      <c r="O381" s="2" t="s">
        <v>726</v>
      </c>
    </row>
    <row r="382" customFormat="false" ht="23.85" hidden="false" customHeight="false" outlineLevel="0" collapsed="false">
      <c r="A382" s="2" t="s">
        <v>203</v>
      </c>
      <c r="B382" s="2" t="s">
        <v>204</v>
      </c>
      <c r="C382" s="14" t="n">
        <v>1</v>
      </c>
      <c r="D382" s="14" t="n">
        <v>3</v>
      </c>
      <c r="E382" s="2" t="s">
        <v>563</v>
      </c>
      <c r="F382" s="15" t="n">
        <v>8</v>
      </c>
      <c r="G382" s="15" t="n">
        <v>7</v>
      </c>
      <c r="H382" s="15" t="n">
        <v>8</v>
      </c>
      <c r="I382" s="15" t="n">
        <v>4</v>
      </c>
      <c r="J382" s="15" t="n">
        <v>8</v>
      </c>
      <c r="K382" s="15" t="n">
        <v>8</v>
      </c>
      <c r="L382" s="15" t="n">
        <v>8</v>
      </c>
      <c r="M382" s="4" t="n">
        <f aca="false">ROUND(F382*Rubric!$B$4+G382*Rubric!$B$5+H382*Rubric!$B$6+I382*Rubric!$B$7+J382*Rubric!$B$8+K382*Rubric!$B$9+L382*Rubric!$B$10-IF(OR(H382&lt;Rubric!$B$12,K382&lt;Rubric!$B$12),Rubric!$B$13,0),2)</f>
        <v>7.45</v>
      </c>
      <c r="N382" s="14" t="n">
        <v>1212</v>
      </c>
      <c r="O382" s="2" t="s">
        <v>778</v>
      </c>
    </row>
    <row r="383" customFormat="false" ht="23.85" hidden="false" customHeight="false" outlineLevel="0" collapsed="false">
      <c r="A383" s="2" t="s">
        <v>203</v>
      </c>
      <c r="B383" s="2" t="s">
        <v>204</v>
      </c>
      <c r="C383" s="14" t="n">
        <v>2</v>
      </c>
      <c r="D383" s="14" t="n">
        <v>3</v>
      </c>
      <c r="E383" s="2" t="s">
        <v>515</v>
      </c>
      <c r="F383" s="15" t="n">
        <v>7</v>
      </c>
      <c r="G383" s="15" t="n">
        <v>9</v>
      </c>
      <c r="H383" s="15" t="n">
        <v>7</v>
      </c>
      <c r="I383" s="15" t="n">
        <v>3</v>
      </c>
      <c r="J383" s="15" t="n">
        <v>9</v>
      </c>
      <c r="K383" s="15" t="n">
        <v>9</v>
      </c>
      <c r="L383" s="15" t="n">
        <v>9</v>
      </c>
      <c r="M383" s="4" t="n">
        <f aca="false">ROUND(F383*Rubric!$B$4+G383*Rubric!$B$5+H383*Rubric!$B$6+I383*Rubric!$B$7+J383*Rubric!$B$8+K383*Rubric!$B$9+L383*Rubric!$B$10-IF(OR(H383&lt;Rubric!$B$12,K383&lt;Rubric!$B$12),Rubric!$B$13,0),2)</f>
        <v>8.1</v>
      </c>
      <c r="N383" s="14" t="n">
        <v>1212</v>
      </c>
      <c r="O383" s="2" t="s">
        <v>774</v>
      </c>
    </row>
    <row r="384" customFormat="false" ht="23.85" hidden="false" customHeight="false" outlineLevel="0" collapsed="false">
      <c r="A384" s="2" t="s">
        <v>203</v>
      </c>
      <c r="B384" s="2" t="s">
        <v>204</v>
      </c>
      <c r="C384" s="14" t="n">
        <v>0</v>
      </c>
      <c r="D384" s="14" t="n">
        <v>4</v>
      </c>
      <c r="E384" s="2" t="s">
        <v>371</v>
      </c>
      <c r="F384" s="15" t="n">
        <v>9</v>
      </c>
      <c r="G384" s="15" t="n">
        <v>7</v>
      </c>
      <c r="H384" s="15" t="n">
        <v>8</v>
      </c>
      <c r="I384" s="15" t="n">
        <v>4</v>
      </c>
      <c r="J384" s="15" t="n">
        <v>5</v>
      </c>
      <c r="K384" s="15" t="n">
        <v>8</v>
      </c>
      <c r="L384" s="15" t="n">
        <v>8</v>
      </c>
      <c r="M384" s="4" t="n">
        <f aca="false">ROUND(F384*Rubric!$B$4+G384*Rubric!$B$5+H384*Rubric!$B$6+I384*Rubric!$B$7+J384*Rubric!$B$8+K384*Rubric!$B$9+L384*Rubric!$B$10-IF(OR(H384&lt;Rubric!$B$12,K384&lt;Rubric!$B$12),Rubric!$B$13,0),2)</f>
        <v>6.3</v>
      </c>
      <c r="N384" s="14" t="n">
        <v>1213</v>
      </c>
      <c r="O384" s="2" t="s">
        <v>726</v>
      </c>
    </row>
    <row r="385" customFormat="false" ht="23.85" hidden="false" customHeight="false" outlineLevel="0" collapsed="false">
      <c r="A385" s="2" t="s">
        <v>203</v>
      </c>
      <c r="B385" s="2" t="s">
        <v>204</v>
      </c>
      <c r="C385" s="14" t="n">
        <v>1</v>
      </c>
      <c r="D385" s="14" t="n">
        <v>4</v>
      </c>
      <c r="E385" s="2" t="s">
        <v>542</v>
      </c>
      <c r="F385" s="15" t="n">
        <v>9</v>
      </c>
      <c r="G385" s="15" t="n">
        <v>7</v>
      </c>
      <c r="H385" s="15" t="n">
        <v>8</v>
      </c>
      <c r="I385" s="15" t="n">
        <v>8</v>
      </c>
      <c r="J385" s="15" t="n">
        <v>7</v>
      </c>
      <c r="K385" s="15" t="n">
        <v>8</v>
      </c>
      <c r="L385" s="15" t="n">
        <v>7</v>
      </c>
      <c r="M385" s="4" t="n">
        <f aca="false">ROUND(F385*Rubric!$B$4+G385*Rubric!$B$5+H385*Rubric!$B$6+I385*Rubric!$B$7+J385*Rubric!$B$8+K385*Rubric!$B$9+L385*Rubric!$B$10-IF(OR(H385&lt;Rubric!$B$12,K385&lt;Rubric!$B$12),Rubric!$B$13,0),2)</f>
        <v>7.4</v>
      </c>
      <c r="N385" s="14" t="n">
        <v>1213</v>
      </c>
      <c r="O385" s="2" t="s">
        <v>778</v>
      </c>
    </row>
    <row r="386" customFormat="false" ht="23.85" hidden="false" customHeight="false" outlineLevel="0" collapsed="false">
      <c r="A386" s="2" t="s">
        <v>203</v>
      </c>
      <c r="B386" s="2" t="s">
        <v>204</v>
      </c>
      <c r="C386" s="14" t="n">
        <v>3</v>
      </c>
      <c r="D386" s="14" t="n">
        <v>4</v>
      </c>
      <c r="E386" s="2" t="s">
        <v>516</v>
      </c>
      <c r="F386" s="15" t="n">
        <v>8</v>
      </c>
      <c r="G386" s="15" t="n">
        <v>8</v>
      </c>
      <c r="H386" s="15" t="n">
        <v>8</v>
      </c>
      <c r="I386" s="15" t="n">
        <v>3</v>
      </c>
      <c r="J386" s="15" t="n">
        <v>8</v>
      </c>
      <c r="K386" s="15" t="n">
        <v>8</v>
      </c>
      <c r="L386" s="15" t="n">
        <v>7</v>
      </c>
      <c r="M386" s="4" t="n">
        <f aca="false">ROUND(F386*Rubric!$B$4+G386*Rubric!$B$5+H386*Rubric!$B$6+I386*Rubric!$B$7+J386*Rubric!$B$8+K386*Rubric!$B$9+L386*Rubric!$B$10-IF(OR(H386&lt;Rubric!$B$12,K386&lt;Rubric!$B$12),Rubric!$B$13,0),2)</f>
        <v>7.4</v>
      </c>
      <c r="N386" s="14" t="n">
        <v>1213</v>
      </c>
      <c r="O386" s="2" t="s">
        <v>775</v>
      </c>
    </row>
    <row r="387" customFormat="false" ht="23.85" hidden="false" customHeight="false" outlineLevel="0" collapsed="false">
      <c r="A387" s="2" t="s">
        <v>203</v>
      </c>
      <c r="B387" s="2" t="s">
        <v>204</v>
      </c>
      <c r="C387" s="14" t="n">
        <v>0</v>
      </c>
      <c r="D387" s="14" t="n">
        <v>5</v>
      </c>
      <c r="E387" s="2" t="s">
        <v>361</v>
      </c>
      <c r="F387" s="15" t="n">
        <v>9</v>
      </c>
      <c r="G387" s="15" t="n">
        <v>7</v>
      </c>
      <c r="H387" s="15" t="n">
        <v>8</v>
      </c>
      <c r="I387" s="15" t="n">
        <v>8</v>
      </c>
      <c r="J387" s="15" t="n">
        <v>5</v>
      </c>
      <c r="K387" s="15" t="n">
        <v>8</v>
      </c>
      <c r="L387" s="15" t="n">
        <v>7</v>
      </c>
      <c r="M387" s="4" t="n">
        <f aca="false">ROUND(F387*Rubric!$B$4+G387*Rubric!$B$5+H387*Rubric!$B$6+I387*Rubric!$B$7+J387*Rubric!$B$8+K387*Rubric!$B$9+L387*Rubric!$B$10-IF(OR(H387&lt;Rubric!$B$12,K387&lt;Rubric!$B$12),Rubric!$B$13,0),2)</f>
        <v>6.6</v>
      </c>
      <c r="N387" s="14" t="n">
        <v>1214</v>
      </c>
      <c r="O387" s="2" t="s">
        <v>726</v>
      </c>
    </row>
    <row r="388" customFormat="false" ht="23.85" hidden="false" customHeight="false" outlineLevel="0" collapsed="false">
      <c r="A388" s="2" t="s">
        <v>203</v>
      </c>
      <c r="B388" s="2" t="s">
        <v>204</v>
      </c>
      <c r="C388" s="14" t="n">
        <v>1</v>
      </c>
      <c r="D388" s="14" t="n">
        <v>5</v>
      </c>
      <c r="E388" s="2" t="s">
        <v>776</v>
      </c>
      <c r="F388" s="15" t="n">
        <v>8</v>
      </c>
      <c r="G388" s="15" t="n">
        <v>8</v>
      </c>
      <c r="H388" s="15" t="n">
        <v>8</v>
      </c>
      <c r="I388" s="15" t="n">
        <v>3</v>
      </c>
      <c r="J388" s="15" t="n">
        <v>8</v>
      </c>
      <c r="K388" s="15" t="n">
        <v>8</v>
      </c>
      <c r="L388" s="15" t="n">
        <v>7</v>
      </c>
      <c r="M388" s="4" t="n">
        <f aca="false">ROUND(F388*Rubric!$B$4+G388*Rubric!$B$5+H388*Rubric!$B$6+I388*Rubric!$B$7+J388*Rubric!$B$8+K388*Rubric!$B$9+L388*Rubric!$B$10-IF(OR(H388&lt;Rubric!$B$12,K388&lt;Rubric!$B$12),Rubric!$B$13,0),2)</f>
        <v>7.4</v>
      </c>
      <c r="N388" s="14" t="n">
        <v>1214</v>
      </c>
      <c r="O388" s="2" t="s">
        <v>778</v>
      </c>
    </row>
    <row r="389" customFormat="false" ht="23.85" hidden="false" customHeight="false" outlineLevel="0" collapsed="false">
      <c r="A389" s="2" t="s">
        <v>203</v>
      </c>
      <c r="B389" s="2" t="s">
        <v>204</v>
      </c>
      <c r="C389" s="14" t="n">
        <v>2</v>
      </c>
      <c r="D389" s="14" t="n">
        <v>5</v>
      </c>
      <c r="E389" s="2" t="s">
        <v>517</v>
      </c>
      <c r="F389" s="15" t="n">
        <v>7</v>
      </c>
      <c r="G389" s="15" t="n">
        <v>8</v>
      </c>
      <c r="H389" s="15" t="n">
        <v>8</v>
      </c>
      <c r="I389" s="15" t="n">
        <v>3</v>
      </c>
      <c r="J389" s="15" t="n">
        <v>9</v>
      </c>
      <c r="K389" s="15" t="n">
        <v>8</v>
      </c>
      <c r="L389" s="15" t="n">
        <v>8</v>
      </c>
      <c r="M389" s="4" t="n">
        <f aca="false">ROUND(F389*Rubric!$B$4+G389*Rubric!$B$5+H389*Rubric!$B$6+I389*Rubric!$B$7+J389*Rubric!$B$8+K389*Rubric!$B$9+L389*Rubric!$B$10-IF(OR(H389&lt;Rubric!$B$12,K389&lt;Rubric!$B$12),Rubric!$B$13,0),2)</f>
        <v>7.85</v>
      </c>
      <c r="N389" s="14" t="n">
        <v>1214</v>
      </c>
      <c r="O389" s="2" t="s">
        <v>777</v>
      </c>
    </row>
    <row r="390" customFormat="false" ht="23.85" hidden="false" customHeight="false" outlineLevel="0" collapsed="false">
      <c r="A390" s="2" t="s">
        <v>208</v>
      </c>
      <c r="B390" s="2" t="s">
        <v>209</v>
      </c>
      <c r="C390" s="14" t="n">
        <v>0</v>
      </c>
      <c r="D390" s="14" t="n">
        <v>1</v>
      </c>
      <c r="E390" s="2" t="s">
        <v>388</v>
      </c>
      <c r="F390" s="15" t="n">
        <v>9</v>
      </c>
      <c r="G390" s="15" t="n">
        <v>9</v>
      </c>
      <c r="H390" s="15" t="n">
        <v>7</v>
      </c>
      <c r="I390" s="15" t="n">
        <v>3</v>
      </c>
      <c r="J390" s="15" t="n">
        <v>8</v>
      </c>
      <c r="K390" s="15" t="n">
        <v>7</v>
      </c>
      <c r="L390" s="15" t="n">
        <v>8</v>
      </c>
      <c r="M390" s="4" t="n">
        <f aca="false">ROUND(F390*Rubric!$B$4+G390*Rubric!$B$5+H390*Rubric!$B$6+I390*Rubric!$B$7+J390*Rubric!$B$8+K390*Rubric!$B$9+L390*Rubric!$B$10-IF(OR(H390&lt;Rubric!$B$12,K390&lt;Rubric!$B$12),Rubric!$B$13,0),2)</f>
        <v>7.5</v>
      </c>
      <c r="N390" s="14" t="n">
        <v>1220</v>
      </c>
      <c r="O390" s="2" t="s">
        <v>726</v>
      </c>
    </row>
    <row r="391" customFormat="false" ht="23.85" hidden="false" customHeight="false" outlineLevel="0" collapsed="false">
      <c r="A391" s="2" t="s">
        <v>208</v>
      </c>
      <c r="B391" s="2" t="s">
        <v>209</v>
      </c>
      <c r="C391" s="14" t="n">
        <v>1</v>
      </c>
      <c r="D391" s="14" t="n">
        <v>1</v>
      </c>
      <c r="E391" s="2" t="s">
        <v>518</v>
      </c>
      <c r="F391" s="15" t="n">
        <v>8</v>
      </c>
      <c r="G391" s="15" t="n">
        <v>9</v>
      </c>
      <c r="H391" s="15" t="n">
        <v>7</v>
      </c>
      <c r="I391" s="15" t="n">
        <v>3</v>
      </c>
      <c r="J391" s="15" t="n">
        <v>10</v>
      </c>
      <c r="K391" s="15" t="n">
        <v>9</v>
      </c>
      <c r="L391" s="15" t="n">
        <v>9</v>
      </c>
      <c r="M391" s="4" t="n">
        <f aca="false">ROUND(F391*Rubric!$B$4+G391*Rubric!$B$5+H391*Rubric!$B$6+I391*Rubric!$B$7+J391*Rubric!$B$8+K391*Rubric!$B$9+L391*Rubric!$B$10-IF(OR(H391&lt;Rubric!$B$12,K391&lt;Rubric!$B$12),Rubric!$B$13,0),2)</f>
        <v>8.55</v>
      </c>
      <c r="N391" s="14" t="n">
        <v>1220</v>
      </c>
      <c r="O391" s="2" t="s">
        <v>779</v>
      </c>
    </row>
    <row r="392" customFormat="false" ht="23.85" hidden="false" customHeight="false" outlineLevel="0" collapsed="false">
      <c r="A392" s="2" t="s">
        <v>208</v>
      </c>
      <c r="B392" s="2" t="s">
        <v>209</v>
      </c>
      <c r="C392" s="14" t="n">
        <v>0</v>
      </c>
      <c r="D392" s="14" t="n">
        <v>2</v>
      </c>
      <c r="E392" s="2" t="s">
        <v>389</v>
      </c>
      <c r="F392" s="15" t="n">
        <v>9</v>
      </c>
      <c r="G392" s="15" t="n">
        <v>8</v>
      </c>
      <c r="H392" s="15" t="n">
        <v>8</v>
      </c>
      <c r="I392" s="15" t="n">
        <v>3</v>
      </c>
      <c r="J392" s="15" t="n">
        <v>8</v>
      </c>
      <c r="K392" s="15" t="n">
        <v>8</v>
      </c>
      <c r="L392" s="15" t="n">
        <v>8</v>
      </c>
      <c r="M392" s="4" t="n">
        <f aca="false">ROUND(F392*Rubric!$B$4+G392*Rubric!$B$5+H392*Rubric!$B$6+I392*Rubric!$B$7+J392*Rubric!$B$8+K392*Rubric!$B$9+L392*Rubric!$B$10-IF(OR(H392&lt;Rubric!$B$12,K392&lt;Rubric!$B$12),Rubric!$B$13,0),2)</f>
        <v>7.55</v>
      </c>
      <c r="N392" s="14" t="n">
        <v>1221</v>
      </c>
      <c r="O392" s="2" t="s">
        <v>726</v>
      </c>
    </row>
    <row r="393" customFormat="false" ht="23.85" hidden="false" customHeight="false" outlineLevel="0" collapsed="false">
      <c r="A393" s="2" t="s">
        <v>208</v>
      </c>
      <c r="B393" s="2" t="s">
        <v>209</v>
      </c>
      <c r="C393" s="14" t="n">
        <v>1</v>
      </c>
      <c r="D393" s="14" t="n">
        <v>2</v>
      </c>
      <c r="E393" s="2" t="s">
        <v>420</v>
      </c>
      <c r="F393" s="15" t="n">
        <v>6</v>
      </c>
      <c r="G393" s="15" t="n">
        <v>8</v>
      </c>
      <c r="H393" s="15" t="n">
        <v>8</v>
      </c>
      <c r="I393" s="15" t="n">
        <v>3</v>
      </c>
      <c r="J393" s="15" t="n">
        <v>9</v>
      </c>
      <c r="K393" s="15" t="n">
        <v>8</v>
      </c>
      <c r="L393" s="15" t="n">
        <v>8</v>
      </c>
      <c r="M393" s="4" t="n">
        <f aca="false">ROUND(F393*Rubric!$B$4+G393*Rubric!$B$5+H393*Rubric!$B$6+I393*Rubric!$B$7+J393*Rubric!$B$8+K393*Rubric!$B$9+L393*Rubric!$B$10-IF(OR(H393&lt;Rubric!$B$12,K393&lt;Rubric!$B$12),Rubric!$B$13,0),2)</f>
        <v>7.8</v>
      </c>
      <c r="N393" s="14" t="n">
        <v>1221</v>
      </c>
      <c r="O393" s="2" t="s">
        <v>779</v>
      </c>
    </row>
    <row r="394" customFormat="false" ht="23.85" hidden="false" customHeight="false" outlineLevel="0" collapsed="false">
      <c r="A394" s="2" t="s">
        <v>208</v>
      </c>
      <c r="B394" s="2" t="s">
        <v>209</v>
      </c>
      <c r="C394" s="14" t="n">
        <v>0</v>
      </c>
      <c r="D394" s="14" t="n">
        <v>3</v>
      </c>
      <c r="E394" s="2" t="s">
        <v>417</v>
      </c>
      <c r="F394" s="15" t="n">
        <v>8</v>
      </c>
      <c r="G394" s="15" t="n">
        <v>8</v>
      </c>
      <c r="H394" s="15" t="n">
        <v>8</v>
      </c>
      <c r="I394" s="15" t="n">
        <v>3</v>
      </c>
      <c r="J394" s="15" t="n">
        <v>8</v>
      </c>
      <c r="K394" s="15" t="n">
        <v>8</v>
      </c>
      <c r="L394" s="15" t="n">
        <v>9</v>
      </c>
      <c r="M394" s="4" t="n">
        <f aca="false">ROUND(F394*Rubric!$B$4+G394*Rubric!$B$5+H394*Rubric!$B$6+I394*Rubric!$B$7+J394*Rubric!$B$8+K394*Rubric!$B$9+L394*Rubric!$B$10-IF(OR(H394&lt;Rubric!$B$12,K394&lt;Rubric!$B$12),Rubric!$B$13,0),2)</f>
        <v>7.6</v>
      </c>
      <c r="N394" s="14" t="n">
        <v>1222</v>
      </c>
      <c r="O394" s="2" t="s">
        <v>726</v>
      </c>
    </row>
    <row r="395" customFormat="false" ht="23.85" hidden="false" customHeight="false" outlineLevel="0" collapsed="false">
      <c r="A395" s="2" t="s">
        <v>208</v>
      </c>
      <c r="B395" s="2" t="s">
        <v>209</v>
      </c>
      <c r="C395" s="14" t="n">
        <v>1</v>
      </c>
      <c r="D395" s="14" t="n">
        <v>3</v>
      </c>
      <c r="E395" s="2" t="s">
        <v>519</v>
      </c>
      <c r="F395" s="15" t="n">
        <v>9</v>
      </c>
      <c r="G395" s="15" t="n">
        <v>9</v>
      </c>
      <c r="H395" s="15" t="n">
        <v>7</v>
      </c>
      <c r="I395" s="15" t="n">
        <v>3</v>
      </c>
      <c r="J395" s="15" t="n">
        <v>9</v>
      </c>
      <c r="K395" s="15" t="n">
        <v>7</v>
      </c>
      <c r="L395" s="15" t="n">
        <v>8</v>
      </c>
      <c r="M395" s="4" t="n">
        <f aca="false">ROUND(F395*Rubric!$B$4+G395*Rubric!$B$5+H395*Rubric!$B$6+I395*Rubric!$B$7+J395*Rubric!$B$8+K395*Rubric!$B$9+L395*Rubric!$B$10-IF(OR(H395&lt;Rubric!$B$12,K395&lt;Rubric!$B$12),Rubric!$B$13,0),2)</f>
        <v>7.9</v>
      </c>
      <c r="N395" s="14" t="n">
        <v>1222</v>
      </c>
      <c r="O395" s="2" t="s">
        <v>779</v>
      </c>
    </row>
    <row r="396" customFormat="false" ht="23.85" hidden="false" customHeight="false" outlineLevel="0" collapsed="false">
      <c r="A396" s="2" t="s">
        <v>208</v>
      </c>
      <c r="B396" s="2" t="s">
        <v>209</v>
      </c>
      <c r="C396" s="14" t="n">
        <v>0</v>
      </c>
      <c r="D396" s="14" t="n">
        <v>4</v>
      </c>
      <c r="E396" s="2" t="s">
        <v>420</v>
      </c>
      <c r="F396" s="15" t="n">
        <v>8</v>
      </c>
      <c r="G396" s="15" t="n">
        <v>8</v>
      </c>
      <c r="H396" s="15" t="n">
        <v>8</v>
      </c>
      <c r="I396" s="15" t="n">
        <v>3</v>
      </c>
      <c r="J396" s="15" t="n">
        <v>8</v>
      </c>
      <c r="K396" s="15" t="n">
        <v>8</v>
      </c>
      <c r="L396" s="15" t="n">
        <v>8</v>
      </c>
      <c r="M396" s="4" t="n">
        <f aca="false">ROUND(F396*Rubric!$B$4+G396*Rubric!$B$5+H396*Rubric!$B$6+I396*Rubric!$B$7+J396*Rubric!$B$8+K396*Rubric!$B$9+L396*Rubric!$B$10-IF(OR(H396&lt;Rubric!$B$12,K396&lt;Rubric!$B$12),Rubric!$B$13,0),2)</f>
        <v>7.5</v>
      </c>
      <c r="N396" s="14" t="n">
        <v>1223</v>
      </c>
      <c r="O396" s="2" t="s">
        <v>726</v>
      </c>
    </row>
    <row r="397" customFormat="false" ht="23.85" hidden="false" customHeight="false" outlineLevel="0" collapsed="false">
      <c r="A397" s="2" t="s">
        <v>208</v>
      </c>
      <c r="B397" s="2" t="s">
        <v>209</v>
      </c>
      <c r="C397" s="14" t="n">
        <v>1</v>
      </c>
      <c r="D397" s="14" t="n">
        <v>4</v>
      </c>
      <c r="E397" s="2" t="s">
        <v>780</v>
      </c>
      <c r="F397" s="15" t="n">
        <v>8</v>
      </c>
      <c r="G397" s="15" t="n">
        <v>8</v>
      </c>
      <c r="H397" s="15" t="n">
        <v>8</v>
      </c>
      <c r="I397" s="15" t="n">
        <v>3</v>
      </c>
      <c r="J397" s="15" t="n">
        <v>8</v>
      </c>
      <c r="K397" s="15" t="n">
        <v>8</v>
      </c>
      <c r="L397" s="15" t="n">
        <v>7</v>
      </c>
      <c r="M397" s="4" t="n">
        <f aca="false">ROUND(F397*Rubric!$B$4+G397*Rubric!$B$5+H397*Rubric!$B$6+I397*Rubric!$B$7+J397*Rubric!$B$8+K397*Rubric!$B$9+L397*Rubric!$B$10-IF(OR(H397&lt;Rubric!$B$12,K397&lt;Rubric!$B$12),Rubric!$B$13,0),2)</f>
        <v>7.4</v>
      </c>
      <c r="N397" s="14" t="n">
        <v>1223</v>
      </c>
      <c r="O397" s="2" t="s">
        <v>779</v>
      </c>
    </row>
    <row r="398" customFormat="false" ht="23.85" hidden="false" customHeight="false" outlineLevel="0" collapsed="false">
      <c r="A398" s="2" t="s">
        <v>208</v>
      </c>
      <c r="B398" s="2" t="s">
        <v>209</v>
      </c>
      <c r="C398" s="14" t="n">
        <v>3</v>
      </c>
      <c r="D398" s="14" t="n">
        <v>4</v>
      </c>
      <c r="E398" s="2" t="s">
        <v>417</v>
      </c>
      <c r="F398" s="15" t="n">
        <v>7</v>
      </c>
      <c r="G398" s="15" t="n">
        <v>8</v>
      </c>
      <c r="H398" s="15" t="n">
        <v>8</v>
      </c>
      <c r="I398" s="15" t="n">
        <v>3</v>
      </c>
      <c r="J398" s="15" t="n">
        <v>10</v>
      </c>
      <c r="K398" s="15" t="n">
        <v>8</v>
      </c>
      <c r="L398" s="15" t="n">
        <v>9</v>
      </c>
      <c r="M398" s="4" t="n">
        <f aca="false">ROUND(F398*Rubric!$B$4+G398*Rubric!$B$5+H398*Rubric!$B$6+I398*Rubric!$B$7+J398*Rubric!$B$8+K398*Rubric!$B$9+L398*Rubric!$B$10-IF(OR(H398&lt;Rubric!$B$12,K398&lt;Rubric!$B$12),Rubric!$B$13,0),2)</f>
        <v>8.35</v>
      </c>
      <c r="N398" s="14" t="n">
        <v>1223</v>
      </c>
      <c r="O398" s="2" t="s">
        <v>781</v>
      </c>
    </row>
    <row r="399" customFormat="false" ht="23.85" hidden="false" customHeight="false" outlineLevel="0" collapsed="false">
      <c r="A399" s="2" t="s">
        <v>208</v>
      </c>
      <c r="B399" s="2" t="s">
        <v>209</v>
      </c>
      <c r="C399" s="14" t="n">
        <v>0</v>
      </c>
      <c r="D399" s="14" t="n">
        <v>5</v>
      </c>
      <c r="E399" s="2" t="s">
        <v>361</v>
      </c>
      <c r="F399" s="15" t="n">
        <v>9</v>
      </c>
      <c r="G399" s="15" t="n">
        <v>7</v>
      </c>
      <c r="H399" s="15" t="n">
        <v>8</v>
      </c>
      <c r="I399" s="15" t="n">
        <v>8</v>
      </c>
      <c r="J399" s="15" t="n">
        <v>5</v>
      </c>
      <c r="K399" s="15" t="n">
        <v>8</v>
      </c>
      <c r="L399" s="15" t="n">
        <v>7</v>
      </c>
      <c r="M399" s="4" t="n">
        <f aca="false">ROUND(F399*Rubric!$B$4+G399*Rubric!$B$5+H399*Rubric!$B$6+I399*Rubric!$B$7+J399*Rubric!$B$8+K399*Rubric!$B$9+L399*Rubric!$B$10-IF(OR(H399&lt;Rubric!$B$12,K399&lt;Rubric!$B$12),Rubric!$B$13,0),2)</f>
        <v>6.6</v>
      </c>
      <c r="N399" s="14" t="n">
        <v>1224</v>
      </c>
      <c r="O399" s="2" t="s">
        <v>726</v>
      </c>
    </row>
    <row r="400" customFormat="false" ht="23.85" hidden="false" customHeight="false" outlineLevel="0" collapsed="false">
      <c r="A400" s="2" t="s">
        <v>208</v>
      </c>
      <c r="B400" s="2" t="s">
        <v>209</v>
      </c>
      <c r="C400" s="14" t="n">
        <v>1</v>
      </c>
      <c r="D400" s="14" t="n">
        <v>5</v>
      </c>
      <c r="E400" s="2" t="s">
        <v>452</v>
      </c>
      <c r="F400" s="15" t="n">
        <v>8</v>
      </c>
      <c r="G400" s="15" t="n">
        <v>8</v>
      </c>
      <c r="H400" s="15" t="n">
        <v>7</v>
      </c>
      <c r="I400" s="15" t="n">
        <v>9</v>
      </c>
      <c r="J400" s="15" t="n">
        <v>8</v>
      </c>
      <c r="K400" s="15" t="n">
        <v>8</v>
      </c>
      <c r="L400" s="15" t="n">
        <v>9</v>
      </c>
      <c r="M400" s="4" t="n">
        <f aca="false">ROUND(F400*Rubric!$B$4+G400*Rubric!$B$5+H400*Rubric!$B$6+I400*Rubric!$B$7+J400*Rubric!$B$8+K400*Rubric!$B$9+L400*Rubric!$B$10-IF(OR(H400&lt;Rubric!$B$12,K400&lt;Rubric!$B$12),Rubric!$B$13,0),2)</f>
        <v>8.1</v>
      </c>
      <c r="N400" s="14" t="n">
        <v>1224</v>
      </c>
      <c r="O400" s="2" t="s">
        <v>779</v>
      </c>
    </row>
    <row r="401" customFormat="false" ht="23.85" hidden="false" customHeight="false" outlineLevel="0" collapsed="false">
      <c r="A401" s="2" t="s">
        <v>214</v>
      </c>
      <c r="B401" s="2" t="s">
        <v>215</v>
      </c>
      <c r="C401" s="14" t="n">
        <v>0</v>
      </c>
      <c r="D401" s="14" t="n">
        <v>1</v>
      </c>
      <c r="E401" s="2" t="s">
        <v>357</v>
      </c>
      <c r="F401" s="15" t="n">
        <v>7</v>
      </c>
      <c r="G401" s="15" t="n">
        <v>8</v>
      </c>
      <c r="H401" s="15" t="n">
        <v>8</v>
      </c>
      <c r="I401" s="15" t="n">
        <v>4</v>
      </c>
      <c r="J401" s="15" t="n">
        <v>8</v>
      </c>
      <c r="K401" s="15" t="n">
        <v>8</v>
      </c>
      <c r="L401" s="15" t="n">
        <v>8</v>
      </c>
      <c r="M401" s="4" t="n">
        <f aca="false">ROUND(F401*Rubric!$B$4+G401*Rubric!$B$5+H401*Rubric!$B$6+I401*Rubric!$B$7+J401*Rubric!$B$8+K401*Rubric!$B$9+L401*Rubric!$B$10-IF(OR(H401&lt;Rubric!$B$12,K401&lt;Rubric!$B$12),Rubric!$B$13,0),2)</f>
        <v>7.55</v>
      </c>
      <c r="N401" s="14" t="n">
        <v>1230</v>
      </c>
      <c r="O401" s="2" t="s">
        <v>726</v>
      </c>
    </row>
    <row r="402" customFormat="false" ht="23.85" hidden="false" customHeight="false" outlineLevel="0" collapsed="false">
      <c r="A402" s="2" t="s">
        <v>214</v>
      </c>
      <c r="B402" s="2" t="s">
        <v>215</v>
      </c>
      <c r="C402" s="14" t="n">
        <v>1</v>
      </c>
      <c r="D402" s="14" t="n">
        <v>1</v>
      </c>
      <c r="E402" s="2" t="s">
        <v>520</v>
      </c>
      <c r="F402" s="15" t="n">
        <v>8</v>
      </c>
      <c r="G402" s="15" t="n">
        <v>9</v>
      </c>
      <c r="H402" s="15" t="n">
        <v>8</v>
      </c>
      <c r="I402" s="15" t="n">
        <v>3</v>
      </c>
      <c r="J402" s="15" t="n">
        <v>10</v>
      </c>
      <c r="K402" s="15" t="n">
        <v>9</v>
      </c>
      <c r="L402" s="15" t="n">
        <v>8</v>
      </c>
      <c r="M402" s="4" t="n">
        <f aca="false">ROUND(F402*Rubric!$B$4+G402*Rubric!$B$5+H402*Rubric!$B$6+I402*Rubric!$B$7+J402*Rubric!$B$8+K402*Rubric!$B$9+L402*Rubric!$B$10-IF(OR(H402&lt;Rubric!$B$12,K402&lt;Rubric!$B$12),Rubric!$B$13,0),2)</f>
        <v>8.55</v>
      </c>
      <c r="N402" s="14" t="n">
        <v>1230</v>
      </c>
      <c r="O402" s="2" t="s">
        <v>782</v>
      </c>
    </row>
    <row r="403" customFormat="false" ht="23.85" hidden="false" customHeight="false" outlineLevel="0" collapsed="false">
      <c r="A403" s="2" t="s">
        <v>214</v>
      </c>
      <c r="B403" s="2" t="s">
        <v>215</v>
      </c>
      <c r="C403" s="14" t="n">
        <v>0</v>
      </c>
      <c r="D403" s="14" t="n">
        <v>2</v>
      </c>
      <c r="E403" s="2" t="s">
        <v>358</v>
      </c>
      <c r="F403" s="15" t="n">
        <v>9</v>
      </c>
      <c r="G403" s="15" t="n">
        <v>9</v>
      </c>
      <c r="H403" s="15" t="n">
        <v>8</v>
      </c>
      <c r="I403" s="15" t="n">
        <v>4</v>
      </c>
      <c r="J403" s="15" t="n">
        <v>6</v>
      </c>
      <c r="K403" s="15" t="n">
        <v>9</v>
      </c>
      <c r="L403" s="15" t="n">
        <v>8</v>
      </c>
      <c r="M403" s="4" t="n">
        <f aca="false">ROUND(F403*Rubric!$B$4+G403*Rubric!$B$5+H403*Rubric!$B$6+I403*Rubric!$B$7+J403*Rubric!$B$8+K403*Rubric!$B$9+L403*Rubric!$B$10-IF(OR(H403&lt;Rubric!$B$12,K403&lt;Rubric!$B$12),Rubric!$B$13,0),2)</f>
        <v>7.1</v>
      </c>
      <c r="N403" s="14" t="n">
        <v>1231</v>
      </c>
      <c r="O403" s="2" t="s">
        <v>726</v>
      </c>
    </row>
    <row r="404" customFormat="false" ht="23.85" hidden="false" customHeight="false" outlineLevel="0" collapsed="false">
      <c r="A404" s="2" t="s">
        <v>214</v>
      </c>
      <c r="B404" s="2" t="s">
        <v>215</v>
      </c>
      <c r="C404" s="14" t="n">
        <v>1</v>
      </c>
      <c r="D404" s="14" t="n">
        <v>2</v>
      </c>
      <c r="E404" s="2" t="s">
        <v>521</v>
      </c>
      <c r="F404" s="15" t="n">
        <v>9</v>
      </c>
      <c r="G404" s="15" t="n">
        <v>8</v>
      </c>
      <c r="H404" s="15" t="n">
        <v>8</v>
      </c>
      <c r="I404" s="15" t="n">
        <v>3</v>
      </c>
      <c r="J404" s="15" t="n">
        <v>9</v>
      </c>
      <c r="K404" s="15" t="n">
        <v>8</v>
      </c>
      <c r="L404" s="15" t="n">
        <v>6</v>
      </c>
      <c r="M404" s="4" t="n">
        <f aca="false">ROUND(F404*Rubric!$B$4+G404*Rubric!$B$5+H404*Rubric!$B$6+I404*Rubric!$B$7+J404*Rubric!$B$8+K404*Rubric!$B$9+L404*Rubric!$B$10-IF(OR(H404&lt;Rubric!$B$12,K404&lt;Rubric!$B$12),Rubric!$B$13,0),2)</f>
        <v>7.75</v>
      </c>
      <c r="N404" s="14" t="n">
        <v>1231</v>
      </c>
      <c r="O404" s="2" t="s">
        <v>782</v>
      </c>
    </row>
    <row r="405" customFormat="false" ht="23.85" hidden="false" customHeight="false" outlineLevel="0" collapsed="false">
      <c r="A405" s="2" t="s">
        <v>214</v>
      </c>
      <c r="B405" s="2" t="s">
        <v>215</v>
      </c>
      <c r="C405" s="14" t="n">
        <v>0</v>
      </c>
      <c r="D405" s="14" t="n">
        <v>3</v>
      </c>
      <c r="E405" s="2" t="s">
        <v>368</v>
      </c>
      <c r="F405" s="15" t="n">
        <v>8</v>
      </c>
      <c r="G405" s="15" t="n">
        <v>8</v>
      </c>
      <c r="H405" s="15" t="n">
        <v>8</v>
      </c>
      <c r="I405" s="15" t="n">
        <v>3</v>
      </c>
      <c r="J405" s="15" t="n">
        <v>6</v>
      </c>
      <c r="K405" s="15" t="n">
        <v>8</v>
      </c>
      <c r="L405" s="15" t="n">
        <v>7</v>
      </c>
      <c r="M405" s="4" t="n">
        <f aca="false">ROUND(F405*Rubric!$B$4+G405*Rubric!$B$5+H405*Rubric!$B$6+I405*Rubric!$B$7+J405*Rubric!$B$8+K405*Rubric!$B$9+L405*Rubric!$B$10-IF(OR(H405&lt;Rubric!$B$12,K405&lt;Rubric!$B$12),Rubric!$B$13,0),2)</f>
        <v>6.6</v>
      </c>
      <c r="N405" s="14" t="n">
        <v>1232</v>
      </c>
      <c r="O405" s="2" t="s">
        <v>726</v>
      </c>
    </row>
    <row r="406" customFormat="false" ht="23.85" hidden="false" customHeight="false" outlineLevel="0" collapsed="false">
      <c r="A406" s="2" t="s">
        <v>214</v>
      </c>
      <c r="B406" s="2" t="s">
        <v>215</v>
      </c>
      <c r="C406" s="14" t="n">
        <v>1</v>
      </c>
      <c r="D406" s="14" t="n">
        <v>3</v>
      </c>
      <c r="E406" s="2" t="s">
        <v>522</v>
      </c>
      <c r="F406" s="15" t="n">
        <v>8</v>
      </c>
      <c r="G406" s="15" t="n">
        <v>8</v>
      </c>
      <c r="H406" s="15" t="n">
        <v>8</v>
      </c>
      <c r="I406" s="15" t="n">
        <v>3</v>
      </c>
      <c r="J406" s="15" t="n">
        <v>9</v>
      </c>
      <c r="K406" s="15" t="n">
        <v>8</v>
      </c>
      <c r="L406" s="15" t="n">
        <v>7</v>
      </c>
      <c r="M406" s="4" t="n">
        <f aca="false">ROUND(F406*Rubric!$B$4+G406*Rubric!$B$5+H406*Rubric!$B$6+I406*Rubric!$B$7+J406*Rubric!$B$8+K406*Rubric!$B$9+L406*Rubric!$B$10-IF(OR(H406&lt;Rubric!$B$12,K406&lt;Rubric!$B$12),Rubric!$B$13,0),2)</f>
        <v>7.8</v>
      </c>
      <c r="N406" s="14" t="n">
        <v>1232</v>
      </c>
      <c r="O406" s="2" t="s">
        <v>782</v>
      </c>
    </row>
    <row r="407" customFormat="false" ht="23.85" hidden="false" customHeight="false" outlineLevel="0" collapsed="false">
      <c r="A407" s="2" t="s">
        <v>214</v>
      </c>
      <c r="B407" s="2" t="s">
        <v>215</v>
      </c>
      <c r="C407" s="14" t="n">
        <v>0</v>
      </c>
      <c r="D407" s="14" t="n">
        <v>4</v>
      </c>
      <c r="E407" s="2" t="s">
        <v>359</v>
      </c>
      <c r="F407" s="15" t="n">
        <v>9</v>
      </c>
      <c r="G407" s="15" t="n">
        <v>8</v>
      </c>
      <c r="H407" s="15" t="n">
        <v>8</v>
      </c>
      <c r="I407" s="15" t="n">
        <v>4</v>
      </c>
      <c r="J407" s="15" t="n">
        <v>6</v>
      </c>
      <c r="K407" s="15" t="n">
        <v>8</v>
      </c>
      <c r="L407" s="15" t="n">
        <v>7</v>
      </c>
      <c r="M407" s="4" t="n">
        <f aca="false">ROUND(F407*Rubric!$B$4+G407*Rubric!$B$5+H407*Rubric!$B$6+I407*Rubric!$B$7+J407*Rubric!$B$8+K407*Rubric!$B$9+L407*Rubric!$B$10-IF(OR(H407&lt;Rubric!$B$12,K407&lt;Rubric!$B$12),Rubric!$B$13,0),2)</f>
        <v>6.75</v>
      </c>
      <c r="N407" s="14" t="n">
        <v>1233</v>
      </c>
      <c r="O407" s="2" t="s">
        <v>726</v>
      </c>
    </row>
    <row r="408" customFormat="false" ht="23.85" hidden="false" customHeight="false" outlineLevel="0" collapsed="false">
      <c r="A408" s="2" t="s">
        <v>214</v>
      </c>
      <c r="B408" s="2" t="s">
        <v>215</v>
      </c>
      <c r="C408" s="14" t="n">
        <v>1</v>
      </c>
      <c r="D408" s="14" t="n">
        <v>4</v>
      </c>
      <c r="E408" s="2" t="s">
        <v>523</v>
      </c>
      <c r="F408" s="15" t="n">
        <v>7</v>
      </c>
      <c r="G408" s="15" t="n">
        <v>9</v>
      </c>
      <c r="H408" s="15" t="n">
        <v>8</v>
      </c>
      <c r="I408" s="15" t="n">
        <v>3</v>
      </c>
      <c r="J408" s="15" t="n">
        <v>9</v>
      </c>
      <c r="K408" s="15" t="n">
        <v>8</v>
      </c>
      <c r="L408" s="15" t="n">
        <v>9</v>
      </c>
      <c r="M408" s="4" t="n">
        <f aca="false">ROUND(F408*Rubric!$B$4+G408*Rubric!$B$5+H408*Rubric!$B$6+I408*Rubric!$B$7+J408*Rubric!$B$8+K408*Rubric!$B$9+L408*Rubric!$B$10-IF(OR(H408&lt;Rubric!$B$12,K408&lt;Rubric!$B$12),Rubric!$B$13,0),2)</f>
        <v>8.1</v>
      </c>
      <c r="N408" s="14" t="n">
        <v>1233</v>
      </c>
      <c r="O408" s="2" t="s">
        <v>782</v>
      </c>
    </row>
    <row r="409" customFormat="false" ht="23.85" hidden="false" customHeight="false" outlineLevel="0" collapsed="false">
      <c r="A409" s="2" t="s">
        <v>214</v>
      </c>
      <c r="B409" s="2" t="s">
        <v>215</v>
      </c>
      <c r="C409" s="14" t="n">
        <v>0</v>
      </c>
      <c r="D409" s="14" t="n">
        <v>5</v>
      </c>
      <c r="E409" s="2" t="s">
        <v>361</v>
      </c>
      <c r="F409" s="15" t="n">
        <v>9</v>
      </c>
      <c r="G409" s="15" t="n">
        <v>7</v>
      </c>
      <c r="H409" s="15" t="n">
        <v>8</v>
      </c>
      <c r="I409" s="15" t="n">
        <v>8</v>
      </c>
      <c r="J409" s="15" t="n">
        <v>6</v>
      </c>
      <c r="K409" s="15" t="n">
        <v>8</v>
      </c>
      <c r="L409" s="15" t="n">
        <v>7</v>
      </c>
      <c r="M409" s="4" t="n">
        <f aca="false">ROUND(F409*Rubric!$B$4+G409*Rubric!$B$5+H409*Rubric!$B$6+I409*Rubric!$B$7+J409*Rubric!$B$8+K409*Rubric!$B$9+L409*Rubric!$B$10-IF(OR(H409&lt;Rubric!$B$12,K409&lt;Rubric!$B$12),Rubric!$B$13,0),2)</f>
        <v>7</v>
      </c>
      <c r="N409" s="14" t="n">
        <v>1234</v>
      </c>
      <c r="O409" s="2" t="s">
        <v>726</v>
      </c>
    </row>
    <row r="410" customFormat="false" ht="23.85" hidden="false" customHeight="false" outlineLevel="0" collapsed="false">
      <c r="A410" s="2" t="s">
        <v>214</v>
      </c>
      <c r="B410" s="2" t="s">
        <v>215</v>
      </c>
      <c r="C410" s="14" t="n">
        <v>1</v>
      </c>
      <c r="D410" s="14" t="n">
        <v>5</v>
      </c>
      <c r="E410" s="2" t="s">
        <v>783</v>
      </c>
      <c r="F410" s="15" t="n">
        <v>8</v>
      </c>
      <c r="G410" s="15" t="n">
        <v>8</v>
      </c>
      <c r="H410" s="15" t="n">
        <v>8</v>
      </c>
      <c r="I410" s="15" t="n">
        <v>3</v>
      </c>
      <c r="J410" s="15" t="n">
        <v>8</v>
      </c>
      <c r="K410" s="15" t="n">
        <v>8</v>
      </c>
      <c r="L410" s="15" t="n">
        <v>7</v>
      </c>
      <c r="M410" s="4" t="n">
        <f aca="false">ROUND(F410*Rubric!$B$4+G410*Rubric!$B$5+H410*Rubric!$B$6+I410*Rubric!$B$7+J410*Rubric!$B$8+K410*Rubric!$B$9+L410*Rubric!$B$10-IF(OR(H410&lt;Rubric!$B$12,K410&lt;Rubric!$B$12),Rubric!$B$13,0),2)</f>
        <v>7.4</v>
      </c>
      <c r="N410" s="14" t="n">
        <v>1234</v>
      </c>
      <c r="O410" s="2" t="s">
        <v>782</v>
      </c>
    </row>
    <row r="411" customFormat="false" ht="23.85" hidden="false" customHeight="false" outlineLevel="0" collapsed="false">
      <c r="A411" s="2" t="s">
        <v>214</v>
      </c>
      <c r="B411" s="2" t="s">
        <v>215</v>
      </c>
      <c r="C411" s="14" t="n">
        <v>3</v>
      </c>
      <c r="D411" s="14" t="n">
        <v>5</v>
      </c>
      <c r="E411" s="2" t="s">
        <v>524</v>
      </c>
      <c r="F411" s="15" t="n">
        <v>7</v>
      </c>
      <c r="G411" s="15" t="n">
        <v>8</v>
      </c>
      <c r="H411" s="15" t="n">
        <v>8</v>
      </c>
      <c r="I411" s="15" t="n">
        <v>3</v>
      </c>
      <c r="J411" s="15" t="n">
        <v>9</v>
      </c>
      <c r="K411" s="15" t="n">
        <v>8</v>
      </c>
      <c r="L411" s="15" t="n">
        <v>8</v>
      </c>
      <c r="M411" s="4" t="n">
        <f aca="false">ROUND(F411*Rubric!$B$4+G411*Rubric!$B$5+H411*Rubric!$B$6+I411*Rubric!$B$7+J411*Rubric!$B$8+K411*Rubric!$B$9+L411*Rubric!$B$10-IF(OR(H411&lt;Rubric!$B$12,K411&lt;Rubric!$B$12),Rubric!$B$13,0),2)</f>
        <v>7.85</v>
      </c>
      <c r="N411" s="14" t="n">
        <v>1234</v>
      </c>
      <c r="O411" s="2" t="s">
        <v>784</v>
      </c>
    </row>
    <row r="412" customFormat="false" ht="15" hidden="false" customHeight="false" outlineLevel="0" collapsed="false">
      <c r="A412" s="2" t="s">
        <v>220</v>
      </c>
      <c r="B412" s="2" t="s">
        <v>221</v>
      </c>
      <c r="C412" s="14" t="n">
        <v>0</v>
      </c>
      <c r="D412" s="14" t="n">
        <v>1</v>
      </c>
      <c r="E412" s="2" t="s">
        <v>383</v>
      </c>
      <c r="F412" s="15" t="n">
        <v>9</v>
      </c>
      <c r="G412" s="15" t="n">
        <v>9</v>
      </c>
      <c r="H412" s="15" t="n">
        <v>7</v>
      </c>
      <c r="I412" s="15" t="n">
        <v>3</v>
      </c>
      <c r="J412" s="15" t="n">
        <v>6</v>
      </c>
      <c r="K412" s="15" t="n">
        <v>8</v>
      </c>
      <c r="L412" s="15" t="n">
        <v>8</v>
      </c>
      <c r="M412" s="4" t="n">
        <f aca="false">ROUND(F412*Rubric!$B$4+G412*Rubric!$B$5+H412*Rubric!$B$6+I412*Rubric!$B$7+J412*Rubric!$B$8+K412*Rubric!$B$9+L412*Rubric!$B$10-IF(OR(H412&lt;Rubric!$B$12,K412&lt;Rubric!$B$12),Rubric!$B$13,0),2)</f>
        <v>6.8</v>
      </c>
      <c r="N412" s="14" t="n">
        <v>1240</v>
      </c>
      <c r="O412" s="2" t="s">
        <v>726</v>
      </c>
    </row>
    <row r="413" customFormat="false" ht="23.85" hidden="false" customHeight="false" outlineLevel="0" collapsed="false">
      <c r="A413" s="2" t="s">
        <v>220</v>
      </c>
      <c r="B413" s="2" t="s">
        <v>221</v>
      </c>
      <c r="C413" s="14" t="n">
        <v>1</v>
      </c>
      <c r="D413" s="14" t="n">
        <v>1</v>
      </c>
      <c r="E413" s="2" t="s">
        <v>525</v>
      </c>
      <c r="F413" s="15" t="n">
        <v>8</v>
      </c>
      <c r="G413" s="15" t="n">
        <v>9</v>
      </c>
      <c r="H413" s="15" t="n">
        <v>8</v>
      </c>
      <c r="I413" s="15" t="n">
        <v>3</v>
      </c>
      <c r="J413" s="15" t="n">
        <v>9</v>
      </c>
      <c r="K413" s="15" t="n">
        <v>9</v>
      </c>
      <c r="L413" s="15" t="n">
        <v>8</v>
      </c>
      <c r="M413" s="4" t="n">
        <f aca="false">ROUND(F413*Rubric!$B$4+G413*Rubric!$B$5+H413*Rubric!$B$6+I413*Rubric!$B$7+J413*Rubric!$B$8+K413*Rubric!$B$9+L413*Rubric!$B$10-IF(OR(H413&lt;Rubric!$B$12,K413&lt;Rubric!$B$12),Rubric!$B$13,0),2)</f>
        <v>8.15</v>
      </c>
      <c r="N413" s="14" t="n">
        <v>1240</v>
      </c>
      <c r="O413" s="2" t="s">
        <v>785</v>
      </c>
    </row>
    <row r="414" customFormat="false" ht="23.85" hidden="false" customHeight="false" outlineLevel="0" collapsed="false">
      <c r="A414" s="2" t="s">
        <v>220</v>
      </c>
      <c r="B414" s="2" t="s">
        <v>221</v>
      </c>
      <c r="C414" s="14" t="n">
        <v>0</v>
      </c>
      <c r="D414" s="14" t="n">
        <v>2</v>
      </c>
      <c r="E414" s="2" t="s">
        <v>358</v>
      </c>
      <c r="F414" s="15" t="n">
        <v>9</v>
      </c>
      <c r="G414" s="15" t="n">
        <v>9</v>
      </c>
      <c r="H414" s="15" t="n">
        <v>8</v>
      </c>
      <c r="I414" s="15" t="n">
        <v>4</v>
      </c>
      <c r="J414" s="15" t="n">
        <v>6</v>
      </c>
      <c r="K414" s="15" t="n">
        <v>9</v>
      </c>
      <c r="L414" s="15" t="n">
        <v>8</v>
      </c>
      <c r="M414" s="4" t="n">
        <f aca="false">ROUND(F414*Rubric!$B$4+G414*Rubric!$B$5+H414*Rubric!$B$6+I414*Rubric!$B$7+J414*Rubric!$B$8+K414*Rubric!$B$9+L414*Rubric!$B$10-IF(OR(H414&lt;Rubric!$B$12,K414&lt;Rubric!$B$12),Rubric!$B$13,0),2)</f>
        <v>7.1</v>
      </c>
      <c r="N414" s="14" t="n">
        <v>1241</v>
      </c>
      <c r="O414" s="2" t="s">
        <v>726</v>
      </c>
    </row>
    <row r="415" customFormat="false" ht="23.85" hidden="false" customHeight="false" outlineLevel="0" collapsed="false">
      <c r="A415" s="2" t="s">
        <v>220</v>
      </c>
      <c r="B415" s="2" t="s">
        <v>221</v>
      </c>
      <c r="C415" s="14" t="n">
        <v>1</v>
      </c>
      <c r="D415" s="14" t="n">
        <v>2</v>
      </c>
      <c r="E415" s="2" t="s">
        <v>526</v>
      </c>
      <c r="F415" s="15" t="n">
        <v>9</v>
      </c>
      <c r="G415" s="15" t="n">
        <v>9</v>
      </c>
      <c r="H415" s="15" t="n">
        <v>7</v>
      </c>
      <c r="I415" s="15" t="n">
        <v>3</v>
      </c>
      <c r="J415" s="15" t="n">
        <v>8</v>
      </c>
      <c r="K415" s="15" t="n">
        <v>8</v>
      </c>
      <c r="L415" s="15" t="n">
        <v>8</v>
      </c>
      <c r="M415" s="4" t="n">
        <f aca="false">ROUND(F415*Rubric!$B$4+G415*Rubric!$B$5+H415*Rubric!$B$6+I415*Rubric!$B$7+J415*Rubric!$B$8+K415*Rubric!$B$9+L415*Rubric!$B$10-IF(OR(H415&lt;Rubric!$B$12,K415&lt;Rubric!$B$12),Rubric!$B$13,0),2)</f>
        <v>7.6</v>
      </c>
      <c r="N415" s="14" t="n">
        <v>1241</v>
      </c>
      <c r="O415" s="2" t="s">
        <v>785</v>
      </c>
    </row>
    <row r="416" customFormat="false" ht="23.85" hidden="false" customHeight="false" outlineLevel="0" collapsed="false">
      <c r="A416" s="2" t="s">
        <v>220</v>
      </c>
      <c r="B416" s="2" t="s">
        <v>221</v>
      </c>
      <c r="C416" s="14" t="n">
        <v>0</v>
      </c>
      <c r="D416" s="14" t="n">
        <v>3</v>
      </c>
      <c r="E416" s="2" t="s">
        <v>384</v>
      </c>
      <c r="F416" s="15" t="n">
        <v>9</v>
      </c>
      <c r="G416" s="15" t="n">
        <v>8</v>
      </c>
      <c r="H416" s="15" t="n">
        <v>8</v>
      </c>
      <c r="I416" s="15" t="n">
        <v>3</v>
      </c>
      <c r="J416" s="15" t="n">
        <v>6</v>
      </c>
      <c r="K416" s="15" t="n">
        <v>8</v>
      </c>
      <c r="L416" s="15" t="n">
        <v>7</v>
      </c>
      <c r="M416" s="4" t="n">
        <f aca="false">ROUND(F416*Rubric!$B$4+G416*Rubric!$B$5+H416*Rubric!$B$6+I416*Rubric!$B$7+J416*Rubric!$B$8+K416*Rubric!$B$9+L416*Rubric!$B$10-IF(OR(H416&lt;Rubric!$B$12,K416&lt;Rubric!$B$12),Rubric!$B$13,0),2)</f>
        <v>6.65</v>
      </c>
      <c r="N416" s="14" t="n">
        <v>1242</v>
      </c>
      <c r="O416" s="2" t="s">
        <v>726</v>
      </c>
    </row>
    <row r="417" customFormat="false" ht="23.85" hidden="false" customHeight="false" outlineLevel="0" collapsed="false">
      <c r="A417" s="2" t="s">
        <v>220</v>
      </c>
      <c r="B417" s="2" t="s">
        <v>221</v>
      </c>
      <c r="C417" s="14" t="n">
        <v>1</v>
      </c>
      <c r="D417" s="14" t="n">
        <v>3</v>
      </c>
      <c r="E417" s="2" t="s">
        <v>527</v>
      </c>
      <c r="F417" s="15" t="n">
        <v>9</v>
      </c>
      <c r="G417" s="15" t="n">
        <v>9</v>
      </c>
      <c r="H417" s="15" t="n">
        <v>8</v>
      </c>
      <c r="I417" s="15" t="n">
        <v>3</v>
      </c>
      <c r="J417" s="15" t="n">
        <v>8</v>
      </c>
      <c r="K417" s="15" t="n">
        <v>9</v>
      </c>
      <c r="L417" s="15" t="n">
        <v>9</v>
      </c>
      <c r="M417" s="4" t="n">
        <f aca="false">ROUND(F417*Rubric!$B$4+G417*Rubric!$B$5+H417*Rubric!$B$6+I417*Rubric!$B$7+J417*Rubric!$B$8+K417*Rubric!$B$9+L417*Rubric!$B$10-IF(OR(H417&lt;Rubric!$B$12,K417&lt;Rubric!$B$12),Rubric!$B$13,0),2)</f>
        <v>7.9</v>
      </c>
      <c r="N417" s="14" t="n">
        <v>1242</v>
      </c>
      <c r="O417" s="2" t="s">
        <v>785</v>
      </c>
    </row>
    <row r="418" customFormat="false" ht="23.85" hidden="false" customHeight="false" outlineLevel="0" collapsed="false">
      <c r="A418" s="2" t="s">
        <v>220</v>
      </c>
      <c r="B418" s="2" t="s">
        <v>221</v>
      </c>
      <c r="C418" s="14" t="n">
        <v>0</v>
      </c>
      <c r="D418" s="14" t="n">
        <v>4</v>
      </c>
      <c r="E418" s="2" t="s">
        <v>382</v>
      </c>
      <c r="F418" s="15" t="n">
        <v>9</v>
      </c>
      <c r="G418" s="15" t="n">
        <v>8</v>
      </c>
      <c r="H418" s="15" t="n">
        <v>8</v>
      </c>
      <c r="I418" s="15" t="n">
        <v>4</v>
      </c>
      <c r="J418" s="15" t="n">
        <v>6</v>
      </c>
      <c r="K418" s="15" t="n">
        <v>8</v>
      </c>
      <c r="L418" s="15" t="n">
        <v>7</v>
      </c>
      <c r="M418" s="4" t="n">
        <f aca="false">ROUND(F418*Rubric!$B$4+G418*Rubric!$B$5+H418*Rubric!$B$6+I418*Rubric!$B$7+J418*Rubric!$B$8+K418*Rubric!$B$9+L418*Rubric!$B$10-IF(OR(H418&lt;Rubric!$B$12,K418&lt;Rubric!$B$12),Rubric!$B$13,0),2)</f>
        <v>6.75</v>
      </c>
      <c r="N418" s="14" t="n">
        <v>1243</v>
      </c>
      <c r="O418" s="2" t="s">
        <v>726</v>
      </c>
    </row>
    <row r="419" customFormat="false" ht="23.85" hidden="false" customHeight="false" outlineLevel="0" collapsed="false">
      <c r="A419" s="2" t="s">
        <v>220</v>
      </c>
      <c r="B419" s="2" t="s">
        <v>221</v>
      </c>
      <c r="C419" s="14" t="n">
        <v>1</v>
      </c>
      <c r="D419" s="14" t="n">
        <v>4</v>
      </c>
      <c r="E419" s="2" t="s">
        <v>519</v>
      </c>
      <c r="F419" s="15" t="n">
        <v>9</v>
      </c>
      <c r="G419" s="15" t="n">
        <v>9</v>
      </c>
      <c r="H419" s="15" t="n">
        <v>7</v>
      </c>
      <c r="I419" s="15" t="n">
        <v>3</v>
      </c>
      <c r="J419" s="15" t="n">
        <v>8</v>
      </c>
      <c r="K419" s="15" t="n">
        <v>7</v>
      </c>
      <c r="L419" s="15" t="n">
        <v>8</v>
      </c>
      <c r="M419" s="4" t="n">
        <f aca="false">ROUND(F419*Rubric!$B$4+G419*Rubric!$B$5+H419*Rubric!$B$6+I419*Rubric!$B$7+J419*Rubric!$B$8+K419*Rubric!$B$9+L419*Rubric!$B$10-IF(OR(H419&lt;Rubric!$B$12,K419&lt;Rubric!$B$12),Rubric!$B$13,0),2)</f>
        <v>7.5</v>
      </c>
      <c r="N419" s="14" t="n">
        <v>1243</v>
      </c>
      <c r="O419" s="2" t="s">
        <v>785</v>
      </c>
    </row>
    <row r="420" customFormat="false" ht="23.85" hidden="false" customHeight="false" outlineLevel="0" collapsed="false">
      <c r="A420" s="2" t="s">
        <v>220</v>
      </c>
      <c r="B420" s="2" t="s">
        <v>221</v>
      </c>
      <c r="C420" s="14" t="n">
        <v>0</v>
      </c>
      <c r="D420" s="14" t="n">
        <v>5</v>
      </c>
      <c r="E420" s="2" t="s">
        <v>366</v>
      </c>
      <c r="F420" s="15" t="n">
        <v>8</v>
      </c>
      <c r="G420" s="15" t="n">
        <v>8</v>
      </c>
      <c r="H420" s="15" t="n">
        <v>7</v>
      </c>
      <c r="I420" s="15" t="n">
        <v>9</v>
      </c>
      <c r="J420" s="15" t="n">
        <v>4</v>
      </c>
      <c r="K420" s="15" t="n">
        <v>8</v>
      </c>
      <c r="L420" s="15" t="n">
        <v>9</v>
      </c>
      <c r="M420" s="4" t="n">
        <f aca="false">ROUND(F420*Rubric!$B$4+G420*Rubric!$B$5+H420*Rubric!$B$6+I420*Rubric!$B$7+J420*Rubric!$B$8+K420*Rubric!$B$9+L420*Rubric!$B$10-IF(OR(H420&lt;Rubric!$B$12,K420&lt;Rubric!$B$12),Rubric!$B$13,0),2)</f>
        <v>6.5</v>
      </c>
      <c r="N420" s="14" t="n">
        <v>1244</v>
      </c>
      <c r="O420" s="2" t="s">
        <v>726</v>
      </c>
    </row>
    <row r="421" customFormat="false" ht="23.85" hidden="false" customHeight="false" outlineLevel="0" collapsed="false">
      <c r="A421" s="2" t="s">
        <v>220</v>
      </c>
      <c r="B421" s="2" t="s">
        <v>221</v>
      </c>
      <c r="C421" s="14" t="n">
        <v>1</v>
      </c>
      <c r="D421" s="14" t="n">
        <v>5</v>
      </c>
      <c r="E421" s="2" t="s">
        <v>528</v>
      </c>
      <c r="F421" s="15" t="n">
        <v>9</v>
      </c>
      <c r="G421" s="15" t="n">
        <v>8</v>
      </c>
      <c r="H421" s="15" t="n">
        <v>8</v>
      </c>
      <c r="I421" s="15" t="n">
        <v>3</v>
      </c>
      <c r="J421" s="15" t="n">
        <v>8</v>
      </c>
      <c r="K421" s="15" t="n">
        <v>8</v>
      </c>
      <c r="L421" s="15" t="n">
        <v>7</v>
      </c>
      <c r="M421" s="4" t="n">
        <f aca="false">ROUND(F421*Rubric!$B$4+G421*Rubric!$B$5+H421*Rubric!$B$6+I421*Rubric!$B$7+J421*Rubric!$B$8+K421*Rubric!$B$9+L421*Rubric!$B$10-IF(OR(H421&lt;Rubric!$B$12,K421&lt;Rubric!$B$12),Rubric!$B$13,0),2)</f>
        <v>7.45</v>
      </c>
      <c r="N421" s="14" t="n">
        <v>1244</v>
      </c>
      <c r="O421" s="2" t="s">
        <v>785</v>
      </c>
    </row>
    <row r="422" customFormat="false" ht="23.85" hidden="false" customHeight="false" outlineLevel="0" collapsed="false">
      <c r="A422" s="2" t="s">
        <v>226</v>
      </c>
      <c r="B422" s="2" t="s">
        <v>153</v>
      </c>
      <c r="C422" s="14" t="n">
        <v>0</v>
      </c>
      <c r="D422" s="14" t="n">
        <v>1</v>
      </c>
      <c r="E422" s="2" t="s">
        <v>372</v>
      </c>
      <c r="F422" s="15" t="n">
        <v>8</v>
      </c>
      <c r="G422" s="15" t="n">
        <v>8</v>
      </c>
      <c r="H422" s="15" t="n">
        <v>8</v>
      </c>
      <c r="I422" s="15" t="n">
        <v>3</v>
      </c>
      <c r="J422" s="15" t="n">
        <v>6</v>
      </c>
      <c r="K422" s="15" t="n">
        <v>8</v>
      </c>
      <c r="L422" s="15" t="n">
        <v>7</v>
      </c>
      <c r="M422" s="4" t="n">
        <f aca="false">ROUND(F422*Rubric!$B$4+G422*Rubric!$B$5+H422*Rubric!$B$6+I422*Rubric!$B$7+J422*Rubric!$B$8+K422*Rubric!$B$9+L422*Rubric!$B$10-IF(OR(H422&lt;Rubric!$B$12,K422&lt;Rubric!$B$12),Rubric!$B$13,0),2)</f>
        <v>6.6</v>
      </c>
      <c r="N422" s="14" t="n">
        <v>1250</v>
      </c>
      <c r="O422" s="2" t="s">
        <v>726</v>
      </c>
    </row>
    <row r="423" customFormat="false" ht="23.85" hidden="false" customHeight="false" outlineLevel="0" collapsed="false">
      <c r="A423" s="2" t="s">
        <v>226</v>
      </c>
      <c r="B423" s="2" t="s">
        <v>153</v>
      </c>
      <c r="C423" s="14" t="n">
        <v>1</v>
      </c>
      <c r="D423" s="14" t="n">
        <v>1</v>
      </c>
      <c r="E423" s="2" t="s">
        <v>529</v>
      </c>
      <c r="F423" s="15" t="n">
        <v>8</v>
      </c>
      <c r="G423" s="15" t="n">
        <v>8</v>
      </c>
      <c r="H423" s="15" t="n">
        <v>8</v>
      </c>
      <c r="I423" s="15" t="n">
        <v>3</v>
      </c>
      <c r="J423" s="15" t="n">
        <v>9</v>
      </c>
      <c r="K423" s="15" t="n">
        <v>8</v>
      </c>
      <c r="L423" s="15" t="n">
        <v>7</v>
      </c>
      <c r="M423" s="4" t="n">
        <f aca="false">ROUND(F423*Rubric!$B$4+G423*Rubric!$B$5+H423*Rubric!$B$6+I423*Rubric!$B$7+J423*Rubric!$B$8+K423*Rubric!$B$9+L423*Rubric!$B$10-IF(OR(H423&lt;Rubric!$B$12,K423&lt;Rubric!$B$12),Rubric!$B$13,0),2)</f>
        <v>7.8</v>
      </c>
      <c r="N423" s="14" t="n">
        <v>1250</v>
      </c>
      <c r="O423" s="2" t="s">
        <v>786</v>
      </c>
    </row>
    <row r="424" customFormat="false" ht="23.85" hidden="false" customHeight="false" outlineLevel="0" collapsed="false">
      <c r="A424" s="2" t="s">
        <v>226</v>
      </c>
      <c r="B424" s="2" t="s">
        <v>153</v>
      </c>
      <c r="C424" s="14" t="n">
        <v>0</v>
      </c>
      <c r="D424" s="14" t="n">
        <v>2</v>
      </c>
      <c r="E424" s="2" t="s">
        <v>374</v>
      </c>
      <c r="F424" s="15" t="n">
        <v>9</v>
      </c>
      <c r="G424" s="15" t="n">
        <v>9</v>
      </c>
      <c r="H424" s="15" t="n">
        <v>8</v>
      </c>
      <c r="I424" s="15" t="n">
        <v>3</v>
      </c>
      <c r="J424" s="15" t="n">
        <v>6</v>
      </c>
      <c r="K424" s="15" t="n">
        <v>9</v>
      </c>
      <c r="L424" s="15" t="n">
        <v>8</v>
      </c>
      <c r="M424" s="4" t="n">
        <f aca="false">ROUND(F424*Rubric!$B$4+G424*Rubric!$B$5+H424*Rubric!$B$6+I424*Rubric!$B$7+J424*Rubric!$B$8+K424*Rubric!$B$9+L424*Rubric!$B$10-IF(OR(H424&lt;Rubric!$B$12,K424&lt;Rubric!$B$12),Rubric!$B$13,0),2)</f>
        <v>7</v>
      </c>
      <c r="N424" s="14" t="n">
        <v>1251</v>
      </c>
      <c r="O424" s="2" t="s">
        <v>726</v>
      </c>
    </row>
    <row r="425" customFormat="false" ht="23.85" hidden="false" customHeight="false" outlineLevel="0" collapsed="false">
      <c r="A425" s="2" t="s">
        <v>226</v>
      </c>
      <c r="B425" s="2" t="s">
        <v>153</v>
      </c>
      <c r="C425" s="14" t="n">
        <v>1</v>
      </c>
      <c r="D425" s="14" t="n">
        <v>2</v>
      </c>
      <c r="E425" s="2" t="s">
        <v>530</v>
      </c>
      <c r="F425" s="15" t="n">
        <v>9</v>
      </c>
      <c r="G425" s="15" t="n">
        <v>9</v>
      </c>
      <c r="H425" s="15" t="n">
        <v>8</v>
      </c>
      <c r="I425" s="15" t="n">
        <v>3</v>
      </c>
      <c r="J425" s="15" t="n">
        <v>8</v>
      </c>
      <c r="K425" s="15" t="n">
        <v>9</v>
      </c>
      <c r="L425" s="15" t="n">
        <v>8</v>
      </c>
      <c r="M425" s="4" t="n">
        <f aca="false">ROUND(F425*Rubric!$B$4+G425*Rubric!$B$5+H425*Rubric!$B$6+I425*Rubric!$B$7+J425*Rubric!$B$8+K425*Rubric!$B$9+L425*Rubric!$B$10-IF(OR(H425&lt;Rubric!$B$12,K425&lt;Rubric!$B$12),Rubric!$B$13,0),2)</f>
        <v>7.8</v>
      </c>
      <c r="N425" s="14" t="n">
        <v>1251</v>
      </c>
      <c r="O425" s="2" t="s">
        <v>786</v>
      </c>
    </row>
    <row r="426" customFormat="false" ht="23.85" hidden="false" customHeight="false" outlineLevel="0" collapsed="false">
      <c r="A426" s="2" t="s">
        <v>226</v>
      </c>
      <c r="B426" s="2" t="s">
        <v>153</v>
      </c>
      <c r="C426" s="14" t="n">
        <v>0</v>
      </c>
      <c r="D426" s="14" t="n">
        <v>3</v>
      </c>
      <c r="E426" s="2" t="s">
        <v>373</v>
      </c>
      <c r="F426" s="15" t="n">
        <v>8</v>
      </c>
      <c r="G426" s="15" t="n">
        <v>9</v>
      </c>
      <c r="H426" s="15" t="n">
        <v>7</v>
      </c>
      <c r="I426" s="15" t="n">
        <v>3</v>
      </c>
      <c r="J426" s="15" t="n">
        <v>6</v>
      </c>
      <c r="K426" s="15" t="n">
        <v>8</v>
      </c>
      <c r="L426" s="15" t="n">
        <v>8</v>
      </c>
      <c r="M426" s="4" t="n">
        <f aca="false">ROUND(F426*Rubric!$B$4+G426*Rubric!$B$5+H426*Rubric!$B$6+I426*Rubric!$B$7+J426*Rubric!$B$8+K426*Rubric!$B$9+L426*Rubric!$B$10-IF(OR(H426&lt;Rubric!$B$12,K426&lt;Rubric!$B$12),Rubric!$B$13,0),2)</f>
        <v>6.75</v>
      </c>
      <c r="N426" s="14" t="n">
        <v>1252</v>
      </c>
      <c r="O426" s="2" t="s">
        <v>726</v>
      </c>
    </row>
    <row r="427" customFormat="false" ht="23.85" hidden="false" customHeight="false" outlineLevel="0" collapsed="false">
      <c r="A427" s="2" t="s">
        <v>226</v>
      </c>
      <c r="B427" s="2" t="s">
        <v>153</v>
      </c>
      <c r="C427" s="14" t="n">
        <v>1</v>
      </c>
      <c r="D427" s="14" t="n">
        <v>3</v>
      </c>
      <c r="E427" s="2" t="s">
        <v>531</v>
      </c>
      <c r="F427" s="15" t="n">
        <v>7</v>
      </c>
      <c r="G427" s="15" t="n">
        <v>9</v>
      </c>
      <c r="H427" s="15" t="n">
        <v>7</v>
      </c>
      <c r="I427" s="15" t="n">
        <v>3</v>
      </c>
      <c r="J427" s="15" t="n">
        <v>9</v>
      </c>
      <c r="K427" s="15" t="n">
        <v>8</v>
      </c>
      <c r="L427" s="15" t="n">
        <v>8</v>
      </c>
      <c r="M427" s="4" t="n">
        <f aca="false">ROUND(F427*Rubric!$B$4+G427*Rubric!$B$5+H427*Rubric!$B$6+I427*Rubric!$B$7+J427*Rubric!$B$8+K427*Rubric!$B$9+L427*Rubric!$B$10-IF(OR(H427&lt;Rubric!$B$12,K427&lt;Rubric!$B$12),Rubric!$B$13,0),2)</f>
        <v>7.9</v>
      </c>
      <c r="N427" s="14" t="n">
        <v>1252</v>
      </c>
      <c r="O427" s="2" t="s">
        <v>786</v>
      </c>
    </row>
    <row r="428" customFormat="false" ht="23.85" hidden="false" customHeight="false" outlineLevel="0" collapsed="false">
      <c r="A428" s="2" t="s">
        <v>226</v>
      </c>
      <c r="B428" s="2" t="s">
        <v>153</v>
      </c>
      <c r="C428" s="14" t="n">
        <v>0</v>
      </c>
      <c r="D428" s="14" t="n">
        <v>4</v>
      </c>
      <c r="E428" s="2" t="s">
        <v>377</v>
      </c>
      <c r="F428" s="15" t="n">
        <v>9</v>
      </c>
      <c r="G428" s="15" t="n">
        <v>8</v>
      </c>
      <c r="H428" s="15" t="n">
        <v>8</v>
      </c>
      <c r="I428" s="15" t="n">
        <v>3</v>
      </c>
      <c r="J428" s="15" t="n">
        <v>6</v>
      </c>
      <c r="K428" s="15" t="n">
        <v>8</v>
      </c>
      <c r="L428" s="15" t="n">
        <v>7</v>
      </c>
      <c r="M428" s="4" t="n">
        <f aca="false">ROUND(F428*Rubric!$B$4+G428*Rubric!$B$5+H428*Rubric!$B$6+I428*Rubric!$B$7+J428*Rubric!$B$8+K428*Rubric!$B$9+L428*Rubric!$B$10-IF(OR(H428&lt;Rubric!$B$12,K428&lt;Rubric!$B$12),Rubric!$B$13,0),2)</f>
        <v>6.65</v>
      </c>
      <c r="N428" s="14" t="n">
        <v>1253</v>
      </c>
      <c r="O428" s="2" t="s">
        <v>726</v>
      </c>
    </row>
    <row r="429" customFormat="false" ht="23.85" hidden="false" customHeight="false" outlineLevel="0" collapsed="false">
      <c r="A429" s="2" t="s">
        <v>226</v>
      </c>
      <c r="B429" s="2" t="s">
        <v>153</v>
      </c>
      <c r="C429" s="14" t="n">
        <v>1</v>
      </c>
      <c r="D429" s="14" t="n">
        <v>4</v>
      </c>
      <c r="E429" s="2" t="s">
        <v>532</v>
      </c>
      <c r="F429" s="15" t="n">
        <v>7</v>
      </c>
      <c r="G429" s="15" t="n">
        <v>8</v>
      </c>
      <c r="H429" s="15" t="n">
        <v>8</v>
      </c>
      <c r="I429" s="15" t="n">
        <v>3</v>
      </c>
      <c r="J429" s="15" t="n">
        <v>9</v>
      </c>
      <c r="K429" s="15" t="n">
        <v>8</v>
      </c>
      <c r="L429" s="15" t="n">
        <v>8</v>
      </c>
      <c r="M429" s="4" t="n">
        <f aca="false">ROUND(F429*Rubric!$B$4+G429*Rubric!$B$5+H429*Rubric!$B$6+I429*Rubric!$B$7+J429*Rubric!$B$8+K429*Rubric!$B$9+L429*Rubric!$B$10-IF(OR(H429&lt;Rubric!$B$12,K429&lt;Rubric!$B$12),Rubric!$B$13,0),2)</f>
        <v>7.85</v>
      </c>
      <c r="N429" s="14" t="n">
        <v>1253</v>
      </c>
      <c r="O429" s="2" t="s">
        <v>786</v>
      </c>
    </row>
    <row r="430" customFormat="false" ht="23.85" hidden="false" customHeight="false" outlineLevel="0" collapsed="false">
      <c r="A430" s="2" t="s">
        <v>226</v>
      </c>
      <c r="B430" s="2" t="s">
        <v>153</v>
      </c>
      <c r="C430" s="14" t="n">
        <v>0</v>
      </c>
      <c r="D430" s="14" t="n">
        <v>5</v>
      </c>
      <c r="E430" s="2" t="s">
        <v>376</v>
      </c>
      <c r="F430" s="15" t="n">
        <v>8</v>
      </c>
      <c r="G430" s="15" t="n">
        <v>8</v>
      </c>
      <c r="H430" s="15" t="n">
        <v>7</v>
      </c>
      <c r="I430" s="15" t="n">
        <v>9</v>
      </c>
      <c r="J430" s="15" t="n">
        <v>6</v>
      </c>
      <c r="K430" s="15" t="n">
        <v>8</v>
      </c>
      <c r="L430" s="15" t="n">
        <v>9</v>
      </c>
      <c r="M430" s="4" t="n">
        <f aca="false">ROUND(F430*Rubric!$B$4+G430*Rubric!$B$5+H430*Rubric!$B$6+I430*Rubric!$B$7+J430*Rubric!$B$8+K430*Rubric!$B$9+L430*Rubric!$B$10-IF(OR(H430&lt;Rubric!$B$12,K430&lt;Rubric!$B$12),Rubric!$B$13,0),2)</f>
        <v>7.3</v>
      </c>
      <c r="N430" s="14" t="n">
        <v>1254</v>
      </c>
      <c r="O430" s="2" t="s">
        <v>726</v>
      </c>
    </row>
    <row r="431" customFormat="false" ht="23.85" hidden="false" customHeight="false" outlineLevel="0" collapsed="false">
      <c r="A431" s="2" t="s">
        <v>226</v>
      </c>
      <c r="B431" s="2" t="s">
        <v>153</v>
      </c>
      <c r="C431" s="14" t="n">
        <v>1</v>
      </c>
      <c r="D431" s="14" t="n">
        <v>5</v>
      </c>
      <c r="E431" s="2" t="s">
        <v>533</v>
      </c>
      <c r="F431" s="15" t="n">
        <v>8</v>
      </c>
      <c r="G431" s="15" t="n">
        <v>8</v>
      </c>
      <c r="H431" s="15" t="n">
        <v>7</v>
      </c>
      <c r="I431" s="15" t="n">
        <v>9</v>
      </c>
      <c r="J431" s="15" t="n">
        <v>8</v>
      </c>
      <c r="K431" s="15" t="n">
        <v>8</v>
      </c>
      <c r="L431" s="15" t="n">
        <v>9</v>
      </c>
      <c r="M431" s="4" t="n">
        <f aca="false">ROUND(F431*Rubric!$B$4+G431*Rubric!$B$5+H431*Rubric!$B$6+I431*Rubric!$B$7+J431*Rubric!$B$8+K431*Rubric!$B$9+L431*Rubric!$B$10-IF(OR(H431&lt;Rubric!$B$12,K431&lt;Rubric!$B$12),Rubric!$B$13,0),2)</f>
        <v>8.1</v>
      </c>
      <c r="N431" s="14" t="n">
        <v>1254</v>
      </c>
      <c r="O431" s="2" t="s">
        <v>786</v>
      </c>
    </row>
    <row r="432" customFormat="false" ht="23.85" hidden="false" customHeight="false" outlineLevel="0" collapsed="false">
      <c r="A432" s="2" t="s">
        <v>230</v>
      </c>
      <c r="B432" s="2" t="s">
        <v>231</v>
      </c>
      <c r="C432" s="14" t="n">
        <v>0</v>
      </c>
      <c r="D432" s="14" t="n">
        <v>1</v>
      </c>
      <c r="E432" s="2" t="s">
        <v>385</v>
      </c>
      <c r="F432" s="15" t="n">
        <v>8</v>
      </c>
      <c r="G432" s="15" t="n">
        <v>8</v>
      </c>
      <c r="H432" s="15" t="n">
        <v>7</v>
      </c>
      <c r="I432" s="15" t="n">
        <v>10</v>
      </c>
      <c r="J432" s="15" t="n">
        <v>7</v>
      </c>
      <c r="K432" s="15" t="n">
        <v>7</v>
      </c>
      <c r="L432" s="15" t="n">
        <v>9</v>
      </c>
      <c r="M432" s="4" t="n">
        <f aca="false">ROUND(F432*Rubric!$B$4+G432*Rubric!$B$5+H432*Rubric!$B$6+I432*Rubric!$B$7+J432*Rubric!$B$8+K432*Rubric!$B$9+L432*Rubric!$B$10-IF(OR(H432&lt;Rubric!$B$12,K432&lt;Rubric!$B$12),Rubric!$B$13,0),2)</f>
        <v>7.7</v>
      </c>
      <c r="N432" s="14" t="n">
        <v>1260</v>
      </c>
      <c r="O432" s="2" t="s">
        <v>726</v>
      </c>
    </row>
    <row r="433" customFormat="false" ht="23.85" hidden="false" customHeight="false" outlineLevel="0" collapsed="false">
      <c r="A433" s="2" t="s">
        <v>230</v>
      </c>
      <c r="B433" s="2" t="s">
        <v>231</v>
      </c>
      <c r="C433" s="14" t="n">
        <v>1</v>
      </c>
      <c r="D433" s="14" t="n">
        <v>1</v>
      </c>
      <c r="E433" s="2" t="s">
        <v>435</v>
      </c>
      <c r="F433" s="15" t="n">
        <v>9</v>
      </c>
      <c r="G433" s="15" t="n">
        <v>8</v>
      </c>
      <c r="H433" s="15" t="n">
        <v>7</v>
      </c>
      <c r="I433" s="15" t="n">
        <v>10</v>
      </c>
      <c r="J433" s="15" t="n">
        <v>9</v>
      </c>
      <c r="K433" s="15" t="n">
        <v>7</v>
      </c>
      <c r="L433" s="15" t="n">
        <v>9</v>
      </c>
      <c r="M433" s="4" t="n">
        <f aca="false">ROUND(F433*Rubric!$B$4+G433*Rubric!$B$5+H433*Rubric!$B$6+I433*Rubric!$B$7+J433*Rubric!$B$8+K433*Rubric!$B$9+L433*Rubric!$B$10-IF(OR(H433&lt;Rubric!$B$12,K433&lt;Rubric!$B$12),Rubric!$B$13,0),2)</f>
        <v>8.55</v>
      </c>
      <c r="N433" s="14" t="n">
        <v>1260</v>
      </c>
      <c r="O433" s="2" t="s">
        <v>787</v>
      </c>
    </row>
    <row r="434" customFormat="false" ht="23.85" hidden="false" customHeight="false" outlineLevel="0" collapsed="false">
      <c r="A434" s="2" t="s">
        <v>230</v>
      </c>
      <c r="B434" s="2" t="s">
        <v>231</v>
      </c>
      <c r="C434" s="14" t="n">
        <v>0</v>
      </c>
      <c r="D434" s="14" t="n">
        <v>2</v>
      </c>
      <c r="E434" s="2" t="s">
        <v>398</v>
      </c>
      <c r="F434" s="15" t="n">
        <v>8</v>
      </c>
      <c r="G434" s="15" t="n">
        <v>8</v>
      </c>
      <c r="H434" s="15" t="n">
        <v>7</v>
      </c>
      <c r="I434" s="15" t="n">
        <v>9</v>
      </c>
      <c r="J434" s="15" t="n">
        <v>7</v>
      </c>
      <c r="K434" s="15" t="n">
        <v>7</v>
      </c>
      <c r="L434" s="15" t="n">
        <v>9</v>
      </c>
      <c r="M434" s="4" t="n">
        <f aca="false">ROUND(F434*Rubric!$B$4+G434*Rubric!$B$5+H434*Rubric!$B$6+I434*Rubric!$B$7+J434*Rubric!$B$8+K434*Rubric!$B$9+L434*Rubric!$B$10-IF(OR(H434&lt;Rubric!$B$12,K434&lt;Rubric!$B$12),Rubric!$B$13,0),2)</f>
        <v>7.6</v>
      </c>
      <c r="N434" s="14" t="n">
        <v>1261</v>
      </c>
      <c r="O434" s="2" t="s">
        <v>726</v>
      </c>
    </row>
    <row r="435" customFormat="false" ht="23.85" hidden="false" customHeight="false" outlineLevel="0" collapsed="false">
      <c r="A435" s="2" t="s">
        <v>230</v>
      </c>
      <c r="B435" s="2" t="s">
        <v>231</v>
      </c>
      <c r="C435" s="14" t="n">
        <v>1</v>
      </c>
      <c r="D435" s="14" t="n">
        <v>2</v>
      </c>
      <c r="E435" s="2" t="s">
        <v>441</v>
      </c>
      <c r="F435" s="15" t="n">
        <v>6</v>
      </c>
      <c r="G435" s="15" t="n">
        <v>8</v>
      </c>
      <c r="H435" s="15" t="n">
        <v>7</v>
      </c>
      <c r="I435" s="15" t="n">
        <v>9</v>
      </c>
      <c r="J435" s="15" t="n">
        <v>10</v>
      </c>
      <c r="K435" s="15" t="n">
        <v>7</v>
      </c>
      <c r="L435" s="15" t="n">
        <v>9</v>
      </c>
      <c r="M435" s="4" t="n">
        <f aca="false">ROUND(F435*Rubric!$B$4+G435*Rubric!$B$5+H435*Rubric!$B$6+I435*Rubric!$B$7+J435*Rubric!$B$8+K435*Rubric!$B$9+L435*Rubric!$B$10-IF(OR(H435&lt;Rubric!$B$12,K435&lt;Rubric!$B$12),Rubric!$B$13,0),2)</f>
        <v>8.7</v>
      </c>
      <c r="N435" s="14" t="n">
        <v>1261</v>
      </c>
      <c r="O435" s="2" t="s">
        <v>787</v>
      </c>
    </row>
    <row r="436" customFormat="false" ht="23.85" hidden="false" customHeight="false" outlineLevel="0" collapsed="false">
      <c r="A436" s="2" t="s">
        <v>230</v>
      </c>
      <c r="B436" s="2" t="s">
        <v>231</v>
      </c>
      <c r="C436" s="14" t="n">
        <v>0</v>
      </c>
      <c r="D436" s="14" t="n">
        <v>3</v>
      </c>
      <c r="E436" s="2" t="s">
        <v>399</v>
      </c>
      <c r="F436" s="15" t="n">
        <v>9</v>
      </c>
      <c r="G436" s="15" t="n">
        <v>9</v>
      </c>
      <c r="H436" s="15" t="n">
        <v>7</v>
      </c>
      <c r="I436" s="15" t="n">
        <v>10</v>
      </c>
      <c r="J436" s="15" t="n">
        <v>8</v>
      </c>
      <c r="K436" s="15" t="n">
        <v>8</v>
      </c>
      <c r="L436" s="15" t="n">
        <v>10</v>
      </c>
      <c r="M436" s="4" t="n">
        <f aca="false">ROUND(F436*Rubric!$B$4+G436*Rubric!$B$5+H436*Rubric!$B$6+I436*Rubric!$B$7+J436*Rubric!$B$8+K436*Rubric!$B$9+L436*Rubric!$B$10-IF(OR(H436&lt;Rubric!$B$12,K436&lt;Rubric!$B$12),Rubric!$B$13,0),2)</f>
        <v>8.5</v>
      </c>
      <c r="N436" s="14" t="n">
        <v>1262</v>
      </c>
      <c r="O436" s="2" t="s">
        <v>726</v>
      </c>
    </row>
    <row r="437" customFormat="false" ht="23.85" hidden="false" customHeight="false" outlineLevel="0" collapsed="false">
      <c r="A437" s="2" t="s">
        <v>230</v>
      </c>
      <c r="B437" s="2" t="s">
        <v>231</v>
      </c>
      <c r="C437" s="14" t="n">
        <v>1</v>
      </c>
      <c r="D437" s="14" t="n">
        <v>3</v>
      </c>
      <c r="E437" s="2" t="s">
        <v>534</v>
      </c>
      <c r="F437" s="15" t="n">
        <v>9</v>
      </c>
      <c r="G437" s="15" t="n">
        <v>8</v>
      </c>
      <c r="H437" s="15" t="n">
        <v>7</v>
      </c>
      <c r="I437" s="15" t="n">
        <v>9</v>
      </c>
      <c r="J437" s="15" t="n">
        <v>10</v>
      </c>
      <c r="K437" s="15" t="n">
        <v>8</v>
      </c>
      <c r="L437" s="15" t="n">
        <v>9</v>
      </c>
      <c r="M437" s="4" t="n">
        <f aca="false">ROUND(F437*Rubric!$B$4+G437*Rubric!$B$5+H437*Rubric!$B$6+I437*Rubric!$B$7+J437*Rubric!$B$8+K437*Rubric!$B$9+L437*Rubric!$B$10-IF(OR(H437&lt;Rubric!$B$12,K437&lt;Rubric!$B$12),Rubric!$B$13,0),2)</f>
        <v>8.95</v>
      </c>
      <c r="N437" s="14" t="n">
        <v>1262</v>
      </c>
      <c r="O437" s="2" t="s">
        <v>787</v>
      </c>
    </row>
    <row r="438" customFormat="false" ht="23.85" hidden="false" customHeight="false" outlineLevel="0" collapsed="false">
      <c r="A438" s="2" t="s">
        <v>230</v>
      </c>
      <c r="B438" s="2" t="s">
        <v>231</v>
      </c>
      <c r="C438" s="14" t="n">
        <v>0</v>
      </c>
      <c r="D438" s="14" t="n">
        <v>4</v>
      </c>
      <c r="E438" s="2" t="s">
        <v>366</v>
      </c>
      <c r="F438" s="15" t="n">
        <v>8</v>
      </c>
      <c r="G438" s="15" t="n">
        <v>8</v>
      </c>
      <c r="H438" s="15" t="n">
        <v>7</v>
      </c>
      <c r="I438" s="15" t="n">
        <v>9</v>
      </c>
      <c r="J438" s="15" t="n">
        <v>6</v>
      </c>
      <c r="K438" s="15" t="n">
        <v>8</v>
      </c>
      <c r="L438" s="15" t="n">
        <v>9</v>
      </c>
      <c r="M438" s="4" t="n">
        <f aca="false">ROUND(F438*Rubric!$B$4+G438*Rubric!$B$5+H438*Rubric!$B$6+I438*Rubric!$B$7+J438*Rubric!$B$8+K438*Rubric!$B$9+L438*Rubric!$B$10-IF(OR(H438&lt;Rubric!$B$12,K438&lt;Rubric!$B$12),Rubric!$B$13,0),2)</f>
        <v>7.3</v>
      </c>
      <c r="N438" s="14" t="n">
        <v>1263</v>
      </c>
      <c r="O438" s="2" t="s">
        <v>726</v>
      </c>
    </row>
    <row r="439" customFormat="false" ht="15" hidden="false" customHeight="false" outlineLevel="0" collapsed="false">
      <c r="A439" s="2" t="s">
        <v>230</v>
      </c>
      <c r="B439" s="2" t="s">
        <v>231</v>
      </c>
      <c r="C439" s="14" t="n">
        <v>1</v>
      </c>
      <c r="D439" s="14" t="n">
        <v>4</v>
      </c>
      <c r="E439" s="2" t="s">
        <v>461</v>
      </c>
      <c r="F439" s="15" t="n">
        <v>9</v>
      </c>
      <c r="G439" s="15" t="n">
        <v>8</v>
      </c>
      <c r="H439" s="15" t="n">
        <v>8</v>
      </c>
      <c r="I439" s="15" t="n">
        <v>10</v>
      </c>
      <c r="J439" s="15" t="n">
        <v>9</v>
      </c>
      <c r="K439" s="15" t="n">
        <v>8</v>
      </c>
      <c r="L439" s="15" t="n">
        <v>9</v>
      </c>
      <c r="M439" s="4" t="n">
        <f aca="false">ROUND(F439*Rubric!$B$4+G439*Rubric!$B$5+H439*Rubric!$B$6+I439*Rubric!$B$7+J439*Rubric!$B$8+K439*Rubric!$B$9+L439*Rubric!$B$10-IF(OR(H439&lt;Rubric!$B$12,K439&lt;Rubric!$B$12),Rubric!$B$13,0),2)</f>
        <v>8.75</v>
      </c>
      <c r="N439" s="14" t="n">
        <v>1263</v>
      </c>
      <c r="O439" s="2" t="s">
        <v>787</v>
      </c>
    </row>
    <row r="440" customFormat="false" ht="23.85" hidden="false" customHeight="false" outlineLevel="0" collapsed="false">
      <c r="A440" s="2" t="s">
        <v>230</v>
      </c>
      <c r="B440" s="2" t="s">
        <v>231</v>
      </c>
      <c r="C440" s="14" t="n">
        <v>0</v>
      </c>
      <c r="D440" s="14" t="n">
        <v>5</v>
      </c>
      <c r="E440" s="2" t="s">
        <v>361</v>
      </c>
      <c r="F440" s="15" t="n">
        <v>9</v>
      </c>
      <c r="G440" s="15" t="n">
        <v>7</v>
      </c>
      <c r="H440" s="15" t="n">
        <v>8</v>
      </c>
      <c r="I440" s="15" t="n">
        <v>8</v>
      </c>
      <c r="J440" s="15" t="n">
        <v>5</v>
      </c>
      <c r="K440" s="15" t="n">
        <v>8</v>
      </c>
      <c r="L440" s="15" t="n">
        <v>7</v>
      </c>
      <c r="M440" s="4" t="n">
        <f aca="false">ROUND(F440*Rubric!$B$4+G440*Rubric!$B$5+H440*Rubric!$B$6+I440*Rubric!$B$7+J440*Rubric!$B$8+K440*Rubric!$B$9+L440*Rubric!$B$10-IF(OR(H440&lt;Rubric!$B$12,K440&lt;Rubric!$B$12),Rubric!$B$13,0),2)</f>
        <v>6.6</v>
      </c>
      <c r="N440" s="14" t="n">
        <v>1264</v>
      </c>
      <c r="O440" s="2" t="s">
        <v>726</v>
      </c>
    </row>
    <row r="441" customFormat="false" ht="23.85" hidden="false" customHeight="false" outlineLevel="0" collapsed="false">
      <c r="A441" s="2" t="s">
        <v>230</v>
      </c>
      <c r="B441" s="2" t="s">
        <v>231</v>
      </c>
      <c r="C441" s="14" t="n">
        <v>1</v>
      </c>
      <c r="D441" s="14" t="n">
        <v>5</v>
      </c>
      <c r="E441" s="2" t="s">
        <v>535</v>
      </c>
      <c r="F441" s="15" t="n">
        <v>9</v>
      </c>
      <c r="G441" s="15" t="n">
        <v>8</v>
      </c>
      <c r="H441" s="15" t="n">
        <v>8</v>
      </c>
      <c r="I441" s="15" t="n">
        <v>3</v>
      </c>
      <c r="J441" s="15" t="n">
        <v>8</v>
      </c>
      <c r="K441" s="15" t="n">
        <v>8</v>
      </c>
      <c r="L441" s="15" t="n">
        <v>7</v>
      </c>
      <c r="M441" s="4" t="n">
        <f aca="false">ROUND(F441*Rubric!$B$4+G441*Rubric!$B$5+H441*Rubric!$B$6+I441*Rubric!$B$7+J441*Rubric!$B$8+K441*Rubric!$B$9+L441*Rubric!$B$10-IF(OR(H441&lt;Rubric!$B$12,K441&lt;Rubric!$B$12),Rubric!$B$13,0),2)</f>
        <v>7.45</v>
      </c>
      <c r="N441" s="14" t="n">
        <v>1264</v>
      </c>
      <c r="O441" s="2" t="s">
        <v>787</v>
      </c>
    </row>
    <row r="442" customFormat="false" ht="23.85" hidden="false" customHeight="false" outlineLevel="0" collapsed="false">
      <c r="A442" s="2" t="s">
        <v>236</v>
      </c>
      <c r="B442" s="2" t="s">
        <v>237</v>
      </c>
      <c r="C442" s="14" t="n">
        <v>0</v>
      </c>
      <c r="D442" s="14" t="n">
        <v>1</v>
      </c>
      <c r="E442" s="2" t="s">
        <v>372</v>
      </c>
      <c r="F442" s="15" t="n">
        <v>8</v>
      </c>
      <c r="G442" s="15" t="n">
        <v>8</v>
      </c>
      <c r="H442" s="15" t="n">
        <v>8</v>
      </c>
      <c r="I442" s="15" t="n">
        <v>3</v>
      </c>
      <c r="J442" s="15" t="n">
        <v>7</v>
      </c>
      <c r="K442" s="15" t="n">
        <v>8</v>
      </c>
      <c r="L442" s="15" t="n">
        <v>7</v>
      </c>
      <c r="M442" s="4" t="n">
        <f aca="false">ROUND(F442*Rubric!$B$4+G442*Rubric!$B$5+H442*Rubric!$B$6+I442*Rubric!$B$7+J442*Rubric!$B$8+K442*Rubric!$B$9+L442*Rubric!$B$10-IF(OR(H442&lt;Rubric!$B$12,K442&lt;Rubric!$B$12),Rubric!$B$13,0),2)</f>
        <v>7</v>
      </c>
      <c r="N442" s="14" t="n">
        <v>1270</v>
      </c>
      <c r="O442" s="2" t="s">
        <v>726</v>
      </c>
    </row>
    <row r="443" customFormat="false" ht="23.85" hidden="false" customHeight="false" outlineLevel="0" collapsed="false">
      <c r="A443" s="2" t="s">
        <v>236</v>
      </c>
      <c r="B443" s="2" t="s">
        <v>237</v>
      </c>
      <c r="C443" s="14" t="n">
        <v>1</v>
      </c>
      <c r="D443" s="14" t="n">
        <v>1</v>
      </c>
      <c r="E443" s="2" t="s">
        <v>536</v>
      </c>
      <c r="F443" s="15" t="n">
        <v>8</v>
      </c>
      <c r="G443" s="15" t="n">
        <v>8</v>
      </c>
      <c r="H443" s="15" t="n">
        <v>8</v>
      </c>
      <c r="I443" s="15" t="n">
        <v>3</v>
      </c>
      <c r="J443" s="15" t="n">
        <v>9</v>
      </c>
      <c r="K443" s="15" t="n">
        <v>8</v>
      </c>
      <c r="L443" s="15" t="n">
        <v>7</v>
      </c>
      <c r="M443" s="4" t="n">
        <f aca="false">ROUND(F443*Rubric!$B$4+G443*Rubric!$B$5+H443*Rubric!$B$6+I443*Rubric!$B$7+J443*Rubric!$B$8+K443*Rubric!$B$9+L443*Rubric!$B$10-IF(OR(H443&lt;Rubric!$B$12,K443&lt;Rubric!$B$12),Rubric!$B$13,0),2)</f>
        <v>7.8</v>
      </c>
      <c r="N443" s="14" t="n">
        <v>1270</v>
      </c>
      <c r="O443" s="2" t="s">
        <v>788</v>
      </c>
    </row>
    <row r="444" customFormat="false" ht="23.85" hidden="false" customHeight="false" outlineLevel="0" collapsed="false">
      <c r="A444" s="2" t="s">
        <v>236</v>
      </c>
      <c r="B444" s="2" t="s">
        <v>237</v>
      </c>
      <c r="C444" s="14" t="n">
        <v>0</v>
      </c>
      <c r="D444" s="14" t="n">
        <v>2</v>
      </c>
      <c r="E444" s="2" t="s">
        <v>376</v>
      </c>
      <c r="F444" s="15" t="n">
        <v>8</v>
      </c>
      <c r="G444" s="15" t="n">
        <v>8</v>
      </c>
      <c r="H444" s="15" t="n">
        <v>7</v>
      </c>
      <c r="I444" s="15" t="n">
        <v>9</v>
      </c>
      <c r="J444" s="15" t="n">
        <v>8</v>
      </c>
      <c r="K444" s="15" t="n">
        <v>8</v>
      </c>
      <c r="L444" s="15" t="n">
        <v>9</v>
      </c>
      <c r="M444" s="4" t="n">
        <f aca="false">ROUND(F444*Rubric!$B$4+G444*Rubric!$B$5+H444*Rubric!$B$6+I444*Rubric!$B$7+J444*Rubric!$B$8+K444*Rubric!$B$9+L444*Rubric!$B$10-IF(OR(H444&lt;Rubric!$B$12,K444&lt;Rubric!$B$12),Rubric!$B$13,0),2)</f>
        <v>8.1</v>
      </c>
      <c r="N444" s="14" t="n">
        <v>1271</v>
      </c>
      <c r="O444" s="2" t="s">
        <v>726</v>
      </c>
    </row>
    <row r="445" customFormat="false" ht="23.85" hidden="false" customHeight="false" outlineLevel="0" collapsed="false">
      <c r="A445" s="2" t="s">
        <v>236</v>
      </c>
      <c r="B445" s="2" t="s">
        <v>237</v>
      </c>
      <c r="C445" s="14" t="n">
        <v>1</v>
      </c>
      <c r="D445" s="14" t="n">
        <v>2</v>
      </c>
      <c r="E445" s="2" t="s">
        <v>537</v>
      </c>
      <c r="F445" s="15" t="n">
        <v>9</v>
      </c>
      <c r="G445" s="15" t="n">
        <v>8</v>
      </c>
      <c r="H445" s="15" t="n">
        <v>7</v>
      </c>
      <c r="I445" s="15" t="n">
        <v>9</v>
      </c>
      <c r="J445" s="15" t="n">
        <v>10</v>
      </c>
      <c r="K445" s="15" t="n">
        <v>8</v>
      </c>
      <c r="L445" s="15" t="n">
        <v>9</v>
      </c>
      <c r="M445" s="4" t="n">
        <f aca="false">ROUND(F445*Rubric!$B$4+G445*Rubric!$B$5+H445*Rubric!$B$6+I445*Rubric!$B$7+J445*Rubric!$B$8+K445*Rubric!$B$9+L445*Rubric!$B$10-IF(OR(H445&lt;Rubric!$B$12,K445&lt;Rubric!$B$12),Rubric!$B$13,0),2)</f>
        <v>8.95</v>
      </c>
      <c r="N445" s="14" t="n">
        <v>1271</v>
      </c>
      <c r="O445" s="2" t="s">
        <v>788</v>
      </c>
    </row>
    <row r="446" customFormat="false" ht="23.85" hidden="false" customHeight="false" outlineLevel="0" collapsed="false">
      <c r="A446" s="2" t="s">
        <v>236</v>
      </c>
      <c r="B446" s="2" t="s">
        <v>237</v>
      </c>
      <c r="C446" s="14" t="n">
        <v>0</v>
      </c>
      <c r="D446" s="14" t="n">
        <v>3</v>
      </c>
      <c r="E446" s="2" t="s">
        <v>408</v>
      </c>
      <c r="F446" s="15" t="n">
        <v>9</v>
      </c>
      <c r="G446" s="15" t="n">
        <v>8</v>
      </c>
      <c r="H446" s="15" t="n">
        <v>8</v>
      </c>
      <c r="I446" s="15" t="n">
        <v>10</v>
      </c>
      <c r="J446" s="15" t="n">
        <v>9</v>
      </c>
      <c r="K446" s="15" t="n">
        <v>8</v>
      </c>
      <c r="L446" s="15" t="n">
        <v>9</v>
      </c>
      <c r="M446" s="4" t="n">
        <f aca="false">ROUND(F446*Rubric!$B$4+G446*Rubric!$B$5+H446*Rubric!$B$6+I446*Rubric!$B$7+J446*Rubric!$B$8+K446*Rubric!$B$9+L446*Rubric!$B$10-IF(OR(H446&lt;Rubric!$B$12,K446&lt;Rubric!$B$12),Rubric!$B$13,0),2)</f>
        <v>8.75</v>
      </c>
      <c r="N446" s="14" t="n">
        <v>1272</v>
      </c>
      <c r="O446" s="2" t="s">
        <v>726</v>
      </c>
    </row>
    <row r="447" customFormat="false" ht="23.85" hidden="false" customHeight="false" outlineLevel="0" collapsed="false">
      <c r="A447" s="2" t="s">
        <v>236</v>
      </c>
      <c r="B447" s="2" t="s">
        <v>237</v>
      </c>
      <c r="C447" s="14" t="n">
        <v>1</v>
      </c>
      <c r="D447" s="14" t="n">
        <v>3</v>
      </c>
      <c r="E447" s="2" t="s">
        <v>461</v>
      </c>
      <c r="F447" s="15" t="n">
        <v>9</v>
      </c>
      <c r="G447" s="15" t="n">
        <v>8</v>
      </c>
      <c r="H447" s="15" t="n">
        <v>8</v>
      </c>
      <c r="I447" s="15" t="n">
        <v>10</v>
      </c>
      <c r="J447" s="15" t="n">
        <v>10</v>
      </c>
      <c r="K447" s="15" t="n">
        <v>8</v>
      </c>
      <c r="L447" s="15" t="n">
        <v>9</v>
      </c>
      <c r="M447" s="4" t="n">
        <f aca="false">ROUND(F447*Rubric!$B$4+G447*Rubric!$B$5+H447*Rubric!$B$6+I447*Rubric!$B$7+J447*Rubric!$B$8+K447*Rubric!$B$9+L447*Rubric!$B$10-IF(OR(H447&lt;Rubric!$B$12,K447&lt;Rubric!$B$12),Rubric!$B$13,0),2)</f>
        <v>9.15</v>
      </c>
      <c r="N447" s="14" t="n">
        <v>1272</v>
      </c>
      <c r="O447" s="2" t="s">
        <v>788</v>
      </c>
    </row>
    <row r="448" customFormat="false" ht="23.85" hidden="false" customHeight="false" outlineLevel="0" collapsed="false">
      <c r="A448" s="2" t="s">
        <v>236</v>
      </c>
      <c r="B448" s="2" t="s">
        <v>237</v>
      </c>
      <c r="C448" s="14" t="n">
        <v>0</v>
      </c>
      <c r="D448" s="14" t="n">
        <v>4</v>
      </c>
      <c r="E448" s="2" t="s">
        <v>404</v>
      </c>
      <c r="F448" s="15" t="n">
        <v>8</v>
      </c>
      <c r="G448" s="15" t="n">
        <v>8</v>
      </c>
      <c r="H448" s="15" t="n">
        <v>7</v>
      </c>
      <c r="I448" s="15" t="n">
        <v>10</v>
      </c>
      <c r="J448" s="15" t="n">
        <v>7</v>
      </c>
      <c r="K448" s="15" t="n">
        <v>7</v>
      </c>
      <c r="L448" s="15" t="n">
        <v>9</v>
      </c>
      <c r="M448" s="4" t="n">
        <f aca="false">ROUND(F448*Rubric!$B$4+G448*Rubric!$B$5+H448*Rubric!$B$6+I448*Rubric!$B$7+J448*Rubric!$B$8+K448*Rubric!$B$9+L448*Rubric!$B$10-IF(OR(H448&lt;Rubric!$B$12,K448&lt;Rubric!$B$12),Rubric!$B$13,0),2)</f>
        <v>7.7</v>
      </c>
      <c r="N448" s="14" t="n">
        <v>1273</v>
      </c>
      <c r="O448" s="2" t="s">
        <v>726</v>
      </c>
    </row>
    <row r="449" customFormat="false" ht="23.85" hidden="false" customHeight="false" outlineLevel="0" collapsed="false">
      <c r="A449" s="2" t="s">
        <v>236</v>
      </c>
      <c r="B449" s="2" t="s">
        <v>237</v>
      </c>
      <c r="C449" s="14" t="n">
        <v>1</v>
      </c>
      <c r="D449" s="14" t="n">
        <v>4</v>
      </c>
      <c r="E449" s="2" t="s">
        <v>434</v>
      </c>
      <c r="F449" s="15" t="n">
        <v>8</v>
      </c>
      <c r="G449" s="15" t="n">
        <v>8</v>
      </c>
      <c r="H449" s="15" t="n">
        <v>7</v>
      </c>
      <c r="I449" s="15" t="n">
        <v>10</v>
      </c>
      <c r="J449" s="15" t="n">
        <v>9</v>
      </c>
      <c r="K449" s="15" t="n">
        <v>7</v>
      </c>
      <c r="L449" s="15" t="n">
        <v>8</v>
      </c>
      <c r="M449" s="4" t="n">
        <f aca="false">ROUND(F449*Rubric!$B$4+G449*Rubric!$B$5+H449*Rubric!$B$6+I449*Rubric!$B$7+J449*Rubric!$B$8+K449*Rubric!$B$9+L449*Rubric!$B$10-IF(OR(H449&lt;Rubric!$B$12,K449&lt;Rubric!$B$12),Rubric!$B$13,0),2)</f>
        <v>8.4</v>
      </c>
      <c r="N449" s="14" t="n">
        <v>1273</v>
      </c>
      <c r="O449" s="2" t="s">
        <v>788</v>
      </c>
    </row>
    <row r="450" customFormat="false" ht="23.85" hidden="false" customHeight="false" outlineLevel="0" collapsed="false">
      <c r="A450" s="2" t="s">
        <v>236</v>
      </c>
      <c r="B450" s="2" t="s">
        <v>237</v>
      </c>
      <c r="C450" s="14" t="n">
        <v>0</v>
      </c>
      <c r="D450" s="14" t="n">
        <v>5</v>
      </c>
      <c r="E450" s="2" t="s">
        <v>374</v>
      </c>
      <c r="F450" s="15" t="n">
        <v>9</v>
      </c>
      <c r="G450" s="15" t="n">
        <v>9</v>
      </c>
      <c r="H450" s="15" t="n">
        <v>8</v>
      </c>
      <c r="I450" s="15" t="n">
        <v>3</v>
      </c>
      <c r="J450" s="15" t="n">
        <v>7</v>
      </c>
      <c r="K450" s="15" t="n">
        <v>9</v>
      </c>
      <c r="L450" s="15" t="n">
        <v>8</v>
      </c>
      <c r="M450" s="4" t="n">
        <f aca="false">ROUND(F450*Rubric!$B$4+G450*Rubric!$B$5+H450*Rubric!$B$6+I450*Rubric!$B$7+J450*Rubric!$B$8+K450*Rubric!$B$9+L450*Rubric!$B$10-IF(OR(H450&lt;Rubric!$B$12,K450&lt;Rubric!$B$12),Rubric!$B$13,0),2)</f>
        <v>7.4</v>
      </c>
      <c r="N450" s="14" t="n">
        <v>1274</v>
      </c>
      <c r="O450" s="2" t="s">
        <v>726</v>
      </c>
    </row>
    <row r="451" customFormat="false" ht="23.85" hidden="false" customHeight="false" outlineLevel="0" collapsed="false">
      <c r="A451" s="2" t="s">
        <v>236</v>
      </c>
      <c r="B451" s="2" t="s">
        <v>237</v>
      </c>
      <c r="C451" s="14" t="n">
        <v>1</v>
      </c>
      <c r="D451" s="14" t="n">
        <v>5</v>
      </c>
      <c r="E451" s="2" t="s">
        <v>538</v>
      </c>
      <c r="F451" s="15" t="n">
        <v>9</v>
      </c>
      <c r="G451" s="15" t="n">
        <v>9</v>
      </c>
      <c r="H451" s="15" t="n">
        <v>8</v>
      </c>
      <c r="I451" s="15" t="n">
        <v>3</v>
      </c>
      <c r="J451" s="15" t="n">
        <v>8</v>
      </c>
      <c r="K451" s="15" t="n">
        <v>9</v>
      </c>
      <c r="L451" s="15" t="n">
        <v>8</v>
      </c>
      <c r="M451" s="4" t="n">
        <f aca="false">ROUND(F451*Rubric!$B$4+G451*Rubric!$B$5+H451*Rubric!$B$6+I451*Rubric!$B$7+J451*Rubric!$B$8+K451*Rubric!$B$9+L451*Rubric!$B$10-IF(OR(H451&lt;Rubric!$B$12,K451&lt;Rubric!$B$12),Rubric!$B$13,0),2)</f>
        <v>7.8</v>
      </c>
      <c r="N451" s="14" t="n">
        <v>1274</v>
      </c>
      <c r="O451" s="2" t="s">
        <v>788</v>
      </c>
    </row>
    <row r="452" customFormat="false" ht="23.85" hidden="false" customHeight="false" outlineLevel="0" collapsed="false">
      <c r="A452" s="2" t="s">
        <v>16</v>
      </c>
      <c r="B452" s="2" t="s">
        <v>241</v>
      </c>
      <c r="C452" s="14" t="n">
        <v>0</v>
      </c>
      <c r="D452" s="14" t="n">
        <v>1</v>
      </c>
      <c r="E452" s="2" t="s">
        <v>357</v>
      </c>
      <c r="F452" s="15" t="n">
        <v>7</v>
      </c>
      <c r="G452" s="15" t="n">
        <v>8</v>
      </c>
      <c r="H452" s="15" t="n">
        <v>8</v>
      </c>
      <c r="I452" s="15" t="n">
        <v>4</v>
      </c>
      <c r="J452" s="15" t="n">
        <v>8</v>
      </c>
      <c r="K452" s="15" t="n">
        <v>8</v>
      </c>
      <c r="L452" s="15" t="n">
        <v>8</v>
      </c>
      <c r="M452" s="4" t="n">
        <f aca="false">ROUND(F452*Rubric!$B$4+G452*Rubric!$B$5+H452*Rubric!$B$6+I452*Rubric!$B$7+J452*Rubric!$B$8+K452*Rubric!$B$9+L452*Rubric!$B$10-IF(OR(H452&lt;Rubric!$B$12,K452&lt;Rubric!$B$12),Rubric!$B$13,0),2)</f>
        <v>7.55</v>
      </c>
      <c r="N452" s="14" t="n">
        <v>1280</v>
      </c>
      <c r="O452" s="2" t="s">
        <v>726</v>
      </c>
    </row>
    <row r="453" customFormat="false" ht="23.85" hidden="false" customHeight="false" outlineLevel="0" collapsed="false">
      <c r="A453" s="2" t="s">
        <v>16</v>
      </c>
      <c r="B453" s="2" t="s">
        <v>241</v>
      </c>
      <c r="C453" s="14" t="n">
        <v>1</v>
      </c>
      <c r="D453" s="14" t="n">
        <v>1</v>
      </c>
      <c r="E453" s="2" t="s">
        <v>539</v>
      </c>
      <c r="F453" s="15" t="n">
        <v>7</v>
      </c>
      <c r="G453" s="15" t="n">
        <v>8</v>
      </c>
      <c r="H453" s="15" t="n">
        <v>8</v>
      </c>
      <c r="I453" s="15" t="n">
        <v>3</v>
      </c>
      <c r="J453" s="15" t="n">
        <v>9</v>
      </c>
      <c r="K453" s="15" t="n">
        <v>8</v>
      </c>
      <c r="L453" s="15" t="n">
        <v>7</v>
      </c>
      <c r="M453" s="4" t="n">
        <f aca="false">ROUND(F453*Rubric!$B$4+G453*Rubric!$B$5+H453*Rubric!$B$6+I453*Rubric!$B$7+J453*Rubric!$B$8+K453*Rubric!$B$9+L453*Rubric!$B$10-IF(OR(H453&lt;Rubric!$B$12,K453&lt;Rubric!$B$12),Rubric!$B$13,0),2)</f>
        <v>7.75</v>
      </c>
      <c r="N453" s="14" t="n">
        <v>1280</v>
      </c>
      <c r="O453" s="2" t="s">
        <v>789</v>
      </c>
    </row>
    <row r="454" customFormat="false" ht="23.85" hidden="false" customHeight="false" outlineLevel="0" collapsed="false">
      <c r="A454" s="2" t="s">
        <v>16</v>
      </c>
      <c r="B454" s="2" t="s">
        <v>241</v>
      </c>
      <c r="C454" s="14" t="n">
        <v>0</v>
      </c>
      <c r="D454" s="14" t="n">
        <v>2</v>
      </c>
      <c r="E454" s="2" t="s">
        <v>358</v>
      </c>
      <c r="F454" s="15" t="n">
        <v>9</v>
      </c>
      <c r="G454" s="15" t="n">
        <v>9</v>
      </c>
      <c r="H454" s="15" t="n">
        <v>8</v>
      </c>
      <c r="I454" s="15" t="n">
        <v>4</v>
      </c>
      <c r="J454" s="15" t="n">
        <v>8</v>
      </c>
      <c r="K454" s="15" t="n">
        <v>9</v>
      </c>
      <c r="L454" s="15" t="n">
        <v>8</v>
      </c>
      <c r="M454" s="4" t="n">
        <f aca="false">ROUND(F454*Rubric!$B$4+G454*Rubric!$B$5+H454*Rubric!$B$6+I454*Rubric!$B$7+J454*Rubric!$B$8+K454*Rubric!$B$9+L454*Rubric!$B$10-IF(OR(H454&lt;Rubric!$B$12,K454&lt;Rubric!$B$12),Rubric!$B$13,0),2)</f>
        <v>7.9</v>
      </c>
      <c r="N454" s="14" t="n">
        <v>1281</v>
      </c>
      <c r="O454" s="2" t="s">
        <v>726</v>
      </c>
    </row>
    <row r="455" customFormat="false" ht="23.85" hidden="false" customHeight="false" outlineLevel="0" collapsed="false">
      <c r="A455" s="2" t="s">
        <v>16</v>
      </c>
      <c r="B455" s="2" t="s">
        <v>241</v>
      </c>
      <c r="C455" s="14" t="n">
        <v>1</v>
      </c>
      <c r="D455" s="14" t="n">
        <v>2</v>
      </c>
      <c r="E455" s="2" t="s">
        <v>540</v>
      </c>
      <c r="F455" s="15" t="n">
        <v>8</v>
      </c>
      <c r="G455" s="15" t="n">
        <v>9</v>
      </c>
      <c r="H455" s="15" t="n">
        <v>8</v>
      </c>
      <c r="I455" s="15" t="n">
        <v>3</v>
      </c>
      <c r="J455" s="15" t="n">
        <v>9</v>
      </c>
      <c r="K455" s="15" t="n">
        <v>9</v>
      </c>
      <c r="L455" s="15" t="n">
        <v>8</v>
      </c>
      <c r="M455" s="4" t="n">
        <f aca="false">ROUND(F455*Rubric!$B$4+G455*Rubric!$B$5+H455*Rubric!$B$6+I455*Rubric!$B$7+J455*Rubric!$B$8+K455*Rubric!$B$9+L455*Rubric!$B$10-IF(OR(H455&lt;Rubric!$B$12,K455&lt;Rubric!$B$12),Rubric!$B$13,0),2)</f>
        <v>8.15</v>
      </c>
      <c r="N455" s="14" t="n">
        <v>1281</v>
      </c>
      <c r="O455" s="2" t="s">
        <v>789</v>
      </c>
    </row>
    <row r="456" customFormat="false" ht="23.85" hidden="false" customHeight="false" outlineLevel="0" collapsed="false">
      <c r="A456" s="2" t="s">
        <v>16</v>
      </c>
      <c r="B456" s="2" t="s">
        <v>241</v>
      </c>
      <c r="C456" s="14" t="n">
        <v>0</v>
      </c>
      <c r="D456" s="14" t="n">
        <v>3</v>
      </c>
      <c r="E456" s="2" t="s">
        <v>368</v>
      </c>
      <c r="F456" s="15" t="n">
        <v>8</v>
      </c>
      <c r="G456" s="15" t="n">
        <v>8</v>
      </c>
      <c r="H456" s="15" t="n">
        <v>8</v>
      </c>
      <c r="I456" s="15" t="n">
        <v>3</v>
      </c>
      <c r="J456" s="15" t="n">
        <v>8</v>
      </c>
      <c r="K456" s="15" t="n">
        <v>8</v>
      </c>
      <c r="L456" s="15" t="n">
        <v>7</v>
      </c>
      <c r="M456" s="4" t="n">
        <f aca="false">ROUND(F456*Rubric!$B$4+G456*Rubric!$B$5+H456*Rubric!$B$6+I456*Rubric!$B$7+J456*Rubric!$B$8+K456*Rubric!$B$9+L456*Rubric!$B$10-IF(OR(H456&lt;Rubric!$B$12,K456&lt;Rubric!$B$12),Rubric!$B$13,0),2)</f>
        <v>7.4</v>
      </c>
      <c r="N456" s="14" t="n">
        <v>1282</v>
      </c>
      <c r="O456" s="2" t="s">
        <v>726</v>
      </c>
    </row>
    <row r="457" customFormat="false" ht="23.85" hidden="false" customHeight="false" outlineLevel="0" collapsed="false">
      <c r="A457" s="2" t="s">
        <v>16</v>
      </c>
      <c r="B457" s="2" t="s">
        <v>241</v>
      </c>
      <c r="C457" s="14" t="n">
        <v>1</v>
      </c>
      <c r="D457" s="14" t="n">
        <v>3</v>
      </c>
      <c r="E457" s="2" t="s">
        <v>359</v>
      </c>
      <c r="F457" s="15" t="n">
        <v>8</v>
      </c>
      <c r="G457" s="15" t="n">
        <v>8</v>
      </c>
      <c r="H457" s="15" t="n">
        <v>8</v>
      </c>
      <c r="I457" s="15" t="n">
        <v>4</v>
      </c>
      <c r="J457" s="15" t="n">
        <v>8</v>
      </c>
      <c r="K457" s="15" t="n">
        <v>8</v>
      </c>
      <c r="L457" s="15" t="n">
        <v>7</v>
      </c>
      <c r="M457" s="4" t="n">
        <f aca="false">ROUND(F457*Rubric!$B$4+G457*Rubric!$B$5+H457*Rubric!$B$6+I457*Rubric!$B$7+J457*Rubric!$B$8+K457*Rubric!$B$9+L457*Rubric!$B$10-IF(OR(H457&lt;Rubric!$B$12,K457&lt;Rubric!$B$12),Rubric!$B$13,0),2)</f>
        <v>7.5</v>
      </c>
      <c r="N457" s="14" t="n">
        <v>1282</v>
      </c>
      <c r="O457" s="2" t="s">
        <v>789</v>
      </c>
    </row>
    <row r="458" customFormat="false" ht="23.85" hidden="false" customHeight="false" outlineLevel="0" collapsed="false">
      <c r="A458" s="2" t="s">
        <v>16</v>
      </c>
      <c r="B458" s="2" t="s">
        <v>241</v>
      </c>
      <c r="C458" s="14" t="n">
        <v>0</v>
      </c>
      <c r="D458" s="14" t="n">
        <v>4</v>
      </c>
      <c r="E458" s="2" t="s">
        <v>359</v>
      </c>
      <c r="F458" s="15" t="n">
        <v>9</v>
      </c>
      <c r="G458" s="15" t="n">
        <v>8</v>
      </c>
      <c r="H458" s="15" t="n">
        <v>8</v>
      </c>
      <c r="I458" s="15" t="n">
        <v>4</v>
      </c>
      <c r="J458" s="15" t="n">
        <v>8</v>
      </c>
      <c r="K458" s="15" t="n">
        <v>8</v>
      </c>
      <c r="L458" s="15" t="n">
        <v>7</v>
      </c>
      <c r="M458" s="4" t="n">
        <f aca="false">ROUND(F458*Rubric!$B$4+G458*Rubric!$B$5+H458*Rubric!$B$6+I458*Rubric!$B$7+J458*Rubric!$B$8+K458*Rubric!$B$9+L458*Rubric!$B$10-IF(OR(H458&lt;Rubric!$B$12,K458&lt;Rubric!$B$12),Rubric!$B$13,0),2)</f>
        <v>7.55</v>
      </c>
      <c r="N458" s="14" t="n">
        <v>1283</v>
      </c>
      <c r="O458" s="2" t="s">
        <v>726</v>
      </c>
    </row>
    <row r="459" customFormat="false" ht="23.85" hidden="false" customHeight="false" outlineLevel="0" collapsed="false">
      <c r="A459" s="2" t="s">
        <v>16</v>
      </c>
      <c r="B459" s="2" t="s">
        <v>241</v>
      </c>
      <c r="C459" s="14" t="n">
        <v>1</v>
      </c>
      <c r="D459" s="14" t="n">
        <v>4</v>
      </c>
      <c r="E459" s="2" t="s">
        <v>541</v>
      </c>
      <c r="F459" s="15" t="n">
        <v>8</v>
      </c>
      <c r="G459" s="15" t="n">
        <v>8</v>
      </c>
      <c r="H459" s="15" t="n">
        <v>8</v>
      </c>
      <c r="I459" s="15" t="n">
        <v>3</v>
      </c>
      <c r="J459" s="15" t="n">
        <v>9</v>
      </c>
      <c r="K459" s="15" t="n">
        <v>8</v>
      </c>
      <c r="L459" s="15" t="n">
        <v>7</v>
      </c>
      <c r="M459" s="4" t="n">
        <f aca="false">ROUND(F459*Rubric!$B$4+G459*Rubric!$B$5+H459*Rubric!$B$6+I459*Rubric!$B$7+J459*Rubric!$B$8+K459*Rubric!$B$9+L459*Rubric!$B$10-IF(OR(H459&lt;Rubric!$B$12,K459&lt;Rubric!$B$12),Rubric!$B$13,0),2)</f>
        <v>7.8</v>
      </c>
      <c r="N459" s="14" t="n">
        <v>1283</v>
      </c>
      <c r="O459" s="2" t="s">
        <v>789</v>
      </c>
    </row>
    <row r="460" customFormat="false" ht="23.85" hidden="false" customHeight="false" outlineLevel="0" collapsed="false">
      <c r="A460" s="2" t="s">
        <v>16</v>
      </c>
      <c r="B460" s="2" t="s">
        <v>241</v>
      </c>
      <c r="C460" s="14" t="n">
        <v>0</v>
      </c>
      <c r="D460" s="14" t="n">
        <v>5</v>
      </c>
      <c r="E460" s="2" t="s">
        <v>361</v>
      </c>
      <c r="F460" s="15" t="n">
        <v>9</v>
      </c>
      <c r="G460" s="15" t="n">
        <v>7</v>
      </c>
      <c r="H460" s="15" t="n">
        <v>8</v>
      </c>
      <c r="I460" s="15" t="n">
        <v>8</v>
      </c>
      <c r="J460" s="15" t="n">
        <v>7</v>
      </c>
      <c r="K460" s="15" t="n">
        <v>8</v>
      </c>
      <c r="L460" s="15" t="n">
        <v>7</v>
      </c>
      <c r="M460" s="4" t="n">
        <f aca="false">ROUND(F460*Rubric!$B$4+G460*Rubric!$B$5+H460*Rubric!$B$6+I460*Rubric!$B$7+J460*Rubric!$B$8+K460*Rubric!$B$9+L460*Rubric!$B$10-IF(OR(H460&lt;Rubric!$B$12,K460&lt;Rubric!$B$12),Rubric!$B$13,0),2)</f>
        <v>7.4</v>
      </c>
      <c r="N460" s="14" t="n">
        <v>1284</v>
      </c>
      <c r="O460" s="2" t="s">
        <v>726</v>
      </c>
    </row>
    <row r="461" customFormat="false" ht="23.85" hidden="false" customHeight="false" outlineLevel="0" collapsed="false">
      <c r="A461" s="2" t="s">
        <v>16</v>
      </c>
      <c r="B461" s="2" t="s">
        <v>241</v>
      </c>
      <c r="C461" s="14" t="n">
        <v>1</v>
      </c>
      <c r="D461" s="14" t="n">
        <v>5</v>
      </c>
      <c r="E461" s="2" t="s">
        <v>542</v>
      </c>
      <c r="F461" s="15" t="n">
        <v>9</v>
      </c>
      <c r="G461" s="15" t="n">
        <v>7</v>
      </c>
      <c r="H461" s="15" t="n">
        <v>8</v>
      </c>
      <c r="I461" s="15" t="n">
        <v>8</v>
      </c>
      <c r="J461" s="15" t="n">
        <v>8</v>
      </c>
      <c r="K461" s="15" t="n">
        <v>8</v>
      </c>
      <c r="L461" s="15" t="n">
        <v>7</v>
      </c>
      <c r="M461" s="4" t="n">
        <f aca="false">ROUND(F461*Rubric!$B$4+G461*Rubric!$B$5+H461*Rubric!$B$6+I461*Rubric!$B$7+J461*Rubric!$B$8+K461*Rubric!$B$9+L461*Rubric!$B$10-IF(OR(H461&lt;Rubric!$B$12,K461&lt;Rubric!$B$12),Rubric!$B$13,0),2)</f>
        <v>7.8</v>
      </c>
      <c r="N461" s="14" t="n">
        <v>1284</v>
      </c>
      <c r="O461" s="2" t="s">
        <v>789</v>
      </c>
    </row>
    <row r="462" customFormat="false" ht="23.85" hidden="false" customHeight="false" outlineLevel="0" collapsed="false">
      <c r="A462" s="2" t="s">
        <v>16</v>
      </c>
      <c r="B462" s="2" t="s">
        <v>246</v>
      </c>
      <c r="C462" s="14" t="n">
        <v>0</v>
      </c>
      <c r="D462" s="14" t="n">
        <v>1</v>
      </c>
      <c r="E462" s="2" t="s">
        <v>412</v>
      </c>
      <c r="F462" s="15" t="n">
        <v>9</v>
      </c>
      <c r="G462" s="15" t="n">
        <v>8</v>
      </c>
      <c r="H462" s="15" t="n">
        <v>8</v>
      </c>
      <c r="I462" s="15" t="n">
        <v>3</v>
      </c>
      <c r="J462" s="15" t="n">
        <v>6</v>
      </c>
      <c r="K462" s="15" t="n">
        <v>8</v>
      </c>
      <c r="L462" s="15" t="n">
        <v>7</v>
      </c>
      <c r="M462" s="4" t="n">
        <f aca="false">ROUND(F462*Rubric!$B$4+G462*Rubric!$B$5+H462*Rubric!$B$6+I462*Rubric!$B$7+J462*Rubric!$B$8+K462*Rubric!$B$9+L462*Rubric!$B$10-IF(OR(H462&lt;Rubric!$B$12,K462&lt;Rubric!$B$12),Rubric!$B$13,0),2)</f>
        <v>6.65</v>
      </c>
      <c r="N462" s="14" t="n">
        <v>1290</v>
      </c>
      <c r="O462" s="2" t="s">
        <v>726</v>
      </c>
    </row>
    <row r="463" customFormat="false" ht="23.85" hidden="false" customHeight="false" outlineLevel="0" collapsed="false">
      <c r="A463" s="2" t="s">
        <v>16</v>
      </c>
      <c r="B463" s="2" t="s">
        <v>246</v>
      </c>
      <c r="C463" s="14" t="n">
        <v>1</v>
      </c>
      <c r="D463" s="14" t="n">
        <v>1</v>
      </c>
      <c r="E463" s="2" t="s">
        <v>535</v>
      </c>
      <c r="F463" s="15" t="n">
        <v>9</v>
      </c>
      <c r="G463" s="15" t="n">
        <v>8</v>
      </c>
      <c r="H463" s="15" t="n">
        <v>8</v>
      </c>
      <c r="I463" s="15" t="n">
        <v>3</v>
      </c>
      <c r="J463" s="15" t="n">
        <v>9</v>
      </c>
      <c r="K463" s="15" t="n">
        <v>8</v>
      </c>
      <c r="L463" s="15" t="n">
        <v>7</v>
      </c>
      <c r="M463" s="4" t="n">
        <f aca="false">ROUND(F463*Rubric!$B$4+G463*Rubric!$B$5+H463*Rubric!$B$6+I463*Rubric!$B$7+J463*Rubric!$B$8+K463*Rubric!$B$9+L463*Rubric!$B$10-IF(OR(H463&lt;Rubric!$B$12,K463&lt;Rubric!$B$12),Rubric!$B$13,0),2)</f>
        <v>7.85</v>
      </c>
      <c r="N463" s="14" t="n">
        <v>1290</v>
      </c>
      <c r="O463" s="2" t="s">
        <v>790</v>
      </c>
    </row>
    <row r="464" customFormat="false" ht="15" hidden="false" customHeight="false" outlineLevel="0" collapsed="false">
      <c r="A464" s="2" t="s">
        <v>16</v>
      </c>
      <c r="B464" s="2" t="s">
        <v>246</v>
      </c>
      <c r="C464" s="14" t="n">
        <v>0</v>
      </c>
      <c r="D464" s="14" t="n">
        <v>2</v>
      </c>
      <c r="E464" s="2" t="s">
        <v>413</v>
      </c>
      <c r="F464" s="15" t="n">
        <v>9</v>
      </c>
      <c r="G464" s="15" t="n">
        <v>9</v>
      </c>
      <c r="H464" s="15" t="n">
        <v>8</v>
      </c>
      <c r="I464" s="15" t="n">
        <v>3</v>
      </c>
      <c r="J464" s="15" t="n">
        <v>7</v>
      </c>
      <c r="K464" s="15" t="n">
        <v>9</v>
      </c>
      <c r="L464" s="15" t="n">
        <v>8</v>
      </c>
      <c r="M464" s="4" t="n">
        <f aca="false">ROUND(F464*Rubric!$B$4+G464*Rubric!$B$5+H464*Rubric!$B$6+I464*Rubric!$B$7+J464*Rubric!$B$8+K464*Rubric!$B$9+L464*Rubric!$B$10-IF(OR(H464&lt;Rubric!$B$12,K464&lt;Rubric!$B$12),Rubric!$B$13,0),2)</f>
        <v>7.4</v>
      </c>
      <c r="N464" s="14" t="n">
        <v>1291</v>
      </c>
      <c r="O464" s="2" t="s">
        <v>726</v>
      </c>
    </row>
    <row r="465" customFormat="false" ht="23.85" hidden="false" customHeight="false" outlineLevel="0" collapsed="false">
      <c r="A465" s="2" t="s">
        <v>16</v>
      </c>
      <c r="B465" s="2" t="s">
        <v>246</v>
      </c>
      <c r="C465" s="14" t="n">
        <v>1</v>
      </c>
      <c r="D465" s="14" t="n">
        <v>2</v>
      </c>
      <c r="E465" s="2" t="s">
        <v>511</v>
      </c>
      <c r="F465" s="15" t="n">
        <v>9</v>
      </c>
      <c r="G465" s="15" t="n">
        <v>9</v>
      </c>
      <c r="H465" s="15" t="n">
        <v>8</v>
      </c>
      <c r="I465" s="15" t="n">
        <v>3</v>
      </c>
      <c r="J465" s="15" t="n">
        <v>9</v>
      </c>
      <c r="K465" s="15" t="n">
        <v>9</v>
      </c>
      <c r="L465" s="15" t="n">
        <v>8</v>
      </c>
      <c r="M465" s="4" t="n">
        <f aca="false">ROUND(F465*Rubric!$B$4+G465*Rubric!$B$5+H465*Rubric!$B$6+I465*Rubric!$B$7+J465*Rubric!$B$8+K465*Rubric!$B$9+L465*Rubric!$B$10-IF(OR(H465&lt;Rubric!$B$12,K465&lt;Rubric!$B$12),Rubric!$B$13,0),2)</f>
        <v>8.2</v>
      </c>
      <c r="N465" s="14" t="n">
        <v>1291</v>
      </c>
      <c r="O465" s="2" t="s">
        <v>790</v>
      </c>
    </row>
    <row r="466" customFormat="false" ht="23.85" hidden="false" customHeight="false" outlineLevel="0" collapsed="false">
      <c r="A466" s="2" t="s">
        <v>16</v>
      </c>
      <c r="B466" s="2" t="s">
        <v>246</v>
      </c>
      <c r="C466" s="14" t="n">
        <v>0</v>
      </c>
      <c r="D466" s="14" t="n">
        <v>3</v>
      </c>
      <c r="E466" s="2" t="s">
        <v>402</v>
      </c>
      <c r="F466" s="15" t="n">
        <v>9</v>
      </c>
      <c r="G466" s="15" t="n">
        <v>9</v>
      </c>
      <c r="H466" s="15" t="n">
        <v>7</v>
      </c>
      <c r="I466" s="15" t="n">
        <v>4</v>
      </c>
      <c r="J466" s="15" t="n">
        <v>7</v>
      </c>
      <c r="K466" s="15" t="n">
        <v>7</v>
      </c>
      <c r="L466" s="15" t="n">
        <v>8</v>
      </c>
      <c r="M466" s="4" t="n">
        <f aca="false">ROUND(F466*Rubric!$B$4+G466*Rubric!$B$5+H466*Rubric!$B$6+I466*Rubric!$B$7+J466*Rubric!$B$8+K466*Rubric!$B$9+L466*Rubric!$B$10-IF(OR(H466&lt;Rubric!$B$12,K466&lt;Rubric!$B$12),Rubric!$B$13,0),2)</f>
        <v>7.2</v>
      </c>
      <c r="N466" s="14" t="n">
        <v>1292</v>
      </c>
      <c r="O466" s="2" t="s">
        <v>726</v>
      </c>
    </row>
    <row r="467" customFormat="false" ht="23.85" hidden="false" customHeight="false" outlineLevel="0" collapsed="false">
      <c r="A467" s="2" t="s">
        <v>16</v>
      </c>
      <c r="B467" s="2" t="s">
        <v>246</v>
      </c>
      <c r="C467" s="14" t="n">
        <v>1</v>
      </c>
      <c r="D467" s="14" t="n">
        <v>3</v>
      </c>
      <c r="E467" s="2" t="s">
        <v>543</v>
      </c>
      <c r="F467" s="15" t="n">
        <v>8</v>
      </c>
      <c r="G467" s="15" t="n">
        <v>8</v>
      </c>
      <c r="H467" s="15" t="n">
        <v>8</v>
      </c>
      <c r="I467" s="15" t="n">
        <v>3</v>
      </c>
      <c r="J467" s="15" t="n">
        <v>9</v>
      </c>
      <c r="K467" s="15" t="n">
        <v>8</v>
      </c>
      <c r="L467" s="15" t="n">
        <v>8</v>
      </c>
      <c r="M467" s="4" t="n">
        <f aca="false">ROUND(F467*Rubric!$B$4+G467*Rubric!$B$5+H467*Rubric!$B$6+I467*Rubric!$B$7+J467*Rubric!$B$8+K467*Rubric!$B$9+L467*Rubric!$B$10-IF(OR(H467&lt;Rubric!$B$12,K467&lt;Rubric!$B$12),Rubric!$B$13,0),2)</f>
        <v>7.9</v>
      </c>
      <c r="N467" s="14" t="n">
        <v>1292</v>
      </c>
      <c r="O467" s="2" t="s">
        <v>790</v>
      </c>
    </row>
    <row r="468" customFormat="false" ht="23.85" hidden="false" customHeight="false" outlineLevel="0" collapsed="false">
      <c r="A468" s="2" t="s">
        <v>16</v>
      </c>
      <c r="B468" s="2" t="s">
        <v>246</v>
      </c>
      <c r="C468" s="14" t="n">
        <v>0</v>
      </c>
      <c r="D468" s="14" t="n">
        <v>4</v>
      </c>
      <c r="E468" s="2" t="s">
        <v>379</v>
      </c>
      <c r="F468" s="15" t="n">
        <v>9</v>
      </c>
      <c r="G468" s="15" t="n">
        <v>8</v>
      </c>
      <c r="H468" s="15" t="n">
        <v>7</v>
      </c>
      <c r="I468" s="15" t="n">
        <v>4</v>
      </c>
      <c r="J468" s="15" t="n">
        <v>6</v>
      </c>
      <c r="K468" s="15" t="n">
        <v>7</v>
      </c>
      <c r="L468" s="15" t="n">
        <v>7</v>
      </c>
      <c r="M468" s="4" t="n">
        <f aca="false">ROUND(F468*Rubric!$B$4+G468*Rubric!$B$5+H468*Rubric!$B$6+I468*Rubric!$B$7+J468*Rubric!$B$8+K468*Rubric!$B$9+L468*Rubric!$B$10-IF(OR(H468&lt;Rubric!$B$12,K468&lt;Rubric!$B$12),Rubric!$B$13,0),2)</f>
        <v>6.55</v>
      </c>
      <c r="N468" s="14" t="n">
        <v>1293</v>
      </c>
      <c r="O468" s="2" t="s">
        <v>726</v>
      </c>
    </row>
    <row r="469" customFormat="false" ht="23.85" hidden="false" customHeight="false" outlineLevel="0" collapsed="false">
      <c r="A469" s="2" t="s">
        <v>16</v>
      </c>
      <c r="B469" s="2" t="s">
        <v>246</v>
      </c>
      <c r="C469" s="14" t="n">
        <v>1</v>
      </c>
      <c r="D469" s="14" t="n">
        <v>4</v>
      </c>
      <c r="E469" s="2" t="s">
        <v>791</v>
      </c>
      <c r="F469" s="15" t="n">
        <v>8</v>
      </c>
      <c r="G469" s="15" t="n">
        <v>7</v>
      </c>
      <c r="H469" s="15" t="n">
        <v>7</v>
      </c>
      <c r="I469" s="15" t="n">
        <v>3</v>
      </c>
      <c r="J469" s="15" t="n">
        <v>8</v>
      </c>
      <c r="K469" s="15" t="n">
        <v>7</v>
      </c>
      <c r="L469" s="15" t="n">
        <v>8</v>
      </c>
      <c r="M469" s="4" t="n">
        <f aca="false">ROUND(F469*Rubric!$B$4+G469*Rubric!$B$5+H469*Rubric!$B$6+I469*Rubric!$B$7+J469*Rubric!$B$8+K469*Rubric!$B$9+L469*Rubric!$B$10-IF(OR(H469&lt;Rubric!$B$12,K469&lt;Rubric!$B$12),Rubric!$B$13,0),2)</f>
        <v>7.15</v>
      </c>
      <c r="N469" s="14" t="n">
        <v>1293</v>
      </c>
      <c r="O469" s="2" t="s">
        <v>790</v>
      </c>
    </row>
    <row r="470" customFormat="false" ht="23.85" hidden="false" customHeight="false" outlineLevel="0" collapsed="false">
      <c r="A470" s="2" t="s">
        <v>16</v>
      </c>
      <c r="B470" s="2" t="s">
        <v>246</v>
      </c>
      <c r="C470" s="14" t="n">
        <v>2</v>
      </c>
      <c r="D470" s="14" t="n">
        <v>4</v>
      </c>
      <c r="E470" s="2" t="s">
        <v>544</v>
      </c>
      <c r="F470" s="15" t="n">
        <v>7</v>
      </c>
      <c r="G470" s="15" t="n">
        <v>7</v>
      </c>
      <c r="H470" s="15" t="n">
        <v>7</v>
      </c>
      <c r="I470" s="15" t="n">
        <v>3</v>
      </c>
      <c r="J470" s="15" t="n">
        <v>9</v>
      </c>
      <c r="K470" s="15" t="n">
        <v>7</v>
      </c>
      <c r="L470" s="15" t="n">
        <v>8</v>
      </c>
      <c r="M470" s="4" t="n">
        <f aca="false">ROUND(F470*Rubric!$B$4+G470*Rubric!$B$5+H470*Rubric!$B$6+I470*Rubric!$B$7+J470*Rubric!$B$8+K470*Rubric!$B$9+L470*Rubric!$B$10-IF(OR(H470&lt;Rubric!$B$12,K470&lt;Rubric!$B$12),Rubric!$B$13,0),2)</f>
        <v>7.5</v>
      </c>
      <c r="N470" s="14" t="n">
        <v>1293</v>
      </c>
      <c r="O470" s="2" t="s">
        <v>792</v>
      </c>
    </row>
    <row r="471" customFormat="false" ht="23.85" hidden="false" customHeight="false" outlineLevel="0" collapsed="false">
      <c r="A471" s="2" t="s">
        <v>16</v>
      </c>
      <c r="B471" s="2" t="s">
        <v>246</v>
      </c>
      <c r="C471" s="14" t="n">
        <v>0</v>
      </c>
      <c r="D471" s="14" t="n">
        <v>5</v>
      </c>
      <c r="E471" s="2" t="s">
        <v>404</v>
      </c>
      <c r="F471" s="15" t="n">
        <v>8</v>
      </c>
      <c r="G471" s="15" t="n">
        <v>8</v>
      </c>
      <c r="H471" s="15" t="n">
        <v>7</v>
      </c>
      <c r="I471" s="15" t="n">
        <v>10</v>
      </c>
      <c r="J471" s="15" t="n">
        <v>6</v>
      </c>
      <c r="K471" s="15" t="n">
        <v>7</v>
      </c>
      <c r="L471" s="15" t="n">
        <v>9</v>
      </c>
      <c r="M471" s="4" t="n">
        <f aca="false">ROUND(F471*Rubric!$B$4+G471*Rubric!$B$5+H471*Rubric!$B$6+I471*Rubric!$B$7+J471*Rubric!$B$8+K471*Rubric!$B$9+L471*Rubric!$B$10-IF(OR(H471&lt;Rubric!$B$12,K471&lt;Rubric!$B$12),Rubric!$B$13,0),2)</f>
        <v>7.3</v>
      </c>
      <c r="N471" s="14" t="n">
        <v>1294</v>
      </c>
      <c r="O471" s="2" t="s">
        <v>726</v>
      </c>
    </row>
    <row r="472" customFormat="false" ht="23.85" hidden="false" customHeight="false" outlineLevel="0" collapsed="false">
      <c r="A472" s="2" t="s">
        <v>16</v>
      </c>
      <c r="B472" s="2" t="s">
        <v>246</v>
      </c>
      <c r="C472" s="14" t="n">
        <v>1</v>
      </c>
      <c r="D472" s="14" t="n">
        <v>5</v>
      </c>
      <c r="E472" s="2" t="s">
        <v>545</v>
      </c>
      <c r="F472" s="15" t="n">
        <v>7</v>
      </c>
      <c r="G472" s="15" t="n">
        <v>9</v>
      </c>
      <c r="H472" s="15" t="n">
        <v>8</v>
      </c>
      <c r="I472" s="15" t="n">
        <v>3</v>
      </c>
      <c r="J472" s="15" t="n">
        <v>8</v>
      </c>
      <c r="K472" s="15" t="n">
        <v>9</v>
      </c>
      <c r="L472" s="15" t="n">
        <v>8</v>
      </c>
      <c r="M472" s="4" t="n">
        <f aca="false">ROUND(F472*Rubric!$B$4+G472*Rubric!$B$5+H472*Rubric!$B$6+I472*Rubric!$B$7+J472*Rubric!$B$8+K472*Rubric!$B$9+L472*Rubric!$B$10-IF(OR(H472&lt;Rubric!$B$12,K472&lt;Rubric!$B$12),Rubric!$B$13,0),2)</f>
        <v>7.7</v>
      </c>
      <c r="N472" s="14" t="n">
        <v>1294</v>
      </c>
      <c r="O472" s="2" t="s">
        <v>790</v>
      </c>
    </row>
    <row r="473" customFormat="false" ht="23.85" hidden="false" customHeight="false" outlineLevel="0" collapsed="false">
      <c r="A473" s="2" t="s">
        <v>16</v>
      </c>
      <c r="B473" s="2" t="s">
        <v>251</v>
      </c>
      <c r="C473" s="14" t="n">
        <v>0</v>
      </c>
      <c r="D473" s="14" t="n">
        <v>1</v>
      </c>
      <c r="E473" s="2" t="s">
        <v>358</v>
      </c>
      <c r="F473" s="15" t="n">
        <v>9</v>
      </c>
      <c r="G473" s="15" t="n">
        <v>9</v>
      </c>
      <c r="H473" s="15" t="n">
        <v>8</v>
      </c>
      <c r="I473" s="15" t="n">
        <v>4</v>
      </c>
      <c r="J473" s="15" t="n">
        <v>7</v>
      </c>
      <c r="K473" s="15" t="n">
        <v>9</v>
      </c>
      <c r="L473" s="15" t="n">
        <v>8</v>
      </c>
      <c r="M473" s="4" t="n">
        <f aca="false">ROUND(F473*Rubric!$B$4+G473*Rubric!$B$5+H473*Rubric!$B$6+I473*Rubric!$B$7+J473*Rubric!$B$8+K473*Rubric!$B$9+L473*Rubric!$B$10-IF(OR(H473&lt;Rubric!$B$12,K473&lt;Rubric!$B$12),Rubric!$B$13,0),2)</f>
        <v>7.5</v>
      </c>
      <c r="N473" s="14" t="n">
        <v>1300</v>
      </c>
      <c r="O473" s="2" t="s">
        <v>726</v>
      </c>
    </row>
    <row r="474" customFormat="false" ht="23.85" hidden="false" customHeight="false" outlineLevel="0" collapsed="false">
      <c r="A474" s="2" t="s">
        <v>16</v>
      </c>
      <c r="B474" s="2" t="s">
        <v>251</v>
      </c>
      <c r="C474" s="14" t="n">
        <v>1</v>
      </c>
      <c r="D474" s="14" t="n">
        <v>1</v>
      </c>
      <c r="E474" s="2" t="s">
        <v>514</v>
      </c>
      <c r="F474" s="15" t="n">
        <v>8</v>
      </c>
      <c r="G474" s="15" t="n">
        <v>8</v>
      </c>
      <c r="H474" s="15" t="n">
        <v>8</v>
      </c>
      <c r="I474" s="15" t="n">
        <v>4</v>
      </c>
      <c r="J474" s="15" t="n">
        <v>9</v>
      </c>
      <c r="K474" s="15" t="n">
        <v>7</v>
      </c>
      <c r="L474" s="15" t="n">
        <v>8</v>
      </c>
      <c r="M474" s="4" t="n">
        <f aca="false">ROUND(F474*Rubric!$B$4+G474*Rubric!$B$5+H474*Rubric!$B$6+I474*Rubric!$B$7+J474*Rubric!$B$8+K474*Rubric!$B$9+L474*Rubric!$B$10-IF(OR(H474&lt;Rubric!$B$12,K474&lt;Rubric!$B$12),Rubric!$B$13,0),2)</f>
        <v>7.9</v>
      </c>
      <c r="N474" s="14" t="n">
        <v>1300</v>
      </c>
      <c r="O474" s="2" t="s">
        <v>793</v>
      </c>
    </row>
    <row r="475" customFormat="false" ht="23.85" hidden="false" customHeight="false" outlineLevel="0" collapsed="false">
      <c r="A475" s="2" t="s">
        <v>16</v>
      </c>
      <c r="B475" s="2" t="s">
        <v>251</v>
      </c>
      <c r="C475" s="14" t="n">
        <v>0</v>
      </c>
      <c r="D475" s="14" t="n">
        <v>2</v>
      </c>
      <c r="E475" s="2" t="s">
        <v>363</v>
      </c>
      <c r="F475" s="15" t="n">
        <v>9</v>
      </c>
      <c r="G475" s="15" t="n">
        <v>9</v>
      </c>
      <c r="H475" s="15" t="n">
        <v>8</v>
      </c>
      <c r="I475" s="15" t="n">
        <v>3</v>
      </c>
      <c r="J475" s="15" t="n">
        <v>7</v>
      </c>
      <c r="K475" s="15" t="n">
        <v>9</v>
      </c>
      <c r="L475" s="15" t="n">
        <v>9</v>
      </c>
      <c r="M475" s="4" t="n">
        <f aca="false">ROUND(F475*Rubric!$B$4+G475*Rubric!$B$5+H475*Rubric!$B$6+I475*Rubric!$B$7+J475*Rubric!$B$8+K475*Rubric!$B$9+L475*Rubric!$B$10-IF(OR(H475&lt;Rubric!$B$12,K475&lt;Rubric!$B$12),Rubric!$B$13,0),2)</f>
        <v>7.5</v>
      </c>
      <c r="N475" s="14" t="n">
        <v>1301</v>
      </c>
      <c r="O475" s="2" t="s">
        <v>726</v>
      </c>
    </row>
    <row r="476" customFormat="false" ht="23.85" hidden="false" customHeight="false" outlineLevel="0" collapsed="false">
      <c r="A476" s="2" t="s">
        <v>16</v>
      </c>
      <c r="B476" s="2" t="s">
        <v>251</v>
      </c>
      <c r="C476" s="14" t="n">
        <v>1</v>
      </c>
      <c r="D476" s="14" t="n">
        <v>2</v>
      </c>
      <c r="E476" s="2" t="s">
        <v>546</v>
      </c>
      <c r="F476" s="15" t="n">
        <v>7</v>
      </c>
      <c r="G476" s="15" t="n">
        <v>8</v>
      </c>
      <c r="H476" s="15" t="n">
        <v>8</v>
      </c>
      <c r="I476" s="15" t="n">
        <v>3</v>
      </c>
      <c r="J476" s="15" t="n">
        <v>9</v>
      </c>
      <c r="K476" s="15" t="n">
        <v>8</v>
      </c>
      <c r="L476" s="15" t="n">
        <v>7</v>
      </c>
      <c r="M476" s="4" t="n">
        <f aca="false">ROUND(F476*Rubric!$B$4+G476*Rubric!$B$5+H476*Rubric!$B$6+I476*Rubric!$B$7+J476*Rubric!$B$8+K476*Rubric!$B$9+L476*Rubric!$B$10-IF(OR(H476&lt;Rubric!$B$12,K476&lt;Rubric!$B$12),Rubric!$B$13,0),2)</f>
        <v>7.75</v>
      </c>
      <c r="N476" s="14" t="n">
        <v>1301</v>
      </c>
      <c r="O476" s="2" t="s">
        <v>793</v>
      </c>
    </row>
    <row r="477" customFormat="false" ht="23.85" hidden="false" customHeight="false" outlineLevel="0" collapsed="false">
      <c r="A477" s="2" t="s">
        <v>16</v>
      </c>
      <c r="B477" s="2" t="s">
        <v>251</v>
      </c>
      <c r="C477" s="14" t="n">
        <v>0</v>
      </c>
      <c r="D477" s="14" t="n">
        <v>3</v>
      </c>
      <c r="E477" s="2" t="s">
        <v>374</v>
      </c>
      <c r="F477" s="15" t="n">
        <v>9</v>
      </c>
      <c r="G477" s="15" t="n">
        <v>9</v>
      </c>
      <c r="H477" s="15" t="n">
        <v>8</v>
      </c>
      <c r="I477" s="15" t="n">
        <v>3</v>
      </c>
      <c r="J477" s="15" t="n">
        <v>7</v>
      </c>
      <c r="K477" s="15" t="n">
        <v>9</v>
      </c>
      <c r="L477" s="15" t="n">
        <v>8</v>
      </c>
      <c r="M477" s="4" t="n">
        <f aca="false">ROUND(F477*Rubric!$B$4+G477*Rubric!$B$5+H477*Rubric!$B$6+I477*Rubric!$B$7+J477*Rubric!$B$8+K477*Rubric!$B$9+L477*Rubric!$B$10-IF(OR(H477&lt;Rubric!$B$12,K477&lt;Rubric!$B$12),Rubric!$B$13,0),2)</f>
        <v>7.4</v>
      </c>
      <c r="N477" s="14" t="n">
        <v>1302</v>
      </c>
      <c r="O477" s="2" t="s">
        <v>726</v>
      </c>
    </row>
    <row r="478" customFormat="false" ht="23.85" hidden="false" customHeight="false" outlineLevel="0" collapsed="false">
      <c r="A478" s="2" t="s">
        <v>16</v>
      </c>
      <c r="B478" s="2" t="s">
        <v>251</v>
      </c>
      <c r="C478" s="14" t="n">
        <v>1</v>
      </c>
      <c r="D478" s="14" t="n">
        <v>3</v>
      </c>
      <c r="E478" s="2" t="s">
        <v>547</v>
      </c>
      <c r="F478" s="15" t="n">
        <v>8</v>
      </c>
      <c r="G478" s="15" t="n">
        <v>8</v>
      </c>
      <c r="H478" s="15" t="n">
        <v>8</v>
      </c>
      <c r="I478" s="15" t="n">
        <v>9</v>
      </c>
      <c r="J478" s="15" t="n">
        <v>8</v>
      </c>
      <c r="K478" s="15" t="n">
        <v>7</v>
      </c>
      <c r="L478" s="15" t="n">
        <v>8</v>
      </c>
      <c r="M478" s="4" t="n">
        <f aca="false">ROUND(F478*Rubric!$B$4+G478*Rubric!$B$5+H478*Rubric!$B$6+I478*Rubric!$B$7+J478*Rubric!$B$8+K478*Rubric!$B$9+L478*Rubric!$B$10-IF(OR(H478&lt;Rubric!$B$12,K478&lt;Rubric!$B$12),Rubric!$B$13,0),2)</f>
        <v>8</v>
      </c>
      <c r="N478" s="14" t="n">
        <v>1302</v>
      </c>
      <c r="O478" s="2" t="s">
        <v>793</v>
      </c>
    </row>
    <row r="479" customFormat="false" ht="23.85" hidden="false" customHeight="false" outlineLevel="0" collapsed="false">
      <c r="A479" s="2" t="s">
        <v>16</v>
      </c>
      <c r="B479" s="2" t="s">
        <v>251</v>
      </c>
      <c r="C479" s="14" t="n">
        <v>0</v>
      </c>
      <c r="D479" s="14" t="n">
        <v>4</v>
      </c>
      <c r="E479" s="2" t="s">
        <v>410</v>
      </c>
      <c r="F479" s="15" t="n">
        <v>9</v>
      </c>
      <c r="G479" s="15" t="n">
        <v>8</v>
      </c>
      <c r="H479" s="15" t="n">
        <v>8</v>
      </c>
      <c r="I479" s="15" t="n">
        <v>5</v>
      </c>
      <c r="J479" s="15" t="n">
        <v>7</v>
      </c>
      <c r="K479" s="15" t="n">
        <v>7</v>
      </c>
      <c r="L479" s="15" t="n">
        <v>8</v>
      </c>
      <c r="M479" s="4" t="n">
        <f aca="false">ROUND(F479*Rubric!$B$4+G479*Rubric!$B$5+H479*Rubric!$B$6+I479*Rubric!$B$7+J479*Rubric!$B$8+K479*Rubric!$B$9+L479*Rubric!$B$10-IF(OR(H479&lt;Rubric!$B$12,K479&lt;Rubric!$B$12),Rubric!$B$13,0),2)</f>
        <v>7.25</v>
      </c>
      <c r="N479" s="14" t="n">
        <v>1303</v>
      </c>
      <c r="O479" s="2" t="s">
        <v>726</v>
      </c>
    </row>
    <row r="480" customFormat="false" ht="23.85" hidden="false" customHeight="false" outlineLevel="0" collapsed="false">
      <c r="A480" s="2" t="s">
        <v>16</v>
      </c>
      <c r="B480" s="2" t="s">
        <v>251</v>
      </c>
      <c r="C480" s="14" t="n">
        <v>1</v>
      </c>
      <c r="D480" s="14" t="n">
        <v>4</v>
      </c>
      <c r="E480" s="2" t="s">
        <v>488</v>
      </c>
      <c r="F480" s="15" t="n">
        <v>9</v>
      </c>
      <c r="G480" s="15" t="n">
        <v>8</v>
      </c>
      <c r="H480" s="15" t="n">
        <v>8</v>
      </c>
      <c r="I480" s="15" t="n">
        <v>3</v>
      </c>
      <c r="J480" s="15" t="n">
        <v>9</v>
      </c>
      <c r="K480" s="15" t="n">
        <v>8</v>
      </c>
      <c r="L480" s="15" t="n">
        <v>7</v>
      </c>
      <c r="M480" s="4" t="n">
        <f aca="false">ROUND(F480*Rubric!$B$4+G480*Rubric!$B$5+H480*Rubric!$B$6+I480*Rubric!$B$7+J480*Rubric!$B$8+K480*Rubric!$B$9+L480*Rubric!$B$10-IF(OR(H480&lt;Rubric!$B$12,K480&lt;Rubric!$B$12),Rubric!$B$13,0),2)</f>
        <v>7.85</v>
      </c>
      <c r="N480" s="14" t="n">
        <v>1303</v>
      </c>
      <c r="O480" s="2" t="s">
        <v>793</v>
      </c>
    </row>
    <row r="481" customFormat="false" ht="23.85" hidden="false" customHeight="false" outlineLevel="0" collapsed="false">
      <c r="A481" s="2" t="s">
        <v>16</v>
      </c>
      <c r="B481" s="2" t="s">
        <v>251</v>
      </c>
      <c r="C481" s="14" t="n">
        <v>0</v>
      </c>
      <c r="D481" s="14" t="n">
        <v>5</v>
      </c>
      <c r="E481" s="2" t="s">
        <v>381</v>
      </c>
      <c r="F481" s="15" t="n">
        <v>8</v>
      </c>
      <c r="G481" s="15" t="n">
        <v>8</v>
      </c>
      <c r="H481" s="15" t="n">
        <v>8</v>
      </c>
      <c r="I481" s="15" t="n">
        <v>8</v>
      </c>
      <c r="J481" s="15" t="n">
        <v>7</v>
      </c>
      <c r="K481" s="15" t="n">
        <v>7</v>
      </c>
      <c r="L481" s="15" t="n">
        <v>8</v>
      </c>
      <c r="M481" s="4" t="n">
        <f aca="false">ROUND(F481*Rubric!$B$4+G481*Rubric!$B$5+H481*Rubric!$B$6+I481*Rubric!$B$7+J481*Rubric!$B$8+K481*Rubric!$B$9+L481*Rubric!$B$10-IF(OR(H481&lt;Rubric!$B$12,K481&lt;Rubric!$B$12),Rubric!$B$13,0),2)</f>
        <v>7.5</v>
      </c>
      <c r="N481" s="14" t="n">
        <v>1304</v>
      </c>
      <c r="O481" s="2" t="s">
        <v>726</v>
      </c>
    </row>
    <row r="482" customFormat="false" ht="23.85" hidden="false" customHeight="false" outlineLevel="0" collapsed="false">
      <c r="A482" s="2" t="s">
        <v>16</v>
      </c>
      <c r="B482" s="2" t="s">
        <v>251</v>
      </c>
      <c r="C482" s="14" t="n">
        <v>1</v>
      </c>
      <c r="D482" s="14" t="n">
        <v>5</v>
      </c>
      <c r="E482" s="2" t="s">
        <v>548</v>
      </c>
      <c r="F482" s="15" t="n">
        <v>8</v>
      </c>
      <c r="G482" s="15" t="n">
        <v>7</v>
      </c>
      <c r="H482" s="15" t="n">
        <v>8</v>
      </c>
      <c r="I482" s="15" t="n">
        <v>4</v>
      </c>
      <c r="J482" s="15" t="n">
        <v>8</v>
      </c>
      <c r="K482" s="15" t="n">
        <v>8</v>
      </c>
      <c r="L482" s="15" t="n">
        <v>8</v>
      </c>
      <c r="M482" s="4" t="n">
        <f aca="false">ROUND(F482*Rubric!$B$4+G482*Rubric!$B$5+H482*Rubric!$B$6+I482*Rubric!$B$7+J482*Rubric!$B$8+K482*Rubric!$B$9+L482*Rubric!$B$10-IF(OR(H482&lt;Rubric!$B$12,K482&lt;Rubric!$B$12),Rubric!$B$13,0),2)</f>
        <v>7.45</v>
      </c>
      <c r="N482" s="14" t="n">
        <v>1304</v>
      </c>
      <c r="O482" s="2" t="s">
        <v>793</v>
      </c>
    </row>
    <row r="483" customFormat="false" ht="23.85" hidden="false" customHeight="false" outlineLevel="0" collapsed="false">
      <c r="A483" s="2" t="s">
        <v>16</v>
      </c>
      <c r="B483" s="2" t="s">
        <v>254</v>
      </c>
      <c r="C483" s="14" t="n">
        <v>0</v>
      </c>
      <c r="D483" s="14" t="n">
        <v>1</v>
      </c>
      <c r="E483" s="2" t="s">
        <v>388</v>
      </c>
      <c r="F483" s="15" t="n">
        <v>9</v>
      </c>
      <c r="G483" s="15" t="n">
        <v>9</v>
      </c>
      <c r="H483" s="15" t="n">
        <v>7</v>
      </c>
      <c r="I483" s="15" t="n">
        <v>3</v>
      </c>
      <c r="J483" s="15" t="n">
        <v>7</v>
      </c>
      <c r="K483" s="15" t="n">
        <v>7</v>
      </c>
      <c r="L483" s="15" t="n">
        <v>8</v>
      </c>
      <c r="M483" s="4" t="n">
        <f aca="false">ROUND(F483*Rubric!$B$4+G483*Rubric!$B$5+H483*Rubric!$B$6+I483*Rubric!$B$7+J483*Rubric!$B$8+K483*Rubric!$B$9+L483*Rubric!$B$10-IF(OR(H483&lt;Rubric!$B$12,K483&lt;Rubric!$B$12),Rubric!$B$13,0),2)</f>
        <v>7.1</v>
      </c>
      <c r="N483" s="14" t="n">
        <v>1310</v>
      </c>
      <c r="O483" s="2" t="s">
        <v>726</v>
      </c>
    </row>
    <row r="484" customFormat="false" ht="23.85" hidden="false" customHeight="false" outlineLevel="0" collapsed="false">
      <c r="A484" s="2" t="s">
        <v>16</v>
      </c>
      <c r="B484" s="2" t="s">
        <v>254</v>
      </c>
      <c r="C484" s="14" t="n">
        <v>1</v>
      </c>
      <c r="D484" s="14" t="n">
        <v>1</v>
      </c>
      <c r="E484" s="2" t="s">
        <v>365</v>
      </c>
      <c r="F484" s="15" t="n">
        <v>9</v>
      </c>
      <c r="G484" s="15" t="n">
        <v>8</v>
      </c>
      <c r="H484" s="15" t="n">
        <v>8</v>
      </c>
      <c r="I484" s="15" t="n">
        <v>3</v>
      </c>
      <c r="J484" s="15" t="n">
        <v>10</v>
      </c>
      <c r="K484" s="15" t="n">
        <v>8</v>
      </c>
      <c r="L484" s="15" t="n">
        <v>8</v>
      </c>
      <c r="M484" s="4" t="n">
        <f aca="false">ROUND(F484*Rubric!$B$4+G484*Rubric!$B$5+H484*Rubric!$B$6+I484*Rubric!$B$7+J484*Rubric!$B$8+K484*Rubric!$B$9+L484*Rubric!$B$10-IF(OR(H484&lt;Rubric!$B$12,K484&lt;Rubric!$B$12),Rubric!$B$13,0),2)</f>
        <v>8.35</v>
      </c>
      <c r="N484" s="14" t="n">
        <v>1310</v>
      </c>
      <c r="O484" s="2" t="s">
        <v>794</v>
      </c>
    </row>
    <row r="485" customFormat="false" ht="23.85" hidden="false" customHeight="false" outlineLevel="0" collapsed="false">
      <c r="A485" s="2" t="s">
        <v>16</v>
      </c>
      <c r="B485" s="2" t="s">
        <v>254</v>
      </c>
      <c r="C485" s="14" t="n">
        <v>0</v>
      </c>
      <c r="D485" s="14" t="n">
        <v>2</v>
      </c>
      <c r="E485" s="2" t="s">
        <v>389</v>
      </c>
      <c r="F485" s="15" t="n">
        <v>9</v>
      </c>
      <c r="G485" s="15" t="n">
        <v>8</v>
      </c>
      <c r="H485" s="15" t="n">
        <v>8</v>
      </c>
      <c r="I485" s="15" t="n">
        <v>3</v>
      </c>
      <c r="J485" s="15" t="n">
        <v>7</v>
      </c>
      <c r="K485" s="15" t="n">
        <v>8</v>
      </c>
      <c r="L485" s="15" t="n">
        <v>8</v>
      </c>
      <c r="M485" s="4" t="n">
        <f aca="false">ROUND(F485*Rubric!$B$4+G485*Rubric!$B$5+H485*Rubric!$B$6+I485*Rubric!$B$7+J485*Rubric!$B$8+K485*Rubric!$B$9+L485*Rubric!$B$10-IF(OR(H485&lt;Rubric!$B$12,K485&lt;Rubric!$B$12),Rubric!$B$13,0),2)</f>
        <v>7.15</v>
      </c>
      <c r="N485" s="14" t="n">
        <v>1311</v>
      </c>
      <c r="O485" s="2" t="s">
        <v>726</v>
      </c>
    </row>
    <row r="486" customFormat="false" ht="23.85" hidden="false" customHeight="false" outlineLevel="0" collapsed="false">
      <c r="A486" s="2" t="s">
        <v>16</v>
      </c>
      <c r="B486" s="2" t="s">
        <v>254</v>
      </c>
      <c r="C486" s="14" t="n">
        <v>1</v>
      </c>
      <c r="D486" s="14" t="n">
        <v>2</v>
      </c>
      <c r="E486" s="2" t="s">
        <v>549</v>
      </c>
      <c r="F486" s="15" t="n">
        <v>7</v>
      </c>
      <c r="G486" s="15" t="n">
        <v>9</v>
      </c>
      <c r="H486" s="15" t="n">
        <v>7</v>
      </c>
      <c r="I486" s="15" t="n">
        <v>3</v>
      </c>
      <c r="J486" s="15" t="n">
        <v>10</v>
      </c>
      <c r="K486" s="15" t="n">
        <v>8</v>
      </c>
      <c r="L486" s="15" t="n">
        <v>8</v>
      </c>
      <c r="M486" s="4" t="n">
        <f aca="false">ROUND(F486*Rubric!$B$4+G486*Rubric!$B$5+H486*Rubric!$B$6+I486*Rubric!$B$7+J486*Rubric!$B$8+K486*Rubric!$B$9+L486*Rubric!$B$10-IF(OR(H486&lt;Rubric!$B$12,K486&lt;Rubric!$B$12),Rubric!$B$13,0),2)</f>
        <v>8.3</v>
      </c>
      <c r="N486" s="14" t="n">
        <v>1311</v>
      </c>
      <c r="O486" s="2" t="s">
        <v>794</v>
      </c>
    </row>
    <row r="487" customFormat="false" ht="23.85" hidden="false" customHeight="false" outlineLevel="0" collapsed="false">
      <c r="A487" s="2" t="s">
        <v>16</v>
      </c>
      <c r="B487" s="2" t="s">
        <v>254</v>
      </c>
      <c r="C487" s="14" t="n">
        <v>0</v>
      </c>
      <c r="D487" s="14" t="n">
        <v>3</v>
      </c>
      <c r="E487" s="2" t="s">
        <v>417</v>
      </c>
      <c r="F487" s="15" t="n">
        <v>8</v>
      </c>
      <c r="G487" s="15" t="n">
        <v>8</v>
      </c>
      <c r="H487" s="15" t="n">
        <v>8</v>
      </c>
      <c r="I487" s="15" t="n">
        <v>3</v>
      </c>
      <c r="J487" s="15" t="n">
        <v>7</v>
      </c>
      <c r="K487" s="15" t="n">
        <v>8</v>
      </c>
      <c r="L487" s="15" t="n">
        <v>9</v>
      </c>
      <c r="M487" s="4" t="n">
        <f aca="false">ROUND(F487*Rubric!$B$4+G487*Rubric!$B$5+H487*Rubric!$B$6+I487*Rubric!$B$7+J487*Rubric!$B$8+K487*Rubric!$B$9+L487*Rubric!$B$10-IF(OR(H487&lt;Rubric!$B$12,K487&lt;Rubric!$B$12),Rubric!$B$13,0),2)</f>
        <v>7.2</v>
      </c>
      <c r="N487" s="14" t="n">
        <v>1312</v>
      </c>
      <c r="O487" s="2" t="s">
        <v>726</v>
      </c>
    </row>
    <row r="488" customFormat="false" ht="23.85" hidden="false" customHeight="false" outlineLevel="0" collapsed="false">
      <c r="A488" s="2" t="s">
        <v>16</v>
      </c>
      <c r="B488" s="2" t="s">
        <v>254</v>
      </c>
      <c r="C488" s="14" t="n">
        <v>1</v>
      </c>
      <c r="D488" s="14" t="n">
        <v>3</v>
      </c>
      <c r="E488" s="2" t="s">
        <v>550</v>
      </c>
      <c r="F488" s="15" t="n">
        <v>7</v>
      </c>
      <c r="G488" s="15" t="n">
        <v>8</v>
      </c>
      <c r="H488" s="15" t="n">
        <v>8</v>
      </c>
      <c r="I488" s="15" t="n">
        <v>3</v>
      </c>
      <c r="J488" s="15" t="n">
        <v>9</v>
      </c>
      <c r="K488" s="15" t="n">
        <v>8</v>
      </c>
      <c r="L488" s="15" t="n">
        <v>7</v>
      </c>
      <c r="M488" s="4" t="n">
        <f aca="false">ROUND(F488*Rubric!$B$4+G488*Rubric!$B$5+H488*Rubric!$B$6+I488*Rubric!$B$7+J488*Rubric!$B$8+K488*Rubric!$B$9+L488*Rubric!$B$10-IF(OR(H488&lt;Rubric!$B$12,K488&lt;Rubric!$B$12),Rubric!$B$13,0),2)</f>
        <v>7.75</v>
      </c>
      <c r="N488" s="14" t="n">
        <v>1312</v>
      </c>
      <c r="O488" s="2" t="s">
        <v>794</v>
      </c>
    </row>
    <row r="489" customFormat="false" ht="23.85" hidden="false" customHeight="false" outlineLevel="0" collapsed="false">
      <c r="A489" s="2" t="s">
        <v>16</v>
      </c>
      <c r="B489" s="2" t="s">
        <v>254</v>
      </c>
      <c r="C489" s="14" t="n">
        <v>0</v>
      </c>
      <c r="D489" s="14" t="n">
        <v>4</v>
      </c>
      <c r="E489" s="2" t="s">
        <v>420</v>
      </c>
      <c r="F489" s="15" t="n">
        <v>8</v>
      </c>
      <c r="G489" s="15" t="n">
        <v>8</v>
      </c>
      <c r="H489" s="15" t="n">
        <v>8</v>
      </c>
      <c r="I489" s="15" t="n">
        <v>3</v>
      </c>
      <c r="J489" s="15" t="n">
        <v>7</v>
      </c>
      <c r="K489" s="15" t="n">
        <v>8</v>
      </c>
      <c r="L489" s="15" t="n">
        <v>8</v>
      </c>
      <c r="M489" s="4" t="n">
        <f aca="false">ROUND(F489*Rubric!$B$4+G489*Rubric!$B$5+H489*Rubric!$B$6+I489*Rubric!$B$7+J489*Rubric!$B$8+K489*Rubric!$B$9+L489*Rubric!$B$10-IF(OR(H489&lt;Rubric!$B$12,K489&lt;Rubric!$B$12),Rubric!$B$13,0),2)</f>
        <v>7.1</v>
      </c>
      <c r="N489" s="14" t="n">
        <v>1313</v>
      </c>
      <c r="O489" s="2" t="s">
        <v>726</v>
      </c>
    </row>
    <row r="490" customFormat="false" ht="23.85" hidden="false" customHeight="false" outlineLevel="0" collapsed="false">
      <c r="A490" s="2" t="s">
        <v>16</v>
      </c>
      <c r="B490" s="2" t="s">
        <v>254</v>
      </c>
      <c r="C490" s="14" t="n">
        <v>1</v>
      </c>
      <c r="D490" s="14" t="n">
        <v>4</v>
      </c>
      <c r="E490" s="2" t="s">
        <v>370</v>
      </c>
      <c r="F490" s="15" t="n">
        <v>9</v>
      </c>
      <c r="G490" s="15" t="n">
        <v>8</v>
      </c>
      <c r="H490" s="15" t="n">
        <v>8</v>
      </c>
      <c r="I490" s="15" t="n">
        <v>2</v>
      </c>
      <c r="J490" s="15" t="n">
        <v>10</v>
      </c>
      <c r="K490" s="15" t="n">
        <v>8</v>
      </c>
      <c r="L490" s="15" t="n">
        <v>8</v>
      </c>
      <c r="M490" s="4" t="n">
        <f aca="false">ROUND(F490*Rubric!$B$4+G490*Rubric!$B$5+H490*Rubric!$B$6+I490*Rubric!$B$7+J490*Rubric!$B$8+K490*Rubric!$B$9+L490*Rubric!$B$10-IF(OR(H490&lt;Rubric!$B$12,K490&lt;Rubric!$B$12),Rubric!$B$13,0),2)</f>
        <v>8.25</v>
      </c>
      <c r="N490" s="14" t="n">
        <v>1313</v>
      </c>
      <c r="O490" s="2" t="s">
        <v>794</v>
      </c>
    </row>
    <row r="491" customFormat="false" ht="23.85" hidden="false" customHeight="false" outlineLevel="0" collapsed="false">
      <c r="A491" s="2" t="s">
        <v>16</v>
      </c>
      <c r="B491" s="2" t="s">
        <v>254</v>
      </c>
      <c r="C491" s="14" t="n">
        <v>0</v>
      </c>
      <c r="D491" s="14" t="n">
        <v>5</v>
      </c>
      <c r="E491" s="2" t="s">
        <v>361</v>
      </c>
      <c r="F491" s="15" t="n">
        <v>9</v>
      </c>
      <c r="G491" s="15" t="n">
        <v>7</v>
      </c>
      <c r="H491" s="15" t="n">
        <v>8</v>
      </c>
      <c r="I491" s="15" t="n">
        <v>8</v>
      </c>
      <c r="J491" s="15" t="n">
        <v>5</v>
      </c>
      <c r="K491" s="15" t="n">
        <v>8</v>
      </c>
      <c r="L491" s="15" t="n">
        <v>7</v>
      </c>
      <c r="M491" s="4" t="n">
        <f aca="false">ROUND(F491*Rubric!$B$4+G491*Rubric!$B$5+H491*Rubric!$B$6+I491*Rubric!$B$7+J491*Rubric!$B$8+K491*Rubric!$B$9+L491*Rubric!$B$10-IF(OR(H491&lt;Rubric!$B$12,K491&lt;Rubric!$B$12),Rubric!$B$13,0),2)</f>
        <v>6.6</v>
      </c>
      <c r="N491" s="14" t="n">
        <v>1314</v>
      </c>
      <c r="O491" s="2" t="s">
        <v>726</v>
      </c>
    </row>
    <row r="492" customFormat="false" ht="23.85" hidden="false" customHeight="false" outlineLevel="0" collapsed="false">
      <c r="A492" s="2" t="s">
        <v>16</v>
      </c>
      <c r="B492" s="2" t="s">
        <v>254</v>
      </c>
      <c r="C492" s="14" t="n">
        <v>1</v>
      </c>
      <c r="D492" s="14" t="n">
        <v>5</v>
      </c>
      <c r="E492" s="2" t="s">
        <v>551</v>
      </c>
      <c r="F492" s="15" t="n">
        <v>7</v>
      </c>
      <c r="G492" s="15" t="n">
        <v>8</v>
      </c>
      <c r="H492" s="15" t="n">
        <v>7</v>
      </c>
      <c r="I492" s="15" t="n">
        <v>3</v>
      </c>
      <c r="J492" s="15" t="n">
        <v>9</v>
      </c>
      <c r="K492" s="15" t="n">
        <v>7</v>
      </c>
      <c r="L492" s="15" t="n">
        <v>7</v>
      </c>
      <c r="M492" s="4" t="n">
        <f aca="false">ROUND(F492*Rubric!$B$4+G492*Rubric!$B$5+H492*Rubric!$B$6+I492*Rubric!$B$7+J492*Rubric!$B$8+K492*Rubric!$B$9+L492*Rubric!$B$10-IF(OR(H492&lt;Rubric!$B$12,K492&lt;Rubric!$B$12),Rubric!$B$13,0),2)</f>
        <v>7.55</v>
      </c>
      <c r="N492" s="14" t="n">
        <v>1314</v>
      </c>
      <c r="O492" s="2" t="s">
        <v>794</v>
      </c>
    </row>
    <row r="493" customFormat="false" ht="23.85" hidden="false" customHeight="false" outlineLevel="0" collapsed="false">
      <c r="A493" s="2" t="s">
        <v>16</v>
      </c>
      <c r="B493" s="2" t="s">
        <v>159</v>
      </c>
      <c r="C493" s="14" t="n">
        <v>0</v>
      </c>
      <c r="D493" s="14" t="n">
        <v>1</v>
      </c>
      <c r="E493" s="2" t="s">
        <v>357</v>
      </c>
      <c r="F493" s="15" t="n">
        <v>7</v>
      </c>
      <c r="G493" s="15" t="n">
        <v>8</v>
      </c>
      <c r="H493" s="15" t="n">
        <v>8</v>
      </c>
      <c r="I493" s="15" t="n">
        <v>4</v>
      </c>
      <c r="J493" s="15" t="n">
        <v>8</v>
      </c>
      <c r="K493" s="15" t="n">
        <v>8</v>
      </c>
      <c r="L493" s="15" t="n">
        <v>8</v>
      </c>
      <c r="M493" s="4" t="n">
        <f aca="false">ROUND(F493*Rubric!$B$4+G493*Rubric!$B$5+H493*Rubric!$B$6+I493*Rubric!$B$7+J493*Rubric!$B$8+K493*Rubric!$B$9+L493*Rubric!$B$10-IF(OR(H493&lt;Rubric!$B$12,K493&lt;Rubric!$B$12),Rubric!$B$13,0),2)</f>
        <v>7.55</v>
      </c>
      <c r="N493" s="14" t="n">
        <v>1320</v>
      </c>
      <c r="O493" s="2" t="s">
        <v>726</v>
      </c>
    </row>
    <row r="494" customFormat="false" ht="23.85" hidden="false" customHeight="false" outlineLevel="0" collapsed="false">
      <c r="A494" s="2" t="s">
        <v>16</v>
      </c>
      <c r="B494" s="2" t="s">
        <v>159</v>
      </c>
      <c r="C494" s="14" t="n">
        <v>1</v>
      </c>
      <c r="D494" s="14" t="n">
        <v>1</v>
      </c>
      <c r="E494" s="2" t="s">
        <v>552</v>
      </c>
      <c r="F494" s="15" t="n">
        <v>7</v>
      </c>
      <c r="G494" s="15" t="n">
        <v>8</v>
      </c>
      <c r="H494" s="15" t="n">
        <v>8</v>
      </c>
      <c r="I494" s="15" t="n">
        <v>3</v>
      </c>
      <c r="J494" s="15" t="n">
        <v>9</v>
      </c>
      <c r="K494" s="15" t="n">
        <v>8</v>
      </c>
      <c r="L494" s="15" t="n">
        <v>7</v>
      </c>
      <c r="M494" s="4" t="n">
        <f aca="false">ROUND(F494*Rubric!$B$4+G494*Rubric!$B$5+H494*Rubric!$B$6+I494*Rubric!$B$7+J494*Rubric!$B$8+K494*Rubric!$B$9+L494*Rubric!$B$10-IF(OR(H494&lt;Rubric!$B$12,K494&lt;Rubric!$B$12),Rubric!$B$13,0),2)</f>
        <v>7.75</v>
      </c>
      <c r="N494" s="14" t="n">
        <v>1320</v>
      </c>
      <c r="O494" s="2" t="s">
        <v>795</v>
      </c>
    </row>
    <row r="495" customFormat="false" ht="23.85" hidden="false" customHeight="false" outlineLevel="0" collapsed="false">
      <c r="A495" s="2" t="s">
        <v>16</v>
      </c>
      <c r="B495" s="2" t="s">
        <v>159</v>
      </c>
      <c r="C495" s="14" t="n">
        <v>0</v>
      </c>
      <c r="D495" s="14" t="n">
        <v>2</v>
      </c>
      <c r="E495" s="2" t="s">
        <v>358</v>
      </c>
      <c r="F495" s="15" t="n">
        <v>9</v>
      </c>
      <c r="G495" s="15" t="n">
        <v>9</v>
      </c>
      <c r="H495" s="15" t="n">
        <v>8</v>
      </c>
      <c r="I495" s="15" t="n">
        <v>4</v>
      </c>
      <c r="J495" s="15" t="n">
        <v>8</v>
      </c>
      <c r="K495" s="15" t="n">
        <v>9</v>
      </c>
      <c r="L495" s="15" t="n">
        <v>8</v>
      </c>
      <c r="M495" s="4" t="n">
        <f aca="false">ROUND(F495*Rubric!$B$4+G495*Rubric!$B$5+H495*Rubric!$B$6+I495*Rubric!$B$7+J495*Rubric!$B$8+K495*Rubric!$B$9+L495*Rubric!$B$10-IF(OR(H495&lt;Rubric!$B$12,K495&lt;Rubric!$B$12),Rubric!$B$13,0),2)</f>
        <v>7.9</v>
      </c>
      <c r="N495" s="14" t="n">
        <v>1321</v>
      </c>
      <c r="O495" s="2" t="s">
        <v>726</v>
      </c>
    </row>
    <row r="496" customFormat="false" ht="23.85" hidden="false" customHeight="false" outlineLevel="0" collapsed="false">
      <c r="A496" s="2" t="s">
        <v>16</v>
      </c>
      <c r="B496" s="2" t="s">
        <v>159</v>
      </c>
      <c r="C496" s="14" t="n">
        <v>1</v>
      </c>
      <c r="D496" s="14" t="n">
        <v>2</v>
      </c>
      <c r="E496" s="2" t="s">
        <v>429</v>
      </c>
      <c r="F496" s="15" t="n">
        <v>9</v>
      </c>
      <c r="G496" s="15" t="n">
        <v>9</v>
      </c>
      <c r="H496" s="15" t="n">
        <v>8</v>
      </c>
      <c r="I496" s="15" t="n">
        <v>3</v>
      </c>
      <c r="J496" s="15" t="n">
        <v>8</v>
      </c>
      <c r="K496" s="15" t="n">
        <v>9</v>
      </c>
      <c r="L496" s="15" t="n">
        <v>8</v>
      </c>
      <c r="M496" s="4" t="n">
        <f aca="false">ROUND(F496*Rubric!$B$4+G496*Rubric!$B$5+H496*Rubric!$B$6+I496*Rubric!$B$7+J496*Rubric!$B$8+K496*Rubric!$B$9+L496*Rubric!$B$10-IF(OR(H496&lt;Rubric!$B$12,K496&lt;Rubric!$B$12),Rubric!$B$13,0),2)</f>
        <v>7.8</v>
      </c>
      <c r="N496" s="14" t="n">
        <v>1321</v>
      </c>
      <c r="O496" s="2" t="s">
        <v>795</v>
      </c>
    </row>
    <row r="497" customFormat="false" ht="23.85" hidden="false" customHeight="false" outlineLevel="0" collapsed="false">
      <c r="A497" s="2" t="s">
        <v>16</v>
      </c>
      <c r="B497" s="2" t="s">
        <v>159</v>
      </c>
      <c r="C497" s="14" t="n">
        <v>0</v>
      </c>
      <c r="D497" s="14" t="n">
        <v>3</v>
      </c>
      <c r="E497" s="2" t="s">
        <v>368</v>
      </c>
      <c r="F497" s="15" t="n">
        <v>8</v>
      </c>
      <c r="G497" s="15" t="n">
        <v>8</v>
      </c>
      <c r="H497" s="15" t="n">
        <v>8</v>
      </c>
      <c r="I497" s="15" t="n">
        <v>3</v>
      </c>
      <c r="J497" s="15" t="n">
        <v>8</v>
      </c>
      <c r="K497" s="15" t="n">
        <v>8</v>
      </c>
      <c r="L497" s="15" t="n">
        <v>7</v>
      </c>
      <c r="M497" s="4" t="n">
        <f aca="false">ROUND(F497*Rubric!$B$4+G497*Rubric!$B$5+H497*Rubric!$B$6+I497*Rubric!$B$7+J497*Rubric!$B$8+K497*Rubric!$B$9+L497*Rubric!$B$10-IF(OR(H497&lt;Rubric!$B$12,K497&lt;Rubric!$B$12),Rubric!$B$13,0),2)</f>
        <v>7.4</v>
      </c>
      <c r="N497" s="14" t="n">
        <v>1322</v>
      </c>
      <c r="O497" s="2" t="s">
        <v>726</v>
      </c>
    </row>
    <row r="498" customFormat="false" ht="23.85" hidden="false" customHeight="false" outlineLevel="0" collapsed="false">
      <c r="A498" s="2" t="s">
        <v>16</v>
      </c>
      <c r="B498" s="2" t="s">
        <v>159</v>
      </c>
      <c r="C498" s="14" t="n">
        <v>1</v>
      </c>
      <c r="D498" s="14" t="n">
        <v>3</v>
      </c>
      <c r="E498" s="2" t="s">
        <v>527</v>
      </c>
      <c r="F498" s="15" t="n">
        <v>9</v>
      </c>
      <c r="G498" s="15" t="n">
        <v>9</v>
      </c>
      <c r="H498" s="15" t="n">
        <v>8</v>
      </c>
      <c r="I498" s="15" t="n">
        <v>3</v>
      </c>
      <c r="J498" s="15" t="n">
        <v>8</v>
      </c>
      <c r="K498" s="15" t="n">
        <v>9</v>
      </c>
      <c r="L498" s="15" t="n">
        <v>9</v>
      </c>
      <c r="M498" s="4" t="n">
        <f aca="false">ROUND(F498*Rubric!$B$4+G498*Rubric!$B$5+H498*Rubric!$B$6+I498*Rubric!$B$7+J498*Rubric!$B$8+K498*Rubric!$B$9+L498*Rubric!$B$10-IF(OR(H498&lt;Rubric!$B$12,K498&lt;Rubric!$B$12),Rubric!$B$13,0),2)</f>
        <v>7.9</v>
      </c>
      <c r="N498" s="14" t="n">
        <v>1322</v>
      </c>
      <c r="O498" s="2" t="s">
        <v>795</v>
      </c>
    </row>
    <row r="499" customFormat="false" ht="23.85" hidden="false" customHeight="false" outlineLevel="0" collapsed="false">
      <c r="A499" s="2" t="s">
        <v>16</v>
      </c>
      <c r="B499" s="2" t="s">
        <v>159</v>
      </c>
      <c r="C499" s="14" t="n">
        <v>0</v>
      </c>
      <c r="D499" s="14" t="n">
        <v>4</v>
      </c>
      <c r="E499" s="2" t="s">
        <v>359</v>
      </c>
      <c r="F499" s="15" t="n">
        <v>9</v>
      </c>
      <c r="G499" s="15" t="n">
        <v>8</v>
      </c>
      <c r="H499" s="15" t="n">
        <v>8</v>
      </c>
      <c r="I499" s="15" t="n">
        <v>4</v>
      </c>
      <c r="J499" s="15" t="n">
        <v>8</v>
      </c>
      <c r="K499" s="15" t="n">
        <v>8</v>
      </c>
      <c r="L499" s="15" t="n">
        <v>7</v>
      </c>
      <c r="M499" s="4" t="n">
        <f aca="false">ROUND(F499*Rubric!$B$4+G499*Rubric!$B$5+H499*Rubric!$B$6+I499*Rubric!$B$7+J499*Rubric!$B$8+K499*Rubric!$B$9+L499*Rubric!$B$10-IF(OR(H499&lt;Rubric!$B$12,K499&lt;Rubric!$B$12),Rubric!$B$13,0),2)</f>
        <v>7.55</v>
      </c>
      <c r="N499" s="14" t="n">
        <v>1323</v>
      </c>
      <c r="O499" s="2" t="s">
        <v>726</v>
      </c>
    </row>
    <row r="500" customFormat="false" ht="23.85" hidden="false" customHeight="false" outlineLevel="0" collapsed="false">
      <c r="A500" s="2" t="s">
        <v>16</v>
      </c>
      <c r="B500" s="2" t="s">
        <v>159</v>
      </c>
      <c r="C500" s="14" t="n">
        <v>1</v>
      </c>
      <c r="D500" s="14" t="n">
        <v>4</v>
      </c>
      <c r="E500" s="2" t="s">
        <v>430</v>
      </c>
      <c r="F500" s="15" t="n">
        <v>8</v>
      </c>
      <c r="G500" s="15" t="n">
        <v>9</v>
      </c>
      <c r="H500" s="15" t="n">
        <v>7</v>
      </c>
      <c r="I500" s="15" t="n">
        <v>3</v>
      </c>
      <c r="J500" s="15" t="n">
        <v>9</v>
      </c>
      <c r="K500" s="15" t="n">
        <v>9</v>
      </c>
      <c r="L500" s="15" t="n">
        <v>9</v>
      </c>
      <c r="M500" s="4" t="n">
        <f aca="false">ROUND(F500*Rubric!$B$4+G500*Rubric!$B$5+H500*Rubric!$B$6+I500*Rubric!$B$7+J500*Rubric!$B$8+K500*Rubric!$B$9+L500*Rubric!$B$10-IF(OR(H500&lt;Rubric!$B$12,K500&lt;Rubric!$B$12),Rubric!$B$13,0),2)</f>
        <v>8.15</v>
      </c>
      <c r="N500" s="14" t="n">
        <v>1323</v>
      </c>
      <c r="O500" s="2" t="s">
        <v>795</v>
      </c>
    </row>
    <row r="501" customFormat="false" ht="23.85" hidden="false" customHeight="false" outlineLevel="0" collapsed="false">
      <c r="A501" s="2" t="s">
        <v>16</v>
      </c>
      <c r="B501" s="2" t="s">
        <v>159</v>
      </c>
      <c r="C501" s="14" t="n">
        <v>0</v>
      </c>
      <c r="D501" s="14" t="n">
        <v>5</v>
      </c>
      <c r="E501" s="2" t="s">
        <v>361</v>
      </c>
      <c r="F501" s="15" t="n">
        <v>9</v>
      </c>
      <c r="G501" s="15" t="n">
        <v>7</v>
      </c>
      <c r="H501" s="15" t="n">
        <v>8</v>
      </c>
      <c r="I501" s="15" t="n">
        <v>8</v>
      </c>
      <c r="J501" s="15" t="n">
        <v>7</v>
      </c>
      <c r="K501" s="15" t="n">
        <v>8</v>
      </c>
      <c r="L501" s="15" t="n">
        <v>7</v>
      </c>
      <c r="M501" s="4" t="n">
        <f aca="false">ROUND(F501*Rubric!$B$4+G501*Rubric!$B$5+H501*Rubric!$B$6+I501*Rubric!$B$7+J501*Rubric!$B$8+K501*Rubric!$B$9+L501*Rubric!$B$10-IF(OR(H501&lt;Rubric!$B$12,K501&lt;Rubric!$B$12),Rubric!$B$13,0),2)</f>
        <v>7.4</v>
      </c>
      <c r="N501" s="14" t="n">
        <v>1324</v>
      </c>
      <c r="O501" s="2" t="s">
        <v>726</v>
      </c>
    </row>
    <row r="502" customFormat="false" ht="23.85" hidden="false" customHeight="false" outlineLevel="0" collapsed="false">
      <c r="A502" s="2" t="s">
        <v>16</v>
      </c>
      <c r="B502" s="2" t="s">
        <v>159</v>
      </c>
      <c r="C502" s="14" t="n">
        <v>1</v>
      </c>
      <c r="D502" s="14" t="n">
        <v>5</v>
      </c>
      <c r="E502" s="2" t="s">
        <v>542</v>
      </c>
      <c r="F502" s="15" t="n">
        <v>9</v>
      </c>
      <c r="G502" s="15" t="n">
        <v>7</v>
      </c>
      <c r="H502" s="15" t="n">
        <v>8</v>
      </c>
      <c r="I502" s="15" t="n">
        <v>8</v>
      </c>
      <c r="J502" s="15" t="n">
        <v>8</v>
      </c>
      <c r="K502" s="15" t="n">
        <v>8</v>
      </c>
      <c r="L502" s="15" t="n">
        <v>7</v>
      </c>
      <c r="M502" s="4" t="n">
        <f aca="false">ROUND(F502*Rubric!$B$4+G502*Rubric!$B$5+H502*Rubric!$B$6+I502*Rubric!$B$7+J502*Rubric!$B$8+K502*Rubric!$B$9+L502*Rubric!$B$10-IF(OR(H502&lt;Rubric!$B$12,K502&lt;Rubric!$B$12),Rubric!$B$13,0),2)</f>
        <v>7.8</v>
      </c>
      <c r="N502" s="14" t="n">
        <v>1324</v>
      </c>
      <c r="O502" s="2" t="s">
        <v>795</v>
      </c>
    </row>
    <row r="503" customFormat="false" ht="23.85" hidden="false" customHeight="false" outlineLevel="0" collapsed="false">
      <c r="A503" s="2" t="s">
        <v>16</v>
      </c>
      <c r="B503" s="2" t="s">
        <v>262</v>
      </c>
      <c r="C503" s="14" t="n">
        <v>0</v>
      </c>
      <c r="D503" s="14" t="n">
        <v>1</v>
      </c>
      <c r="E503" s="2" t="s">
        <v>367</v>
      </c>
      <c r="F503" s="15" t="n">
        <v>8</v>
      </c>
      <c r="G503" s="15" t="n">
        <v>7</v>
      </c>
      <c r="H503" s="15" t="n">
        <v>9</v>
      </c>
      <c r="I503" s="15" t="n">
        <v>2</v>
      </c>
      <c r="J503" s="15" t="n">
        <v>7</v>
      </c>
      <c r="K503" s="15" t="n">
        <v>8</v>
      </c>
      <c r="L503" s="15" t="n">
        <v>6</v>
      </c>
      <c r="M503" s="4" t="n">
        <f aca="false">ROUND(F503*Rubric!$B$4+G503*Rubric!$B$5+H503*Rubric!$B$6+I503*Rubric!$B$7+J503*Rubric!$B$8+K503*Rubric!$B$9+L503*Rubric!$B$10-IF(OR(H503&lt;Rubric!$B$12,K503&lt;Rubric!$B$12),Rubric!$B$13,0),2)</f>
        <v>6.75</v>
      </c>
      <c r="N503" s="14" t="n">
        <v>1330</v>
      </c>
      <c r="O503" s="2" t="s">
        <v>726</v>
      </c>
    </row>
    <row r="504" customFormat="false" ht="23.85" hidden="false" customHeight="false" outlineLevel="0" collapsed="false">
      <c r="A504" s="2" t="s">
        <v>16</v>
      </c>
      <c r="B504" s="2" t="s">
        <v>262</v>
      </c>
      <c r="C504" s="14" t="n">
        <v>1</v>
      </c>
      <c r="D504" s="14" t="n">
        <v>1</v>
      </c>
      <c r="E504" s="2" t="s">
        <v>359</v>
      </c>
      <c r="F504" s="15" t="n">
        <v>8</v>
      </c>
      <c r="G504" s="15" t="n">
        <v>8</v>
      </c>
      <c r="H504" s="15" t="n">
        <v>8</v>
      </c>
      <c r="I504" s="15" t="n">
        <v>4</v>
      </c>
      <c r="J504" s="15" t="n">
        <v>8</v>
      </c>
      <c r="K504" s="15" t="n">
        <v>8</v>
      </c>
      <c r="L504" s="15" t="n">
        <v>7</v>
      </c>
      <c r="M504" s="4" t="n">
        <f aca="false">ROUND(F504*Rubric!$B$4+G504*Rubric!$B$5+H504*Rubric!$B$6+I504*Rubric!$B$7+J504*Rubric!$B$8+K504*Rubric!$B$9+L504*Rubric!$B$10-IF(OR(H504&lt;Rubric!$B$12,K504&lt;Rubric!$B$12),Rubric!$B$13,0),2)</f>
        <v>7.5</v>
      </c>
      <c r="N504" s="14" t="n">
        <v>1330</v>
      </c>
      <c r="O504" s="2" t="s">
        <v>796</v>
      </c>
    </row>
    <row r="505" customFormat="false" ht="23.85" hidden="false" customHeight="false" outlineLevel="0" collapsed="false">
      <c r="A505" s="2" t="s">
        <v>16</v>
      </c>
      <c r="B505" s="2" t="s">
        <v>262</v>
      </c>
      <c r="C505" s="14" t="n">
        <v>2</v>
      </c>
      <c r="D505" s="14" t="n">
        <v>1</v>
      </c>
      <c r="E505" s="2" t="s">
        <v>553</v>
      </c>
      <c r="F505" s="15" t="n">
        <v>7</v>
      </c>
      <c r="G505" s="15" t="n">
        <v>8</v>
      </c>
      <c r="H505" s="15" t="n">
        <v>8</v>
      </c>
      <c r="I505" s="15" t="n">
        <v>3</v>
      </c>
      <c r="J505" s="15" t="n">
        <v>9</v>
      </c>
      <c r="K505" s="15" t="n">
        <v>8</v>
      </c>
      <c r="L505" s="15" t="n">
        <v>7</v>
      </c>
      <c r="M505" s="4" t="n">
        <f aca="false">ROUND(F505*Rubric!$B$4+G505*Rubric!$B$5+H505*Rubric!$B$6+I505*Rubric!$B$7+J505*Rubric!$B$8+K505*Rubric!$B$9+L505*Rubric!$B$10-IF(OR(H505&lt;Rubric!$B$12,K505&lt;Rubric!$B$12),Rubric!$B$13,0),2)</f>
        <v>7.75</v>
      </c>
      <c r="N505" s="14" t="n">
        <v>1330</v>
      </c>
      <c r="O505" s="2" t="s">
        <v>797</v>
      </c>
    </row>
    <row r="506" customFormat="false" ht="23.85" hidden="false" customHeight="false" outlineLevel="0" collapsed="false">
      <c r="A506" s="2" t="s">
        <v>16</v>
      </c>
      <c r="B506" s="2" t="s">
        <v>262</v>
      </c>
      <c r="C506" s="14" t="n">
        <v>0</v>
      </c>
      <c r="D506" s="14" t="n">
        <v>2</v>
      </c>
      <c r="E506" s="2" t="s">
        <v>368</v>
      </c>
      <c r="F506" s="15" t="n">
        <v>8</v>
      </c>
      <c r="G506" s="15" t="n">
        <v>8</v>
      </c>
      <c r="H506" s="15" t="n">
        <v>8</v>
      </c>
      <c r="I506" s="15" t="n">
        <v>3</v>
      </c>
      <c r="J506" s="15" t="n">
        <v>7</v>
      </c>
      <c r="K506" s="15" t="n">
        <v>8</v>
      </c>
      <c r="L506" s="15" t="n">
        <v>7</v>
      </c>
      <c r="M506" s="4" t="n">
        <f aca="false">ROUND(F506*Rubric!$B$4+G506*Rubric!$B$5+H506*Rubric!$B$6+I506*Rubric!$B$7+J506*Rubric!$B$8+K506*Rubric!$B$9+L506*Rubric!$B$10-IF(OR(H506&lt;Rubric!$B$12,K506&lt;Rubric!$B$12),Rubric!$B$13,0),2)</f>
        <v>7</v>
      </c>
      <c r="N506" s="14" t="n">
        <v>1331</v>
      </c>
      <c r="O506" s="2" t="s">
        <v>726</v>
      </c>
    </row>
    <row r="507" customFormat="false" ht="23.85" hidden="false" customHeight="false" outlineLevel="0" collapsed="false">
      <c r="A507" s="2" t="s">
        <v>16</v>
      </c>
      <c r="B507" s="2" t="s">
        <v>262</v>
      </c>
      <c r="C507" s="14" t="n">
        <v>1</v>
      </c>
      <c r="D507" s="14" t="n">
        <v>2</v>
      </c>
      <c r="E507" s="2" t="s">
        <v>489</v>
      </c>
      <c r="F507" s="15" t="n">
        <v>7</v>
      </c>
      <c r="G507" s="15" t="n">
        <v>8</v>
      </c>
      <c r="H507" s="15" t="n">
        <v>8</v>
      </c>
      <c r="I507" s="15" t="n">
        <v>3</v>
      </c>
      <c r="J507" s="15" t="n">
        <v>9</v>
      </c>
      <c r="K507" s="15" t="n">
        <v>8</v>
      </c>
      <c r="L507" s="15" t="n">
        <v>7</v>
      </c>
      <c r="M507" s="4" t="n">
        <f aca="false">ROUND(F507*Rubric!$B$4+G507*Rubric!$B$5+H507*Rubric!$B$6+I507*Rubric!$B$7+J507*Rubric!$B$8+K507*Rubric!$B$9+L507*Rubric!$B$10-IF(OR(H507&lt;Rubric!$B$12,K507&lt;Rubric!$B$12),Rubric!$B$13,0),2)</f>
        <v>7.75</v>
      </c>
      <c r="N507" s="14" t="n">
        <v>1331</v>
      </c>
      <c r="O507" s="2" t="s">
        <v>796</v>
      </c>
    </row>
    <row r="508" customFormat="false" ht="23.85" hidden="false" customHeight="false" outlineLevel="0" collapsed="false">
      <c r="A508" s="2" t="s">
        <v>16</v>
      </c>
      <c r="B508" s="2" t="s">
        <v>262</v>
      </c>
      <c r="C508" s="14" t="n">
        <v>0</v>
      </c>
      <c r="D508" s="14" t="n">
        <v>3</v>
      </c>
      <c r="E508" s="2" t="s">
        <v>369</v>
      </c>
      <c r="F508" s="15" t="n">
        <v>8</v>
      </c>
      <c r="G508" s="15" t="n">
        <v>8</v>
      </c>
      <c r="H508" s="15" t="n">
        <v>8</v>
      </c>
      <c r="I508" s="15" t="n">
        <v>2</v>
      </c>
      <c r="J508" s="15" t="n">
        <v>7</v>
      </c>
      <c r="K508" s="15" t="n">
        <v>8</v>
      </c>
      <c r="L508" s="15" t="n">
        <v>8</v>
      </c>
      <c r="M508" s="4" t="n">
        <f aca="false">ROUND(F508*Rubric!$B$4+G508*Rubric!$B$5+H508*Rubric!$B$6+I508*Rubric!$B$7+J508*Rubric!$B$8+K508*Rubric!$B$9+L508*Rubric!$B$10-IF(OR(H508&lt;Rubric!$B$12,K508&lt;Rubric!$B$12),Rubric!$B$13,0),2)</f>
        <v>7</v>
      </c>
      <c r="N508" s="14" t="n">
        <v>1332</v>
      </c>
      <c r="O508" s="2" t="s">
        <v>726</v>
      </c>
    </row>
    <row r="509" customFormat="false" ht="23.85" hidden="false" customHeight="false" outlineLevel="0" collapsed="false">
      <c r="A509" s="2" t="s">
        <v>16</v>
      </c>
      <c r="B509" s="2" t="s">
        <v>262</v>
      </c>
      <c r="C509" s="14" t="n">
        <v>1</v>
      </c>
      <c r="D509" s="14" t="n">
        <v>3</v>
      </c>
      <c r="E509" s="2" t="s">
        <v>492</v>
      </c>
      <c r="F509" s="15" t="n">
        <v>8</v>
      </c>
      <c r="G509" s="15" t="n">
        <v>8</v>
      </c>
      <c r="H509" s="15" t="n">
        <v>8</v>
      </c>
      <c r="I509" s="15" t="n">
        <v>2</v>
      </c>
      <c r="J509" s="15" t="n">
        <v>8</v>
      </c>
      <c r="K509" s="15" t="n">
        <v>8</v>
      </c>
      <c r="L509" s="15" t="n">
        <v>8</v>
      </c>
      <c r="M509" s="4" t="n">
        <f aca="false">ROUND(F509*Rubric!$B$4+G509*Rubric!$B$5+H509*Rubric!$B$6+I509*Rubric!$B$7+J509*Rubric!$B$8+K509*Rubric!$B$9+L509*Rubric!$B$10-IF(OR(H509&lt;Rubric!$B$12,K509&lt;Rubric!$B$12),Rubric!$B$13,0),2)</f>
        <v>7.4</v>
      </c>
      <c r="N509" s="14" t="n">
        <v>1332</v>
      </c>
      <c r="O509" s="2" t="s">
        <v>796</v>
      </c>
    </row>
    <row r="510" customFormat="false" ht="23.85" hidden="false" customHeight="false" outlineLevel="0" collapsed="false">
      <c r="A510" s="2" t="s">
        <v>16</v>
      </c>
      <c r="B510" s="2" t="s">
        <v>262</v>
      </c>
      <c r="C510" s="14" t="n">
        <v>2</v>
      </c>
      <c r="D510" s="14" t="n">
        <v>3</v>
      </c>
      <c r="E510" s="2" t="s">
        <v>554</v>
      </c>
      <c r="F510" s="15" t="n">
        <v>7</v>
      </c>
      <c r="G510" s="15" t="n">
        <v>9</v>
      </c>
      <c r="H510" s="15" t="n">
        <v>8</v>
      </c>
      <c r="I510" s="15" t="n">
        <v>3</v>
      </c>
      <c r="J510" s="15" t="n">
        <v>9</v>
      </c>
      <c r="K510" s="15" t="n">
        <v>9</v>
      </c>
      <c r="L510" s="15" t="n">
        <v>9</v>
      </c>
      <c r="M510" s="4" t="n">
        <f aca="false">ROUND(F510*Rubric!$B$4+G510*Rubric!$B$5+H510*Rubric!$B$6+I510*Rubric!$B$7+J510*Rubric!$B$8+K510*Rubric!$B$9+L510*Rubric!$B$10-IF(OR(H510&lt;Rubric!$B$12,K510&lt;Rubric!$B$12),Rubric!$B$13,0),2)</f>
        <v>8.2</v>
      </c>
      <c r="N510" s="14" t="n">
        <v>1332</v>
      </c>
      <c r="O510" s="2" t="s">
        <v>798</v>
      </c>
    </row>
    <row r="511" customFormat="false" ht="23.85" hidden="false" customHeight="false" outlineLevel="0" collapsed="false">
      <c r="A511" s="2" t="s">
        <v>16</v>
      </c>
      <c r="B511" s="2" t="s">
        <v>262</v>
      </c>
      <c r="C511" s="14" t="n">
        <v>0</v>
      </c>
      <c r="D511" s="14" t="n">
        <v>4</v>
      </c>
      <c r="E511" s="2" t="s">
        <v>371</v>
      </c>
      <c r="F511" s="15" t="n">
        <v>9</v>
      </c>
      <c r="G511" s="15" t="n">
        <v>7</v>
      </c>
      <c r="H511" s="15" t="n">
        <v>8</v>
      </c>
      <c r="I511" s="15" t="n">
        <v>4</v>
      </c>
      <c r="J511" s="15" t="n">
        <v>7</v>
      </c>
      <c r="K511" s="15" t="n">
        <v>8</v>
      </c>
      <c r="L511" s="15" t="n">
        <v>8</v>
      </c>
      <c r="M511" s="4" t="n">
        <f aca="false">ROUND(F511*Rubric!$B$4+G511*Rubric!$B$5+H511*Rubric!$B$6+I511*Rubric!$B$7+J511*Rubric!$B$8+K511*Rubric!$B$9+L511*Rubric!$B$10-IF(OR(H511&lt;Rubric!$B$12,K511&lt;Rubric!$B$12),Rubric!$B$13,0),2)</f>
        <v>7.1</v>
      </c>
      <c r="N511" s="14" t="n">
        <v>1333</v>
      </c>
      <c r="O511" s="2" t="s">
        <v>726</v>
      </c>
    </row>
    <row r="512" customFormat="false" ht="23.85" hidden="false" customHeight="false" outlineLevel="0" collapsed="false">
      <c r="A512" s="2" t="s">
        <v>16</v>
      </c>
      <c r="B512" s="2" t="s">
        <v>262</v>
      </c>
      <c r="C512" s="14" t="n">
        <v>1</v>
      </c>
      <c r="D512" s="14" t="n">
        <v>4</v>
      </c>
      <c r="E512" s="2" t="s">
        <v>563</v>
      </c>
      <c r="F512" s="15" t="n">
        <v>8</v>
      </c>
      <c r="G512" s="15" t="n">
        <v>7</v>
      </c>
      <c r="H512" s="15" t="n">
        <v>8</v>
      </c>
      <c r="I512" s="15" t="n">
        <v>4</v>
      </c>
      <c r="J512" s="15" t="n">
        <v>8</v>
      </c>
      <c r="K512" s="15" t="n">
        <v>8</v>
      </c>
      <c r="L512" s="15" t="n">
        <v>8</v>
      </c>
      <c r="M512" s="4" t="n">
        <f aca="false">ROUND(F512*Rubric!$B$4+G512*Rubric!$B$5+H512*Rubric!$B$6+I512*Rubric!$B$7+J512*Rubric!$B$8+K512*Rubric!$B$9+L512*Rubric!$B$10-IF(OR(H512&lt;Rubric!$B$12,K512&lt;Rubric!$B$12),Rubric!$B$13,0),2)</f>
        <v>7.45</v>
      </c>
      <c r="N512" s="14" t="n">
        <v>1333</v>
      </c>
      <c r="O512" s="2" t="s">
        <v>796</v>
      </c>
    </row>
    <row r="513" customFormat="false" ht="23.85" hidden="false" customHeight="false" outlineLevel="0" collapsed="false">
      <c r="A513" s="2" t="s">
        <v>16</v>
      </c>
      <c r="B513" s="2" t="s">
        <v>262</v>
      </c>
      <c r="C513" s="14" t="n">
        <v>2</v>
      </c>
      <c r="D513" s="14" t="n">
        <v>4</v>
      </c>
      <c r="E513" s="2" t="s">
        <v>555</v>
      </c>
      <c r="F513" s="15" t="n">
        <v>7</v>
      </c>
      <c r="G513" s="15" t="n">
        <v>9</v>
      </c>
      <c r="H513" s="15" t="n">
        <v>7</v>
      </c>
      <c r="I513" s="15" t="n">
        <v>3</v>
      </c>
      <c r="J513" s="15" t="n">
        <v>9</v>
      </c>
      <c r="K513" s="15" t="n">
        <v>9</v>
      </c>
      <c r="L513" s="15" t="n">
        <v>9</v>
      </c>
      <c r="M513" s="4" t="n">
        <f aca="false">ROUND(F513*Rubric!$B$4+G513*Rubric!$B$5+H513*Rubric!$B$6+I513*Rubric!$B$7+J513*Rubric!$B$8+K513*Rubric!$B$9+L513*Rubric!$B$10-IF(OR(H513&lt;Rubric!$B$12,K513&lt;Rubric!$B$12),Rubric!$B$13,0),2)</f>
        <v>8.1</v>
      </c>
      <c r="N513" s="14" t="n">
        <v>1333</v>
      </c>
      <c r="O513" s="2" t="s">
        <v>799</v>
      </c>
    </row>
    <row r="514" customFormat="false" ht="23.85" hidden="false" customHeight="false" outlineLevel="0" collapsed="false">
      <c r="A514" s="2" t="s">
        <v>16</v>
      </c>
      <c r="B514" s="2" t="s">
        <v>262</v>
      </c>
      <c r="C514" s="14" t="n">
        <v>0</v>
      </c>
      <c r="D514" s="14" t="n">
        <v>5</v>
      </c>
      <c r="E514" s="2" t="s">
        <v>361</v>
      </c>
      <c r="F514" s="15" t="n">
        <v>9</v>
      </c>
      <c r="G514" s="15" t="n">
        <v>7</v>
      </c>
      <c r="H514" s="15" t="n">
        <v>8</v>
      </c>
      <c r="I514" s="15" t="n">
        <v>8</v>
      </c>
      <c r="J514" s="15" t="n">
        <v>6</v>
      </c>
      <c r="K514" s="15" t="n">
        <v>8</v>
      </c>
      <c r="L514" s="15" t="n">
        <v>7</v>
      </c>
      <c r="M514" s="4" t="n">
        <f aca="false">ROUND(F514*Rubric!$B$4+G514*Rubric!$B$5+H514*Rubric!$B$6+I514*Rubric!$B$7+J514*Rubric!$B$8+K514*Rubric!$B$9+L514*Rubric!$B$10-IF(OR(H514&lt;Rubric!$B$12,K514&lt;Rubric!$B$12),Rubric!$B$13,0),2)</f>
        <v>7</v>
      </c>
      <c r="N514" s="14" t="n">
        <v>1334</v>
      </c>
      <c r="O514" s="2" t="s">
        <v>726</v>
      </c>
    </row>
    <row r="515" customFormat="false" ht="15" hidden="false" customHeight="false" outlineLevel="0" collapsed="false">
      <c r="A515" s="2" t="s">
        <v>16</v>
      </c>
      <c r="B515" s="2" t="s">
        <v>262</v>
      </c>
      <c r="C515" s="14" t="n">
        <v>1</v>
      </c>
      <c r="D515" s="14" t="n">
        <v>5</v>
      </c>
      <c r="E515" s="2" t="s">
        <v>547</v>
      </c>
      <c r="F515" s="15" t="n">
        <v>8</v>
      </c>
      <c r="G515" s="15" t="n">
        <v>8</v>
      </c>
      <c r="H515" s="15" t="n">
        <v>8</v>
      </c>
      <c r="I515" s="15" t="n">
        <v>9</v>
      </c>
      <c r="J515" s="15" t="n">
        <v>8</v>
      </c>
      <c r="K515" s="15" t="n">
        <v>7</v>
      </c>
      <c r="L515" s="15" t="n">
        <v>8</v>
      </c>
      <c r="M515" s="4" t="n">
        <f aca="false">ROUND(F515*Rubric!$B$4+G515*Rubric!$B$5+H515*Rubric!$B$6+I515*Rubric!$B$7+J515*Rubric!$B$8+K515*Rubric!$B$9+L515*Rubric!$B$10-IF(OR(H515&lt;Rubric!$B$12,K515&lt;Rubric!$B$12),Rubric!$B$13,0),2)</f>
        <v>8</v>
      </c>
      <c r="N515" s="14" t="n">
        <v>1334</v>
      </c>
      <c r="O515" s="2" t="s">
        <v>796</v>
      </c>
    </row>
    <row r="516" customFormat="false" ht="23.85" hidden="false" customHeight="false" outlineLevel="0" collapsed="false">
      <c r="A516" s="2" t="s">
        <v>16</v>
      </c>
      <c r="B516" s="2" t="s">
        <v>265</v>
      </c>
      <c r="C516" s="14" t="n">
        <v>0</v>
      </c>
      <c r="D516" s="14" t="n">
        <v>1</v>
      </c>
      <c r="E516" s="2" t="s">
        <v>357</v>
      </c>
      <c r="F516" s="15" t="n">
        <v>7</v>
      </c>
      <c r="G516" s="15" t="n">
        <v>8</v>
      </c>
      <c r="H516" s="15" t="n">
        <v>8</v>
      </c>
      <c r="I516" s="15" t="n">
        <v>4</v>
      </c>
      <c r="J516" s="15" t="n">
        <v>7</v>
      </c>
      <c r="K516" s="15" t="n">
        <v>8</v>
      </c>
      <c r="L516" s="15" t="n">
        <v>8</v>
      </c>
      <c r="M516" s="4" t="n">
        <f aca="false">ROUND(F516*Rubric!$B$4+G516*Rubric!$B$5+H516*Rubric!$B$6+I516*Rubric!$B$7+J516*Rubric!$B$8+K516*Rubric!$B$9+L516*Rubric!$B$10-IF(OR(H516&lt;Rubric!$B$12,K516&lt;Rubric!$B$12),Rubric!$B$13,0),2)</f>
        <v>7.15</v>
      </c>
      <c r="N516" s="14" t="n">
        <v>1340</v>
      </c>
      <c r="O516" s="2" t="s">
        <v>726</v>
      </c>
    </row>
    <row r="517" customFormat="false" ht="23.85" hidden="false" customHeight="false" outlineLevel="0" collapsed="false">
      <c r="A517" s="2" t="s">
        <v>16</v>
      </c>
      <c r="B517" s="2" t="s">
        <v>265</v>
      </c>
      <c r="C517" s="14" t="n">
        <v>1</v>
      </c>
      <c r="D517" s="14" t="n">
        <v>1</v>
      </c>
      <c r="E517" s="2" t="s">
        <v>546</v>
      </c>
      <c r="F517" s="15" t="n">
        <v>7</v>
      </c>
      <c r="G517" s="15" t="n">
        <v>8</v>
      </c>
      <c r="H517" s="15" t="n">
        <v>8</v>
      </c>
      <c r="I517" s="15" t="n">
        <v>3</v>
      </c>
      <c r="J517" s="15" t="n">
        <v>8</v>
      </c>
      <c r="K517" s="15" t="n">
        <v>8</v>
      </c>
      <c r="L517" s="15" t="n">
        <v>7</v>
      </c>
      <c r="M517" s="4" t="n">
        <f aca="false">ROUND(F517*Rubric!$B$4+G517*Rubric!$B$5+H517*Rubric!$B$6+I517*Rubric!$B$7+J517*Rubric!$B$8+K517*Rubric!$B$9+L517*Rubric!$B$10-IF(OR(H517&lt;Rubric!$B$12,K517&lt;Rubric!$B$12),Rubric!$B$13,0),2)</f>
        <v>7.35</v>
      </c>
      <c r="N517" s="14" t="n">
        <v>1340</v>
      </c>
      <c r="O517" s="2" t="s">
        <v>800</v>
      </c>
    </row>
    <row r="518" customFormat="false" ht="23.85" hidden="false" customHeight="false" outlineLevel="0" collapsed="false">
      <c r="A518" s="2" t="s">
        <v>16</v>
      </c>
      <c r="B518" s="2" t="s">
        <v>265</v>
      </c>
      <c r="C518" s="14" t="n">
        <v>2</v>
      </c>
      <c r="D518" s="14" t="n">
        <v>1</v>
      </c>
      <c r="E518" s="2" t="s">
        <v>556</v>
      </c>
      <c r="F518" s="15" t="n">
        <v>7</v>
      </c>
      <c r="G518" s="15" t="n">
        <v>8</v>
      </c>
      <c r="H518" s="15" t="n">
        <v>8</v>
      </c>
      <c r="I518" s="15" t="n">
        <v>3</v>
      </c>
      <c r="J518" s="15" t="n">
        <v>9</v>
      </c>
      <c r="K518" s="15" t="n">
        <v>8</v>
      </c>
      <c r="L518" s="15" t="n">
        <v>7</v>
      </c>
      <c r="M518" s="4" t="n">
        <f aca="false">ROUND(F518*Rubric!$B$4+G518*Rubric!$B$5+H518*Rubric!$B$6+I518*Rubric!$B$7+J518*Rubric!$B$8+K518*Rubric!$B$9+L518*Rubric!$B$10-IF(OR(H518&lt;Rubric!$B$12,K518&lt;Rubric!$B$12),Rubric!$B$13,0),2)</f>
        <v>7.75</v>
      </c>
      <c r="N518" s="14" t="n">
        <v>1340</v>
      </c>
      <c r="O518" s="2" t="s">
        <v>801</v>
      </c>
    </row>
    <row r="519" customFormat="false" ht="23.85" hidden="false" customHeight="false" outlineLevel="0" collapsed="false">
      <c r="A519" s="2" t="s">
        <v>16</v>
      </c>
      <c r="B519" s="2" t="s">
        <v>265</v>
      </c>
      <c r="C519" s="14" t="n">
        <v>0</v>
      </c>
      <c r="D519" s="14" t="n">
        <v>2</v>
      </c>
      <c r="E519" s="2" t="s">
        <v>358</v>
      </c>
      <c r="F519" s="15" t="n">
        <v>9</v>
      </c>
      <c r="G519" s="15" t="n">
        <v>9</v>
      </c>
      <c r="H519" s="15" t="n">
        <v>8</v>
      </c>
      <c r="I519" s="15" t="n">
        <v>4</v>
      </c>
      <c r="J519" s="15" t="n">
        <v>7</v>
      </c>
      <c r="K519" s="15" t="n">
        <v>9</v>
      </c>
      <c r="L519" s="15" t="n">
        <v>8</v>
      </c>
      <c r="M519" s="4" t="n">
        <f aca="false">ROUND(F519*Rubric!$B$4+G519*Rubric!$B$5+H519*Rubric!$B$6+I519*Rubric!$B$7+J519*Rubric!$B$8+K519*Rubric!$B$9+L519*Rubric!$B$10-IF(OR(H519&lt;Rubric!$B$12,K519&lt;Rubric!$B$12),Rubric!$B$13,0),2)</f>
        <v>7.5</v>
      </c>
      <c r="N519" s="14" t="n">
        <v>1341</v>
      </c>
      <c r="O519" s="2" t="s">
        <v>726</v>
      </c>
    </row>
    <row r="520" customFormat="false" ht="23.85" hidden="false" customHeight="false" outlineLevel="0" collapsed="false">
      <c r="A520" s="2" t="s">
        <v>16</v>
      </c>
      <c r="B520" s="2" t="s">
        <v>265</v>
      </c>
      <c r="C520" s="14" t="n">
        <v>1</v>
      </c>
      <c r="D520" s="14" t="n">
        <v>2</v>
      </c>
      <c r="E520" s="2" t="s">
        <v>514</v>
      </c>
      <c r="F520" s="15" t="n">
        <v>8</v>
      </c>
      <c r="G520" s="15" t="n">
        <v>8</v>
      </c>
      <c r="H520" s="15" t="n">
        <v>8</v>
      </c>
      <c r="I520" s="15" t="n">
        <v>4</v>
      </c>
      <c r="J520" s="15" t="n">
        <v>8</v>
      </c>
      <c r="K520" s="15" t="n">
        <v>7</v>
      </c>
      <c r="L520" s="15" t="n">
        <v>8</v>
      </c>
      <c r="M520" s="4" t="n">
        <f aca="false">ROUND(F520*Rubric!$B$4+G520*Rubric!$B$5+H520*Rubric!$B$6+I520*Rubric!$B$7+J520*Rubric!$B$8+K520*Rubric!$B$9+L520*Rubric!$B$10-IF(OR(H520&lt;Rubric!$B$12,K520&lt;Rubric!$B$12),Rubric!$B$13,0),2)</f>
        <v>7.5</v>
      </c>
      <c r="N520" s="14" t="n">
        <v>1341</v>
      </c>
      <c r="O520" s="2" t="s">
        <v>800</v>
      </c>
    </row>
    <row r="521" customFormat="false" ht="23.85" hidden="false" customHeight="false" outlineLevel="0" collapsed="false">
      <c r="A521" s="2" t="s">
        <v>16</v>
      </c>
      <c r="B521" s="2" t="s">
        <v>265</v>
      </c>
      <c r="C521" s="14" t="n">
        <v>2</v>
      </c>
      <c r="D521" s="14" t="n">
        <v>2</v>
      </c>
      <c r="E521" s="2" t="s">
        <v>557</v>
      </c>
      <c r="F521" s="15" t="n">
        <v>7</v>
      </c>
      <c r="G521" s="15" t="n">
        <v>8</v>
      </c>
      <c r="H521" s="15" t="n">
        <v>8</v>
      </c>
      <c r="I521" s="15" t="n">
        <v>4</v>
      </c>
      <c r="J521" s="15" t="n">
        <v>9</v>
      </c>
      <c r="K521" s="15" t="n">
        <v>7</v>
      </c>
      <c r="L521" s="15" t="n">
        <v>8</v>
      </c>
      <c r="M521" s="4" t="n">
        <f aca="false">ROUND(F521*Rubric!$B$4+G521*Rubric!$B$5+H521*Rubric!$B$6+I521*Rubric!$B$7+J521*Rubric!$B$8+K521*Rubric!$B$9+L521*Rubric!$B$10-IF(OR(H521&lt;Rubric!$B$12,K521&lt;Rubric!$B$12),Rubric!$B$13,0),2)</f>
        <v>7.85</v>
      </c>
      <c r="N521" s="14" t="n">
        <v>1341</v>
      </c>
      <c r="O521" s="2" t="s">
        <v>802</v>
      </c>
    </row>
    <row r="522" customFormat="false" ht="23.85" hidden="false" customHeight="false" outlineLevel="0" collapsed="false">
      <c r="A522" s="2" t="s">
        <v>16</v>
      </c>
      <c r="B522" s="2" t="s">
        <v>265</v>
      </c>
      <c r="C522" s="14" t="n">
        <v>0</v>
      </c>
      <c r="D522" s="14" t="n">
        <v>3</v>
      </c>
      <c r="E522" s="2" t="s">
        <v>368</v>
      </c>
      <c r="F522" s="15" t="n">
        <v>8</v>
      </c>
      <c r="G522" s="15" t="n">
        <v>8</v>
      </c>
      <c r="H522" s="15" t="n">
        <v>8</v>
      </c>
      <c r="I522" s="15" t="n">
        <v>3</v>
      </c>
      <c r="J522" s="15" t="n">
        <v>7</v>
      </c>
      <c r="K522" s="15" t="n">
        <v>8</v>
      </c>
      <c r="L522" s="15" t="n">
        <v>7</v>
      </c>
      <c r="M522" s="4" t="n">
        <f aca="false">ROUND(F522*Rubric!$B$4+G522*Rubric!$B$5+H522*Rubric!$B$6+I522*Rubric!$B$7+J522*Rubric!$B$8+K522*Rubric!$B$9+L522*Rubric!$B$10-IF(OR(H522&lt;Rubric!$B$12,K522&lt;Rubric!$B$12),Rubric!$B$13,0),2)</f>
        <v>7</v>
      </c>
      <c r="N522" s="14" t="n">
        <v>1342</v>
      </c>
      <c r="O522" s="2" t="s">
        <v>726</v>
      </c>
    </row>
    <row r="523" customFormat="false" ht="23.85" hidden="false" customHeight="false" outlineLevel="0" collapsed="false">
      <c r="A523" s="2" t="s">
        <v>16</v>
      </c>
      <c r="B523" s="2" t="s">
        <v>265</v>
      </c>
      <c r="C523" s="14" t="n">
        <v>1</v>
      </c>
      <c r="D523" s="14" t="n">
        <v>3</v>
      </c>
      <c r="E523" s="2" t="s">
        <v>511</v>
      </c>
      <c r="F523" s="15" t="n">
        <v>9</v>
      </c>
      <c r="G523" s="15" t="n">
        <v>9</v>
      </c>
      <c r="H523" s="15" t="n">
        <v>8</v>
      </c>
      <c r="I523" s="15" t="n">
        <v>3</v>
      </c>
      <c r="J523" s="15" t="n">
        <v>8</v>
      </c>
      <c r="K523" s="15" t="n">
        <v>9</v>
      </c>
      <c r="L523" s="15" t="n">
        <v>8</v>
      </c>
      <c r="M523" s="4" t="n">
        <f aca="false">ROUND(F523*Rubric!$B$4+G523*Rubric!$B$5+H523*Rubric!$B$6+I523*Rubric!$B$7+J523*Rubric!$B$8+K523*Rubric!$B$9+L523*Rubric!$B$10-IF(OR(H523&lt;Rubric!$B$12,K523&lt;Rubric!$B$12),Rubric!$B$13,0),2)</f>
        <v>7.8</v>
      </c>
      <c r="N523" s="14" t="n">
        <v>1342</v>
      </c>
      <c r="O523" s="2" t="s">
        <v>800</v>
      </c>
    </row>
    <row r="524" customFormat="false" ht="23.85" hidden="false" customHeight="false" outlineLevel="0" collapsed="false">
      <c r="A524" s="2" t="s">
        <v>16</v>
      </c>
      <c r="B524" s="2" t="s">
        <v>265</v>
      </c>
      <c r="C524" s="14" t="n">
        <v>0</v>
      </c>
      <c r="D524" s="14" t="n">
        <v>4</v>
      </c>
      <c r="E524" s="2" t="s">
        <v>359</v>
      </c>
      <c r="F524" s="15" t="n">
        <v>9</v>
      </c>
      <c r="G524" s="15" t="n">
        <v>8</v>
      </c>
      <c r="H524" s="15" t="n">
        <v>8</v>
      </c>
      <c r="I524" s="15" t="n">
        <v>4</v>
      </c>
      <c r="J524" s="15" t="n">
        <v>7</v>
      </c>
      <c r="K524" s="15" t="n">
        <v>8</v>
      </c>
      <c r="L524" s="15" t="n">
        <v>7</v>
      </c>
      <c r="M524" s="4" t="n">
        <f aca="false">ROUND(F524*Rubric!$B$4+G524*Rubric!$B$5+H524*Rubric!$B$6+I524*Rubric!$B$7+J524*Rubric!$B$8+K524*Rubric!$B$9+L524*Rubric!$B$10-IF(OR(H524&lt;Rubric!$B$12,K524&lt;Rubric!$B$12),Rubric!$B$13,0),2)</f>
        <v>7.15</v>
      </c>
      <c r="N524" s="14" t="n">
        <v>1343</v>
      </c>
      <c r="O524" s="2" t="s">
        <v>726</v>
      </c>
    </row>
    <row r="525" customFormat="false" ht="23.85" hidden="false" customHeight="false" outlineLevel="0" collapsed="false">
      <c r="A525" s="2" t="s">
        <v>16</v>
      </c>
      <c r="B525" s="2" t="s">
        <v>265</v>
      </c>
      <c r="C525" s="14" t="n">
        <v>1</v>
      </c>
      <c r="D525" s="14" t="n">
        <v>4</v>
      </c>
      <c r="E525" s="2" t="s">
        <v>488</v>
      </c>
      <c r="F525" s="15" t="n">
        <v>9</v>
      </c>
      <c r="G525" s="15" t="n">
        <v>8</v>
      </c>
      <c r="H525" s="15" t="n">
        <v>8</v>
      </c>
      <c r="I525" s="15" t="n">
        <v>3</v>
      </c>
      <c r="J525" s="15" t="n">
        <v>8</v>
      </c>
      <c r="K525" s="15" t="n">
        <v>8</v>
      </c>
      <c r="L525" s="15" t="n">
        <v>7</v>
      </c>
      <c r="M525" s="4" t="n">
        <f aca="false">ROUND(F525*Rubric!$B$4+G525*Rubric!$B$5+H525*Rubric!$B$6+I525*Rubric!$B$7+J525*Rubric!$B$8+K525*Rubric!$B$9+L525*Rubric!$B$10-IF(OR(H525&lt;Rubric!$B$12,K525&lt;Rubric!$B$12),Rubric!$B$13,0),2)</f>
        <v>7.45</v>
      </c>
      <c r="N525" s="14" t="n">
        <v>1343</v>
      </c>
      <c r="O525" s="2" t="s">
        <v>800</v>
      </c>
    </row>
    <row r="526" customFormat="false" ht="23.85" hidden="false" customHeight="false" outlineLevel="0" collapsed="false">
      <c r="A526" s="2" t="s">
        <v>16</v>
      </c>
      <c r="B526" s="2" t="s">
        <v>265</v>
      </c>
      <c r="C526" s="14" t="n">
        <v>2</v>
      </c>
      <c r="D526" s="14" t="n">
        <v>4</v>
      </c>
      <c r="E526" s="2" t="s">
        <v>558</v>
      </c>
      <c r="F526" s="15" t="n">
        <v>8</v>
      </c>
      <c r="G526" s="15" t="n">
        <v>8</v>
      </c>
      <c r="H526" s="15" t="n">
        <v>8</v>
      </c>
      <c r="I526" s="15" t="n">
        <v>3</v>
      </c>
      <c r="J526" s="15" t="n">
        <v>9</v>
      </c>
      <c r="K526" s="15" t="n">
        <v>8</v>
      </c>
      <c r="L526" s="15" t="n">
        <v>7</v>
      </c>
      <c r="M526" s="4" t="n">
        <f aca="false">ROUND(F526*Rubric!$B$4+G526*Rubric!$B$5+H526*Rubric!$B$6+I526*Rubric!$B$7+J526*Rubric!$B$8+K526*Rubric!$B$9+L526*Rubric!$B$10-IF(OR(H526&lt;Rubric!$B$12,K526&lt;Rubric!$B$12),Rubric!$B$13,0),2)</f>
        <v>7.8</v>
      </c>
      <c r="N526" s="14" t="n">
        <v>1343</v>
      </c>
      <c r="O526" s="2" t="s">
        <v>803</v>
      </c>
    </row>
    <row r="527" customFormat="false" ht="23.85" hidden="false" customHeight="false" outlineLevel="0" collapsed="false">
      <c r="A527" s="2" t="s">
        <v>16</v>
      </c>
      <c r="B527" s="2" t="s">
        <v>265</v>
      </c>
      <c r="C527" s="14" t="n">
        <v>0</v>
      </c>
      <c r="D527" s="14" t="n">
        <v>5</v>
      </c>
      <c r="E527" s="2" t="s">
        <v>361</v>
      </c>
      <c r="F527" s="15" t="n">
        <v>9</v>
      </c>
      <c r="G527" s="15" t="n">
        <v>7</v>
      </c>
      <c r="H527" s="15" t="n">
        <v>8</v>
      </c>
      <c r="I527" s="15" t="n">
        <v>8</v>
      </c>
      <c r="J527" s="15" t="n">
        <v>7</v>
      </c>
      <c r="K527" s="15" t="n">
        <v>8</v>
      </c>
      <c r="L527" s="15" t="n">
        <v>7</v>
      </c>
      <c r="M527" s="4" t="n">
        <f aca="false">ROUND(F527*Rubric!$B$4+G527*Rubric!$B$5+H527*Rubric!$B$6+I527*Rubric!$B$7+J527*Rubric!$B$8+K527*Rubric!$B$9+L527*Rubric!$B$10-IF(OR(H527&lt;Rubric!$B$12,K527&lt;Rubric!$B$12),Rubric!$B$13,0),2)</f>
        <v>7.4</v>
      </c>
      <c r="N527" s="14" t="n">
        <v>1344</v>
      </c>
      <c r="O527" s="2" t="s">
        <v>726</v>
      </c>
    </row>
    <row r="528" customFormat="false" ht="23.85" hidden="false" customHeight="false" outlineLevel="0" collapsed="false">
      <c r="A528" s="2" t="s">
        <v>16</v>
      </c>
      <c r="B528" s="2" t="s">
        <v>265</v>
      </c>
      <c r="C528" s="14" t="n">
        <v>1</v>
      </c>
      <c r="D528" s="14" t="n">
        <v>5</v>
      </c>
      <c r="E528" s="2" t="s">
        <v>542</v>
      </c>
      <c r="F528" s="15" t="n">
        <v>9</v>
      </c>
      <c r="G528" s="15" t="n">
        <v>7</v>
      </c>
      <c r="H528" s="15" t="n">
        <v>8</v>
      </c>
      <c r="I528" s="15" t="n">
        <v>8</v>
      </c>
      <c r="J528" s="15" t="n">
        <v>8</v>
      </c>
      <c r="K528" s="15" t="n">
        <v>8</v>
      </c>
      <c r="L528" s="15" t="n">
        <v>7</v>
      </c>
      <c r="M528" s="4" t="n">
        <f aca="false">ROUND(F528*Rubric!$B$4+G528*Rubric!$B$5+H528*Rubric!$B$6+I528*Rubric!$B$7+J528*Rubric!$B$8+K528*Rubric!$B$9+L528*Rubric!$B$10-IF(OR(H528&lt;Rubric!$B$12,K528&lt;Rubric!$B$12),Rubric!$B$13,0),2)</f>
        <v>7.8</v>
      </c>
      <c r="N528" s="14" t="n">
        <v>1344</v>
      </c>
      <c r="O528" s="2" t="s">
        <v>800</v>
      </c>
    </row>
    <row r="529" customFormat="false" ht="23.85" hidden="false" customHeight="false" outlineLevel="0" collapsed="false">
      <c r="A529" s="2" t="s">
        <v>270</v>
      </c>
      <c r="B529" s="2" t="s">
        <v>271</v>
      </c>
      <c r="C529" s="14" t="n">
        <v>0</v>
      </c>
      <c r="D529" s="14" t="n">
        <v>1</v>
      </c>
      <c r="E529" s="2" t="s">
        <v>372</v>
      </c>
      <c r="F529" s="15" t="n">
        <v>8</v>
      </c>
      <c r="G529" s="15" t="n">
        <v>8</v>
      </c>
      <c r="H529" s="15" t="n">
        <v>8</v>
      </c>
      <c r="I529" s="15" t="n">
        <v>3</v>
      </c>
      <c r="J529" s="15" t="n">
        <v>8</v>
      </c>
      <c r="K529" s="15" t="n">
        <v>8</v>
      </c>
      <c r="L529" s="15" t="n">
        <v>7</v>
      </c>
      <c r="M529" s="4" t="n">
        <f aca="false">ROUND(F529*Rubric!$B$4+G529*Rubric!$B$5+H529*Rubric!$B$6+I529*Rubric!$B$7+J529*Rubric!$B$8+K529*Rubric!$B$9+L529*Rubric!$B$10-IF(OR(H529&lt;Rubric!$B$12,K529&lt;Rubric!$B$12),Rubric!$B$13,0),2)</f>
        <v>7.4</v>
      </c>
      <c r="N529" s="14" t="n">
        <v>1350</v>
      </c>
      <c r="O529" s="2" t="s">
        <v>726</v>
      </c>
    </row>
    <row r="530" customFormat="false" ht="23.85" hidden="false" customHeight="false" outlineLevel="0" collapsed="false">
      <c r="A530" s="2" t="s">
        <v>270</v>
      </c>
      <c r="B530" s="2" t="s">
        <v>271</v>
      </c>
      <c r="C530" s="14" t="n">
        <v>1</v>
      </c>
      <c r="D530" s="14" t="n">
        <v>1</v>
      </c>
      <c r="E530" s="2" t="s">
        <v>484</v>
      </c>
      <c r="F530" s="15" t="n">
        <v>8</v>
      </c>
      <c r="G530" s="15" t="n">
        <v>8</v>
      </c>
      <c r="H530" s="15" t="n">
        <v>8</v>
      </c>
      <c r="I530" s="15" t="n">
        <v>3</v>
      </c>
      <c r="J530" s="15" t="n">
        <v>10</v>
      </c>
      <c r="K530" s="15" t="n">
        <v>8</v>
      </c>
      <c r="L530" s="15" t="n">
        <v>7</v>
      </c>
      <c r="M530" s="4" t="n">
        <f aca="false">ROUND(F530*Rubric!$B$4+G530*Rubric!$B$5+H530*Rubric!$B$6+I530*Rubric!$B$7+J530*Rubric!$B$8+K530*Rubric!$B$9+L530*Rubric!$B$10-IF(OR(H530&lt;Rubric!$B$12,K530&lt;Rubric!$B$12),Rubric!$B$13,0),2)</f>
        <v>8.2</v>
      </c>
      <c r="N530" s="14" t="n">
        <v>1350</v>
      </c>
      <c r="O530" s="2" t="s">
        <v>804</v>
      </c>
    </row>
    <row r="531" customFormat="false" ht="23.85" hidden="false" customHeight="false" outlineLevel="0" collapsed="false">
      <c r="A531" s="2" t="s">
        <v>270</v>
      </c>
      <c r="B531" s="2" t="s">
        <v>271</v>
      </c>
      <c r="C531" s="14" t="n">
        <v>0</v>
      </c>
      <c r="D531" s="14" t="n">
        <v>2</v>
      </c>
      <c r="E531" s="2" t="s">
        <v>374</v>
      </c>
      <c r="F531" s="15" t="n">
        <v>9</v>
      </c>
      <c r="G531" s="15" t="n">
        <v>9</v>
      </c>
      <c r="H531" s="15" t="n">
        <v>8</v>
      </c>
      <c r="I531" s="15" t="n">
        <v>3</v>
      </c>
      <c r="J531" s="15" t="n">
        <v>8</v>
      </c>
      <c r="K531" s="15" t="n">
        <v>9</v>
      </c>
      <c r="L531" s="15" t="n">
        <v>8</v>
      </c>
      <c r="M531" s="4" t="n">
        <f aca="false">ROUND(F531*Rubric!$B$4+G531*Rubric!$B$5+H531*Rubric!$B$6+I531*Rubric!$B$7+J531*Rubric!$B$8+K531*Rubric!$B$9+L531*Rubric!$B$10-IF(OR(H531&lt;Rubric!$B$12,K531&lt;Rubric!$B$12),Rubric!$B$13,0),2)</f>
        <v>7.8</v>
      </c>
      <c r="N531" s="14" t="n">
        <v>1351</v>
      </c>
      <c r="O531" s="2" t="s">
        <v>726</v>
      </c>
    </row>
    <row r="532" customFormat="false" ht="23.85" hidden="false" customHeight="false" outlineLevel="0" collapsed="false">
      <c r="A532" s="2" t="s">
        <v>270</v>
      </c>
      <c r="B532" s="2" t="s">
        <v>271</v>
      </c>
      <c r="C532" s="14" t="n">
        <v>1</v>
      </c>
      <c r="D532" s="14" t="n">
        <v>2</v>
      </c>
      <c r="E532" s="2" t="s">
        <v>374</v>
      </c>
      <c r="F532" s="15" t="n">
        <v>9</v>
      </c>
      <c r="G532" s="15" t="n">
        <v>9</v>
      </c>
      <c r="H532" s="15" t="n">
        <v>8</v>
      </c>
      <c r="I532" s="15" t="n">
        <v>3</v>
      </c>
      <c r="J532" s="15" t="n">
        <v>9</v>
      </c>
      <c r="K532" s="15" t="n">
        <v>9</v>
      </c>
      <c r="L532" s="15" t="n">
        <v>8</v>
      </c>
      <c r="M532" s="4" t="n">
        <f aca="false">ROUND(F532*Rubric!$B$4+G532*Rubric!$B$5+H532*Rubric!$B$6+I532*Rubric!$B$7+J532*Rubric!$B$8+K532*Rubric!$B$9+L532*Rubric!$B$10-IF(OR(H532&lt;Rubric!$B$12,K532&lt;Rubric!$B$12),Rubric!$B$13,0),2)</f>
        <v>8.2</v>
      </c>
      <c r="N532" s="14" t="n">
        <v>1351</v>
      </c>
      <c r="O532" s="2" t="s">
        <v>804</v>
      </c>
    </row>
    <row r="533" customFormat="false" ht="23.85" hidden="false" customHeight="false" outlineLevel="0" collapsed="false">
      <c r="A533" s="2" t="s">
        <v>270</v>
      </c>
      <c r="B533" s="2" t="s">
        <v>271</v>
      </c>
      <c r="C533" s="14" t="n">
        <v>0</v>
      </c>
      <c r="D533" s="14" t="n">
        <v>3</v>
      </c>
      <c r="E533" s="2" t="s">
        <v>373</v>
      </c>
      <c r="F533" s="15" t="n">
        <v>8</v>
      </c>
      <c r="G533" s="15" t="n">
        <v>9</v>
      </c>
      <c r="H533" s="15" t="n">
        <v>7</v>
      </c>
      <c r="I533" s="15" t="n">
        <v>3</v>
      </c>
      <c r="J533" s="15" t="n">
        <v>8</v>
      </c>
      <c r="K533" s="15" t="n">
        <v>8</v>
      </c>
      <c r="L533" s="15" t="n">
        <v>8</v>
      </c>
      <c r="M533" s="4" t="n">
        <f aca="false">ROUND(F533*Rubric!$B$4+G533*Rubric!$B$5+H533*Rubric!$B$6+I533*Rubric!$B$7+J533*Rubric!$B$8+K533*Rubric!$B$9+L533*Rubric!$B$10-IF(OR(H533&lt;Rubric!$B$12,K533&lt;Rubric!$B$12),Rubric!$B$13,0),2)</f>
        <v>7.55</v>
      </c>
      <c r="N533" s="14" t="n">
        <v>1352</v>
      </c>
      <c r="O533" s="2" t="s">
        <v>726</v>
      </c>
    </row>
    <row r="534" customFormat="false" ht="23.85" hidden="false" customHeight="false" outlineLevel="0" collapsed="false">
      <c r="A534" s="2" t="s">
        <v>270</v>
      </c>
      <c r="B534" s="2" t="s">
        <v>271</v>
      </c>
      <c r="C534" s="14" t="n">
        <v>1</v>
      </c>
      <c r="D534" s="14" t="n">
        <v>3</v>
      </c>
      <c r="E534" s="2" t="s">
        <v>559</v>
      </c>
      <c r="F534" s="15" t="n">
        <v>8</v>
      </c>
      <c r="G534" s="15" t="n">
        <v>8</v>
      </c>
      <c r="H534" s="15" t="n">
        <v>8</v>
      </c>
      <c r="I534" s="15" t="n">
        <v>4</v>
      </c>
      <c r="J534" s="15" t="n">
        <v>9</v>
      </c>
      <c r="K534" s="15" t="n">
        <v>8</v>
      </c>
      <c r="L534" s="15" t="n">
        <v>7</v>
      </c>
      <c r="M534" s="4" t="n">
        <f aca="false">ROUND(F534*Rubric!$B$4+G534*Rubric!$B$5+H534*Rubric!$B$6+I534*Rubric!$B$7+J534*Rubric!$B$8+K534*Rubric!$B$9+L534*Rubric!$B$10-IF(OR(H534&lt;Rubric!$B$12,K534&lt;Rubric!$B$12),Rubric!$B$13,0),2)</f>
        <v>7.9</v>
      </c>
      <c r="N534" s="14" t="n">
        <v>1352</v>
      </c>
      <c r="O534" s="2" t="s">
        <v>804</v>
      </c>
    </row>
    <row r="535" customFormat="false" ht="23.85" hidden="false" customHeight="false" outlineLevel="0" collapsed="false">
      <c r="A535" s="2" t="s">
        <v>270</v>
      </c>
      <c r="B535" s="2" t="s">
        <v>271</v>
      </c>
      <c r="C535" s="14" t="n">
        <v>0</v>
      </c>
      <c r="D535" s="14" t="n">
        <v>4</v>
      </c>
      <c r="E535" s="2" t="s">
        <v>377</v>
      </c>
      <c r="F535" s="15" t="n">
        <v>9</v>
      </c>
      <c r="G535" s="15" t="n">
        <v>8</v>
      </c>
      <c r="H535" s="15" t="n">
        <v>8</v>
      </c>
      <c r="I535" s="15" t="n">
        <v>3</v>
      </c>
      <c r="J535" s="15" t="n">
        <v>7</v>
      </c>
      <c r="K535" s="15" t="n">
        <v>8</v>
      </c>
      <c r="L535" s="15" t="n">
        <v>7</v>
      </c>
      <c r="M535" s="4" t="n">
        <f aca="false">ROUND(F535*Rubric!$B$4+G535*Rubric!$B$5+H535*Rubric!$B$6+I535*Rubric!$B$7+J535*Rubric!$B$8+K535*Rubric!$B$9+L535*Rubric!$B$10-IF(OR(H535&lt;Rubric!$B$12,K535&lt;Rubric!$B$12),Rubric!$B$13,0),2)</f>
        <v>7.05</v>
      </c>
      <c r="N535" s="14" t="n">
        <v>1353</v>
      </c>
      <c r="O535" s="2" t="s">
        <v>726</v>
      </c>
    </row>
    <row r="536" customFormat="false" ht="23.85" hidden="false" customHeight="false" outlineLevel="0" collapsed="false">
      <c r="A536" s="2" t="s">
        <v>270</v>
      </c>
      <c r="B536" s="2" t="s">
        <v>271</v>
      </c>
      <c r="C536" s="14" t="n">
        <v>1</v>
      </c>
      <c r="D536" s="14" t="n">
        <v>4</v>
      </c>
      <c r="E536" s="2" t="s">
        <v>373</v>
      </c>
      <c r="F536" s="15" t="n">
        <v>7</v>
      </c>
      <c r="G536" s="15" t="n">
        <v>9</v>
      </c>
      <c r="H536" s="15" t="n">
        <v>7</v>
      </c>
      <c r="I536" s="15" t="n">
        <v>3</v>
      </c>
      <c r="J536" s="15" t="n">
        <v>8</v>
      </c>
      <c r="K536" s="15" t="n">
        <v>8</v>
      </c>
      <c r="L536" s="15" t="n">
        <v>8</v>
      </c>
      <c r="M536" s="4" t="n">
        <f aca="false">ROUND(F536*Rubric!$B$4+G536*Rubric!$B$5+H536*Rubric!$B$6+I536*Rubric!$B$7+J536*Rubric!$B$8+K536*Rubric!$B$9+L536*Rubric!$B$10-IF(OR(H536&lt;Rubric!$B$12,K536&lt;Rubric!$B$12),Rubric!$B$13,0),2)</f>
        <v>7.5</v>
      </c>
      <c r="N536" s="14" t="n">
        <v>1353</v>
      </c>
      <c r="O536" s="2" t="s">
        <v>804</v>
      </c>
    </row>
    <row r="537" customFormat="false" ht="23.85" hidden="false" customHeight="false" outlineLevel="0" collapsed="false">
      <c r="A537" s="2" t="s">
        <v>270</v>
      </c>
      <c r="B537" s="2" t="s">
        <v>271</v>
      </c>
      <c r="C537" s="14" t="n">
        <v>3</v>
      </c>
      <c r="D537" s="14" t="n">
        <v>4</v>
      </c>
      <c r="E537" s="2" t="s">
        <v>560</v>
      </c>
      <c r="F537" s="15" t="n">
        <v>6</v>
      </c>
      <c r="G537" s="15" t="n">
        <v>9</v>
      </c>
      <c r="H537" s="15" t="n">
        <v>7</v>
      </c>
      <c r="I537" s="15" t="n">
        <v>3</v>
      </c>
      <c r="J537" s="15" t="n">
        <v>8</v>
      </c>
      <c r="K537" s="15" t="n">
        <v>8</v>
      </c>
      <c r="L537" s="15" t="n">
        <v>8</v>
      </c>
      <c r="M537" s="4" t="n">
        <f aca="false">ROUND(F537*Rubric!$B$4+G537*Rubric!$B$5+H537*Rubric!$B$6+I537*Rubric!$B$7+J537*Rubric!$B$8+K537*Rubric!$B$9+L537*Rubric!$B$10-IF(OR(H537&lt;Rubric!$B$12,K537&lt;Rubric!$B$12),Rubric!$B$13,0),2)</f>
        <v>7.45</v>
      </c>
      <c r="N537" s="14" t="n">
        <v>1353</v>
      </c>
      <c r="O537" s="2" t="s">
        <v>805</v>
      </c>
    </row>
    <row r="538" customFormat="false" ht="23.85" hidden="false" customHeight="false" outlineLevel="0" collapsed="false">
      <c r="A538" s="2" t="s">
        <v>270</v>
      </c>
      <c r="B538" s="2" t="s">
        <v>271</v>
      </c>
      <c r="C538" s="14" t="n">
        <v>0</v>
      </c>
      <c r="D538" s="14" t="n">
        <v>5</v>
      </c>
      <c r="E538" s="2" t="s">
        <v>376</v>
      </c>
      <c r="F538" s="15" t="n">
        <v>8</v>
      </c>
      <c r="G538" s="15" t="n">
        <v>8</v>
      </c>
      <c r="H538" s="15" t="n">
        <v>7</v>
      </c>
      <c r="I538" s="15" t="n">
        <v>9</v>
      </c>
      <c r="J538" s="15" t="n">
        <v>7</v>
      </c>
      <c r="K538" s="15" t="n">
        <v>8</v>
      </c>
      <c r="L538" s="15" t="n">
        <v>9</v>
      </c>
      <c r="M538" s="4" t="n">
        <f aca="false">ROUND(F538*Rubric!$B$4+G538*Rubric!$B$5+H538*Rubric!$B$6+I538*Rubric!$B$7+J538*Rubric!$B$8+K538*Rubric!$B$9+L538*Rubric!$B$10-IF(OR(H538&lt;Rubric!$B$12,K538&lt;Rubric!$B$12),Rubric!$B$13,0),2)</f>
        <v>7.7</v>
      </c>
      <c r="N538" s="14" t="n">
        <v>1354</v>
      </c>
      <c r="O538" s="2" t="s">
        <v>726</v>
      </c>
    </row>
    <row r="539" customFormat="false" ht="23.85" hidden="false" customHeight="false" outlineLevel="0" collapsed="false">
      <c r="A539" s="2" t="s">
        <v>270</v>
      </c>
      <c r="B539" s="2" t="s">
        <v>271</v>
      </c>
      <c r="C539" s="14" t="n">
        <v>1</v>
      </c>
      <c r="D539" s="14" t="n">
        <v>5</v>
      </c>
      <c r="E539" s="2" t="s">
        <v>542</v>
      </c>
      <c r="F539" s="15" t="n">
        <v>9</v>
      </c>
      <c r="G539" s="15" t="n">
        <v>7</v>
      </c>
      <c r="H539" s="15" t="n">
        <v>8</v>
      </c>
      <c r="I539" s="15" t="n">
        <v>8</v>
      </c>
      <c r="J539" s="15" t="n">
        <v>8</v>
      </c>
      <c r="K539" s="15" t="n">
        <v>8</v>
      </c>
      <c r="L539" s="15" t="n">
        <v>7</v>
      </c>
      <c r="M539" s="4" t="n">
        <f aca="false">ROUND(F539*Rubric!$B$4+G539*Rubric!$B$5+H539*Rubric!$B$6+I539*Rubric!$B$7+J539*Rubric!$B$8+K539*Rubric!$B$9+L539*Rubric!$B$10-IF(OR(H539&lt;Rubric!$B$12,K539&lt;Rubric!$B$12),Rubric!$B$13,0),2)</f>
        <v>7.8</v>
      </c>
      <c r="N539" s="14" t="n">
        <v>1354</v>
      </c>
      <c r="O539" s="2" t="s">
        <v>804</v>
      </c>
    </row>
    <row r="540" customFormat="false" ht="23.85" hidden="false" customHeight="false" outlineLevel="0" collapsed="false">
      <c r="A540" s="2" t="s">
        <v>270</v>
      </c>
      <c r="B540" s="2" t="s">
        <v>275</v>
      </c>
      <c r="C540" s="14" t="n">
        <v>0</v>
      </c>
      <c r="D540" s="14" t="n">
        <v>1</v>
      </c>
      <c r="E540" s="2" t="s">
        <v>386</v>
      </c>
      <c r="F540" s="15" t="n">
        <v>9</v>
      </c>
      <c r="G540" s="15" t="n">
        <v>8</v>
      </c>
      <c r="H540" s="15" t="n">
        <v>8</v>
      </c>
      <c r="I540" s="15" t="n">
        <v>3</v>
      </c>
      <c r="J540" s="15" t="n">
        <v>8</v>
      </c>
      <c r="K540" s="15" t="n">
        <v>8</v>
      </c>
      <c r="L540" s="15" t="n">
        <v>7</v>
      </c>
      <c r="M540" s="4" t="n">
        <f aca="false">ROUND(F540*Rubric!$B$4+G540*Rubric!$B$5+H540*Rubric!$B$6+I540*Rubric!$B$7+J540*Rubric!$B$8+K540*Rubric!$B$9+L540*Rubric!$B$10-IF(OR(H540&lt;Rubric!$B$12,K540&lt;Rubric!$B$12),Rubric!$B$13,0),2)</f>
        <v>7.45</v>
      </c>
      <c r="N540" s="14" t="n">
        <v>1360</v>
      </c>
      <c r="O540" s="2" t="s">
        <v>726</v>
      </c>
    </row>
    <row r="541" customFormat="false" ht="23.85" hidden="false" customHeight="false" outlineLevel="0" collapsed="false">
      <c r="A541" s="2" t="s">
        <v>270</v>
      </c>
      <c r="B541" s="2" t="s">
        <v>275</v>
      </c>
      <c r="C541" s="14" t="n">
        <v>1</v>
      </c>
      <c r="D541" s="14" t="n">
        <v>1</v>
      </c>
      <c r="E541" s="2" t="s">
        <v>488</v>
      </c>
      <c r="F541" s="15" t="n">
        <v>9</v>
      </c>
      <c r="G541" s="15" t="n">
        <v>8</v>
      </c>
      <c r="H541" s="15" t="n">
        <v>8</v>
      </c>
      <c r="I541" s="15" t="n">
        <v>3</v>
      </c>
      <c r="J541" s="15" t="n">
        <v>10</v>
      </c>
      <c r="K541" s="15" t="n">
        <v>8</v>
      </c>
      <c r="L541" s="15" t="n">
        <v>7</v>
      </c>
      <c r="M541" s="4" t="n">
        <f aca="false">ROUND(F541*Rubric!$B$4+G541*Rubric!$B$5+H541*Rubric!$B$6+I541*Rubric!$B$7+J541*Rubric!$B$8+K541*Rubric!$B$9+L541*Rubric!$B$10-IF(OR(H541&lt;Rubric!$B$12,K541&lt;Rubric!$B$12),Rubric!$B$13,0),2)</f>
        <v>8.25</v>
      </c>
      <c r="N541" s="14" t="n">
        <v>1360</v>
      </c>
      <c r="O541" s="2" t="s">
        <v>806</v>
      </c>
    </row>
    <row r="542" customFormat="false" ht="23.85" hidden="false" customHeight="false" outlineLevel="0" collapsed="false">
      <c r="A542" s="2" t="s">
        <v>270</v>
      </c>
      <c r="B542" s="2" t="s">
        <v>275</v>
      </c>
      <c r="C542" s="14" t="n">
        <v>0</v>
      </c>
      <c r="D542" s="14" t="n">
        <v>2</v>
      </c>
      <c r="E542" s="2" t="s">
        <v>360</v>
      </c>
      <c r="F542" s="15" t="n">
        <v>9</v>
      </c>
      <c r="G542" s="15" t="n">
        <v>8</v>
      </c>
      <c r="H542" s="15" t="n">
        <v>8</v>
      </c>
      <c r="I542" s="15" t="n">
        <v>3</v>
      </c>
      <c r="J542" s="15" t="n">
        <v>9</v>
      </c>
      <c r="K542" s="15" t="n">
        <v>8</v>
      </c>
      <c r="L542" s="15" t="n">
        <v>7</v>
      </c>
      <c r="M542" s="4" t="n">
        <f aca="false">ROUND(F542*Rubric!$B$4+G542*Rubric!$B$5+H542*Rubric!$B$6+I542*Rubric!$B$7+J542*Rubric!$B$8+K542*Rubric!$B$9+L542*Rubric!$B$10-IF(OR(H542&lt;Rubric!$B$12,K542&lt;Rubric!$B$12),Rubric!$B$13,0),2)</f>
        <v>7.85</v>
      </c>
      <c r="N542" s="14" t="n">
        <v>1361</v>
      </c>
      <c r="O542" s="2" t="s">
        <v>726</v>
      </c>
    </row>
    <row r="543" customFormat="false" ht="23.85" hidden="false" customHeight="false" outlineLevel="0" collapsed="false">
      <c r="A543" s="2" t="s">
        <v>270</v>
      </c>
      <c r="B543" s="2" t="s">
        <v>275</v>
      </c>
      <c r="C543" s="14" t="n">
        <v>1</v>
      </c>
      <c r="D543" s="14" t="n">
        <v>2</v>
      </c>
      <c r="E543" s="2" t="s">
        <v>489</v>
      </c>
      <c r="F543" s="15" t="n">
        <v>7</v>
      </c>
      <c r="G543" s="15" t="n">
        <v>8</v>
      </c>
      <c r="H543" s="15" t="n">
        <v>8</v>
      </c>
      <c r="I543" s="15" t="n">
        <v>3</v>
      </c>
      <c r="J543" s="15" t="n">
        <v>10</v>
      </c>
      <c r="K543" s="15" t="n">
        <v>8</v>
      </c>
      <c r="L543" s="15" t="n">
        <v>7</v>
      </c>
      <c r="M543" s="4" t="n">
        <f aca="false">ROUND(F543*Rubric!$B$4+G543*Rubric!$B$5+H543*Rubric!$B$6+I543*Rubric!$B$7+J543*Rubric!$B$8+K543*Rubric!$B$9+L543*Rubric!$B$10-IF(OR(H543&lt;Rubric!$B$12,K543&lt;Rubric!$B$12),Rubric!$B$13,0),2)</f>
        <v>8.15</v>
      </c>
      <c r="N543" s="14" t="n">
        <v>1361</v>
      </c>
      <c r="O543" s="2" t="s">
        <v>806</v>
      </c>
    </row>
    <row r="544" customFormat="false" ht="23.85" hidden="false" customHeight="false" outlineLevel="0" collapsed="false">
      <c r="A544" s="2" t="s">
        <v>270</v>
      </c>
      <c r="B544" s="2" t="s">
        <v>275</v>
      </c>
      <c r="C544" s="14" t="n">
        <v>0</v>
      </c>
      <c r="D544" s="14" t="n">
        <v>3</v>
      </c>
      <c r="E544" s="2" t="s">
        <v>389</v>
      </c>
      <c r="F544" s="15" t="n">
        <v>9</v>
      </c>
      <c r="G544" s="15" t="n">
        <v>8</v>
      </c>
      <c r="H544" s="15" t="n">
        <v>8</v>
      </c>
      <c r="I544" s="15" t="n">
        <v>3</v>
      </c>
      <c r="J544" s="15" t="n">
        <v>9</v>
      </c>
      <c r="K544" s="15" t="n">
        <v>8</v>
      </c>
      <c r="L544" s="15" t="n">
        <v>8</v>
      </c>
      <c r="M544" s="4" t="n">
        <f aca="false">ROUND(F544*Rubric!$B$4+G544*Rubric!$B$5+H544*Rubric!$B$6+I544*Rubric!$B$7+J544*Rubric!$B$8+K544*Rubric!$B$9+L544*Rubric!$B$10-IF(OR(H544&lt;Rubric!$B$12,K544&lt;Rubric!$B$12),Rubric!$B$13,0),2)</f>
        <v>7.95</v>
      </c>
      <c r="N544" s="14" t="n">
        <v>1362</v>
      </c>
      <c r="O544" s="2" t="s">
        <v>726</v>
      </c>
    </row>
    <row r="545" customFormat="false" ht="23.85" hidden="false" customHeight="false" outlineLevel="0" collapsed="false">
      <c r="A545" s="2" t="s">
        <v>270</v>
      </c>
      <c r="B545" s="2" t="s">
        <v>275</v>
      </c>
      <c r="C545" s="14" t="n">
        <v>1</v>
      </c>
      <c r="D545" s="14" t="n">
        <v>3</v>
      </c>
      <c r="E545" s="2" t="s">
        <v>561</v>
      </c>
      <c r="F545" s="15" t="n">
        <v>8</v>
      </c>
      <c r="G545" s="15" t="n">
        <v>9</v>
      </c>
      <c r="H545" s="15" t="n">
        <v>8</v>
      </c>
      <c r="I545" s="15" t="n">
        <v>3</v>
      </c>
      <c r="J545" s="15" t="n">
        <v>10</v>
      </c>
      <c r="K545" s="15" t="n">
        <v>8</v>
      </c>
      <c r="L545" s="15" t="n">
        <v>8</v>
      </c>
      <c r="M545" s="4" t="n">
        <f aca="false">ROUND(F545*Rubric!$B$4+G545*Rubric!$B$5+H545*Rubric!$B$6+I545*Rubric!$B$7+J545*Rubric!$B$8+K545*Rubric!$B$9+L545*Rubric!$B$10-IF(OR(H545&lt;Rubric!$B$12,K545&lt;Rubric!$B$12),Rubric!$B$13,0),2)</f>
        <v>8.45</v>
      </c>
      <c r="N545" s="14" t="n">
        <v>1362</v>
      </c>
      <c r="O545" s="2" t="s">
        <v>806</v>
      </c>
    </row>
    <row r="546" customFormat="false" ht="23.85" hidden="false" customHeight="false" outlineLevel="0" collapsed="false">
      <c r="A546" s="2" t="s">
        <v>270</v>
      </c>
      <c r="B546" s="2" t="s">
        <v>275</v>
      </c>
      <c r="C546" s="14" t="n">
        <v>0</v>
      </c>
      <c r="D546" s="14" t="n">
        <v>4</v>
      </c>
      <c r="E546" s="2" t="s">
        <v>368</v>
      </c>
      <c r="F546" s="15" t="n">
        <v>8</v>
      </c>
      <c r="G546" s="15" t="n">
        <v>8</v>
      </c>
      <c r="H546" s="15" t="n">
        <v>8</v>
      </c>
      <c r="I546" s="15" t="n">
        <v>3</v>
      </c>
      <c r="J546" s="15" t="n">
        <v>7</v>
      </c>
      <c r="K546" s="15" t="n">
        <v>8</v>
      </c>
      <c r="L546" s="15" t="n">
        <v>7</v>
      </c>
      <c r="M546" s="4" t="n">
        <f aca="false">ROUND(F546*Rubric!$B$4+G546*Rubric!$B$5+H546*Rubric!$B$6+I546*Rubric!$B$7+J546*Rubric!$B$8+K546*Rubric!$B$9+L546*Rubric!$B$10-IF(OR(H546&lt;Rubric!$B$12,K546&lt;Rubric!$B$12),Rubric!$B$13,0),2)</f>
        <v>7</v>
      </c>
      <c r="N546" s="14" t="n">
        <v>1363</v>
      </c>
      <c r="O546" s="2" t="s">
        <v>726</v>
      </c>
    </row>
    <row r="547" customFormat="false" ht="23.85" hidden="false" customHeight="false" outlineLevel="0" collapsed="false">
      <c r="A547" s="2" t="s">
        <v>270</v>
      </c>
      <c r="B547" s="2" t="s">
        <v>275</v>
      </c>
      <c r="C547" s="14" t="n">
        <v>1</v>
      </c>
      <c r="D547" s="14" t="n">
        <v>4</v>
      </c>
      <c r="E547" s="2" t="s">
        <v>491</v>
      </c>
      <c r="F547" s="15" t="n">
        <v>9</v>
      </c>
      <c r="G547" s="15" t="n">
        <v>8</v>
      </c>
      <c r="H547" s="15" t="n">
        <v>8</v>
      </c>
      <c r="I547" s="15" t="n">
        <v>3</v>
      </c>
      <c r="J547" s="15" t="n">
        <v>9</v>
      </c>
      <c r="K547" s="15" t="n">
        <v>8</v>
      </c>
      <c r="L547" s="15" t="n">
        <v>7</v>
      </c>
      <c r="M547" s="4" t="n">
        <f aca="false">ROUND(F547*Rubric!$B$4+G547*Rubric!$B$5+H547*Rubric!$B$6+I547*Rubric!$B$7+J547*Rubric!$B$8+K547*Rubric!$B$9+L547*Rubric!$B$10-IF(OR(H547&lt;Rubric!$B$12,K547&lt;Rubric!$B$12),Rubric!$B$13,0),2)</f>
        <v>7.85</v>
      </c>
      <c r="N547" s="14" t="n">
        <v>1363</v>
      </c>
      <c r="O547" s="2" t="s">
        <v>806</v>
      </c>
    </row>
    <row r="548" customFormat="false" ht="23.85" hidden="false" customHeight="false" outlineLevel="0" collapsed="false">
      <c r="A548" s="2" t="s">
        <v>270</v>
      </c>
      <c r="B548" s="2" t="s">
        <v>275</v>
      </c>
      <c r="C548" s="14" t="n">
        <v>0</v>
      </c>
      <c r="D548" s="14" t="n">
        <v>5</v>
      </c>
      <c r="E548" s="2" t="s">
        <v>359</v>
      </c>
      <c r="F548" s="15" t="n">
        <v>9</v>
      </c>
      <c r="G548" s="15" t="n">
        <v>8</v>
      </c>
      <c r="H548" s="15" t="n">
        <v>8</v>
      </c>
      <c r="I548" s="15" t="n">
        <v>4</v>
      </c>
      <c r="J548" s="15" t="n">
        <v>8</v>
      </c>
      <c r="K548" s="15" t="n">
        <v>8</v>
      </c>
      <c r="L548" s="15" t="n">
        <v>7</v>
      </c>
      <c r="M548" s="4" t="n">
        <f aca="false">ROUND(F548*Rubric!$B$4+G548*Rubric!$B$5+H548*Rubric!$B$6+I548*Rubric!$B$7+J548*Rubric!$B$8+K548*Rubric!$B$9+L548*Rubric!$B$10-IF(OR(H548&lt;Rubric!$B$12,K548&lt;Rubric!$B$12),Rubric!$B$13,0),2)</f>
        <v>7.55</v>
      </c>
      <c r="N548" s="14" t="n">
        <v>1364</v>
      </c>
      <c r="O548" s="2" t="s">
        <v>726</v>
      </c>
    </row>
    <row r="549" customFormat="false" ht="23.85" hidden="false" customHeight="false" outlineLevel="0" collapsed="false">
      <c r="A549" s="2" t="s">
        <v>270</v>
      </c>
      <c r="B549" s="2" t="s">
        <v>275</v>
      </c>
      <c r="C549" s="14" t="n">
        <v>1</v>
      </c>
      <c r="D549" s="14" t="n">
        <v>5</v>
      </c>
      <c r="E549" s="2" t="s">
        <v>359</v>
      </c>
      <c r="F549" s="15" t="n">
        <v>8</v>
      </c>
      <c r="G549" s="15" t="n">
        <v>8</v>
      </c>
      <c r="H549" s="15" t="n">
        <v>8</v>
      </c>
      <c r="I549" s="15" t="n">
        <v>4</v>
      </c>
      <c r="J549" s="15" t="n">
        <v>9</v>
      </c>
      <c r="K549" s="15" t="n">
        <v>8</v>
      </c>
      <c r="L549" s="15" t="n">
        <v>7</v>
      </c>
      <c r="M549" s="4" t="n">
        <f aca="false">ROUND(F549*Rubric!$B$4+G549*Rubric!$B$5+H549*Rubric!$B$6+I549*Rubric!$B$7+J549*Rubric!$B$8+K549*Rubric!$B$9+L549*Rubric!$B$10-IF(OR(H549&lt;Rubric!$B$12,K549&lt;Rubric!$B$12),Rubric!$B$13,0),2)</f>
        <v>7.9</v>
      </c>
      <c r="N549" s="14" t="n">
        <v>1364</v>
      </c>
      <c r="O549" s="2" t="s">
        <v>806</v>
      </c>
    </row>
    <row r="550" customFormat="false" ht="23.85" hidden="false" customHeight="false" outlineLevel="0" collapsed="false">
      <c r="A550" s="2" t="s">
        <v>270</v>
      </c>
      <c r="B550" s="2" t="s">
        <v>280</v>
      </c>
      <c r="C550" s="14" t="n">
        <v>0</v>
      </c>
      <c r="D550" s="14" t="n">
        <v>1</v>
      </c>
      <c r="E550" s="2" t="s">
        <v>422</v>
      </c>
      <c r="F550" s="15" t="n">
        <v>8</v>
      </c>
      <c r="G550" s="15" t="n">
        <v>9</v>
      </c>
      <c r="H550" s="15" t="n">
        <v>7</v>
      </c>
      <c r="I550" s="15" t="n">
        <v>3</v>
      </c>
      <c r="J550" s="15" t="n">
        <v>7</v>
      </c>
      <c r="K550" s="15" t="n">
        <v>8</v>
      </c>
      <c r="L550" s="15" t="n">
        <v>8</v>
      </c>
      <c r="M550" s="4" t="n">
        <f aca="false">ROUND(F550*Rubric!$B$4+G550*Rubric!$B$5+H550*Rubric!$B$6+I550*Rubric!$B$7+J550*Rubric!$B$8+K550*Rubric!$B$9+L550*Rubric!$B$10-IF(OR(H550&lt;Rubric!$B$12,K550&lt;Rubric!$B$12),Rubric!$B$13,0),2)</f>
        <v>7.15</v>
      </c>
      <c r="N550" s="14" t="n">
        <v>1370</v>
      </c>
      <c r="O550" s="2" t="s">
        <v>726</v>
      </c>
    </row>
    <row r="551" customFormat="false" ht="23.85" hidden="false" customHeight="false" outlineLevel="0" collapsed="false">
      <c r="A551" s="2" t="s">
        <v>270</v>
      </c>
      <c r="B551" s="2" t="s">
        <v>280</v>
      </c>
      <c r="C551" s="14" t="n">
        <v>1</v>
      </c>
      <c r="D551" s="14" t="n">
        <v>1</v>
      </c>
      <c r="E551" s="2" t="s">
        <v>449</v>
      </c>
      <c r="F551" s="15" t="n">
        <v>9</v>
      </c>
      <c r="G551" s="15" t="n">
        <v>9</v>
      </c>
      <c r="H551" s="15" t="n">
        <v>8</v>
      </c>
      <c r="I551" s="15" t="n">
        <v>4</v>
      </c>
      <c r="J551" s="15" t="n">
        <v>10</v>
      </c>
      <c r="K551" s="15" t="n">
        <v>8</v>
      </c>
      <c r="L551" s="15" t="n">
        <v>8</v>
      </c>
      <c r="M551" s="4" t="n">
        <f aca="false">ROUND(F551*Rubric!$B$4+G551*Rubric!$B$5+H551*Rubric!$B$6+I551*Rubric!$B$7+J551*Rubric!$B$8+K551*Rubric!$B$9+L551*Rubric!$B$10-IF(OR(H551&lt;Rubric!$B$12,K551&lt;Rubric!$B$12),Rubric!$B$13,0),2)</f>
        <v>8.6</v>
      </c>
      <c r="N551" s="14" t="n">
        <v>1370</v>
      </c>
      <c r="O551" s="2" t="s">
        <v>807</v>
      </c>
    </row>
    <row r="552" customFormat="false" ht="15" hidden="false" customHeight="false" outlineLevel="0" collapsed="false">
      <c r="A552" s="2" t="s">
        <v>270</v>
      </c>
      <c r="B552" s="2" t="s">
        <v>280</v>
      </c>
      <c r="C552" s="14" t="n">
        <v>0</v>
      </c>
      <c r="D552" s="14" t="n">
        <v>2</v>
      </c>
      <c r="E552" s="2" t="s">
        <v>424</v>
      </c>
      <c r="F552" s="15" t="n">
        <v>9</v>
      </c>
      <c r="G552" s="15" t="n">
        <v>9</v>
      </c>
      <c r="H552" s="15" t="n">
        <v>7</v>
      </c>
      <c r="I552" s="15" t="n">
        <v>3</v>
      </c>
      <c r="J552" s="15" t="n">
        <v>7</v>
      </c>
      <c r="K552" s="15" t="n">
        <v>8</v>
      </c>
      <c r="L552" s="15" t="n">
        <v>8</v>
      </c>
      <c r="M552" s="4" t="n">
        <f aca="false">ROUND(F552*Rubric!$B$4+G552*Rubric!$B$5+H552*Rubric!$B$6+I552*Rubric!$B$7+J552*Rubric!$B$8+K552*Rubric!$B$9+L552*Rubric!$B$10-IF(OR(H552&lt;Rubric!$B$12,K552&lt;Rubric!$B$12),Rubric!$B$13,0),2)</f>
        <v>7.2</v>
      </c>
      <c r="N552" s="14" t="n">
        <v>1371</v>
      </c>
      <c r="O552" s="2" t="s">
        <v>726</v>
      </c>
    </row>
    <row r="553" customFormat="false" ht="23.85" hidden="false" customHeight="false" outlineLevel="0" collapsed="false">
      <c r="A553" s="2" t="s">
        <v>270</v>
      </c>
      <c r="B553" s="2" t="s">
        <v>280</v>
      </c>
      <c r="C553" s="14" t="n">
        <v>1</v>
      </c>
      <c r="D553" s="14" t="n">
        <v>2</v>
      </c>
      <c r="E553" s="2" t="s">
        <v>562</v>
      </c>
      <c r="F553" s="15" t="n">
        <v>9</v>
      </c>
      <c r="G553" s="15" t="n">
        <v>8</v>
      </c>
      <c r="H553" s="15" t="n">
        <v>8</v>
      </c>
      <c r="I553" s="15" t="n">
        <v>3</v>
      </c>
      <c r="J553" s="15" t="n">
        <v>9</v>
      </c>
      <c r="K553" s="15" t="n">
        <v>8</v>
      </c>
      <c r="L553" s="15" t="n">
        <v>7</v>
      </c>
      <c r="M553" s="4" t="n">
        <f aca="false">ROUND(F553*Rubric!$B$4+G553*Rubric!$B$5+H553*Rubric!$B$6+I553*Rubric!$B$7+J553*Rubric!$B$8+K553*Rubric!$B$9+L553*Rubric!$B$10-IF(OR(H553&lt;Rubric!$B$12,K553&lt;Rubric!$B$12),Rubric!$B$13,0),2)</f>
        <v>7.85</v>
      </c>
      <c r="N553" s="14" t="n">
        <v>1371</v>
      </c>
      <c r="O553" s="2" t="s">
        <v>807</v>
      </c>
    </row>
    <row r="554" customFormat="false" ht="23.85" hidden="false" customHeight="false" outlineLevel="0" collapsed="false">
      <c r="A554" s="2" t="s">
        <v>270</v>
      </c>
      <c r="B554" s="2" t="s">
        <v>280</v>
      </c>
      <c r="C554" s="14" t="n">
        <v>0</v>
      </c>
      <c r="D554" s="14" t="n">
        <v>3</v>
      </c>
      <c r="E554" s="2" t="s">
        <v>380</v>
      </c>
      <c r="F554" s="15" t="n">
        <v>8</v>
      </c>
      <c r="G554" s="15" t="n">
        <v>8</v>
      </c>
      <c r="H554" s="15" t="n">
        <v>8</v>
      </c>
      <c r="I554" s="15" t="n">
        <v>3</v>
      </c>
      <c r="J554" s="15" t="n">
        <v>7</v>
      </c>
      <c r="K554" s="15" t="n">
        <v>8</v>
      </c>
      <c r="L554" s="15" t="n">
        <v>7</v>
      </c>
      <c r="M554" s="4" t="n">
        <f aca="false">ROUND(F554*Rubric!$B$4+G554*Rubric!$B$5+H554*Rubric!$B$6+I554*Rubric!$B$7+J554*Rubric!$B$8+K554*Rubric!$B$9+L554*Rubric!$B$10-IF(OR(H554&lt;Rubric!$B$12,K554&lt;Rubric!$B$12),Rubric!$B$13,0),2)</f>
        <v>7</v>
      </c>
      <c r="N554" s="14" t="n">
        <v>1372</v>
      </c>
      <c r="O554" s="2" t="s">
        <v>726</v>
      </c>
    </row>
    <row r="555" customFormat="false" ht="23.85" hidden="false" customHeight="false" outlineLevel="0" collapsed="false">
      <c r="A555" s="2" t="s">
        <v>270</v>
      </c>
      <c r="B555" s="2" t="s">
        <v>280</v>
      </c>
      <c r="C555" s="14" t="n">
        <v>1</v>
      </c>
      <c r="D555" s="14" t="n">
        <v>3</v>
      </c>
      <c r="E555" s="2" t="s">
        <v>563</v>
      </c>
      <c r="F555" s="15" t="n">
        <v>8</v>
      </c>
      <c r="G555" s="15" t="n">
        <v>7</v>
      </c>
      <c r="H555" s="15" t="n">
        <v>8</v>
      </c>
      <c r="I555" s="15" t="n">
        <v>4</v>
      </c>
      <c r="J555" s="15" t="n">
        <v>8</v>
      </c>
      <c r="K555" s="15" t="n">
        <v>8</v>
      </c>
      <c r="L555" s="15" t="n">
        <v>8</v>
      </c>
      <c r="M555" s="4" t="n">
        <f aca="false">ROUND(F555*Rubric!$B$4+G555*Rubric!$B$5+H555*Rubric!$B$6+I555*Rubric!$B$7+J555*Rubric!$B$8+K555*Rubric!$B$9+L555*Rubric!$B$10-IF(OR(H555&lt;Rubric!$B$12,K555&lt;Rubric!$B$12),Rubric!$B$13,0),2)</f>
        <v>7.45</v>
      </c>
      <c r="N555" s="14" t="n">
        <v>1372</v>
      </c>
      <c r="O555" s="2" t="s">
        <v>807</v>
      </c>
    </row>
    <row r="556" customFormat="false" ht="23.85" hidden="false" customHeight="false" outlineLevel="0" collapsed="false">
      <c r="A556" s="2" t="s">
        <v>270</v>
      </c>
      <c r="B556" s="2" t="s">
        <v>280</v>
      </c>
      <c r="C556" s="14" t="n">
        <v>0</v>
      </c>
      <c r="D556" s="14" t="n">
        <v>4</v>
      </c>
      <c r="E556" s="2" t="s">
        <v>416</v>
      </c>
      <c r="F556" s="15" t="n">
        <v>8</v>
      </c>
      <c r="G556" s="15" t="n">
        <v>8</v>
      </c>
      <c r="H556" s="15" t="n">
        <v>8</v>
      </c>
      <c r="I556" s="15" t="n">
        <v>3</v>
      </c>
      <c r="J556" s="15" t="n">
        <v>7</v>
      </c>
      <c r="K556" s="15" t="n">
        <v>8</v>
      </c>
      <c r="L556" s="15" t="n">
        <v>8</v>
      </c>
      <c r="M556" s="4" t="n">
        <f aca="false">ROUND(F556*Rubric!$B$4+G556*Rubric!$B$5+H556*Rubric!$B$6+I556*Rubric!$B$7+J556*Rubric!$B$8+K556*Rubric!$B$9+L556*Rubric!$B$10-IF(OR(H556&lt;Rubric!$B$12,K556&lt;Rubric!$B$12),Rubric!$B$13,0),2)</f>
        <v>7.1</v>
      </c>
      <c r="N556" s="14" t="n">
        <v>1373</v>
      </c>
      <c r="O556" s="2" t="s">
        <v>726</v>
      </c>
    </row>
    <row r="557" customFormat="false" ht="23.85" hidden="false" customHeight="false" outlineLevel="0" collapsed="false">
      <c r="A557" s="2" t="s">
        <v>270</v>
      </c>
      <c r="B557" s="2" t="s">
        <v>280</v>
      </c>
      <c r="C557" s="14" t="n">
        <v>1</v>
      </c>
      <c r="D557" s="14" t="n">
        <v>4</v>
      </c>
      <c r="E557" s="2" t="s">
        <v>423</v>
      </c>
      <c r="F557" s="15" t="n">
        <v>8</v>
      </c>
      <c r="G557" s="15" t="n">
        <v>8</v>
      </c>
      <c r="H557" s="15" t="n">
        <v>8</v>
      </c>
      <c r="I557" s="15" t="n">
        <v>3</v>
      </c>
      <c r="J557" s="15" t="n">
        <v>9</v>
      </c>
      <c r="K557" s="15" t="n">
        <v>8</v>
      </c>
      <c r="L557" s="15" t="n">
        <v>8</v>
      </c>
      <c r="M557" s="4" t="n">
        <f aca="false">ROUND(F557*Rubric!$B$4+G557*Rubric!$B$5+H557*Rubric!$B$6+I557*Rubric!$B$7+J557*Rubric!$B$8+K557*Rubric!$B$9+L557*Rubric!$B$10-IF(OR(H557&lt;Rubric!$B$12,K557&lt;Rubric!$B$12),Rubric!$B$13,0),2)</f>
        <v>7.9</v>
      </c>
      <c r="N557" s="14" t="n">
        <v>1373</v>
      </c>
      <c r="O557" s="2" t="s">
        <v>807</v>
      </c>
    </row>
    <row r="558" customFormat="false" ht="23.85" hidden="false" customHeight="false" outlineLevel="0" collapsed="false">
      <c r="A558" s="2" t="s">
        <v>270</v>
      </c>
      <c r="B558" s="2" t="s">
        <v>280</v>
      </c>
      <c r="C558" s="14" t="n">
        <v>0</v>
      </c>
      <c r="D558" s="14" t="n">
        <v>5</v>
      </c>
      <c r="E558" s="2" t="s">
        <v>381</v>
      </c>
      <c r="F558" s="15" t="n">
        <v>8</v>
      </c>
      <c r="G558" s="15" t="n">
        <v>8</v>
      </c>
      <c r="H558" s="15" t="n">
        <v>8</v>
      </c>
      <c r="I558" s="15" t="n">
        <v>8</v>
      </c>
      <c r="J558" s="15" t="n">
        <v>6</v>
      </c>
      <c r="K558" s="15" t="n">
        <v>7</v>
      </c>
      <c r="L558" s="15" t="n">
        <v>8</v>
      </c>
      <c r="M558" s="4" t="n">
        <f aca="false">ROUND(F558*Rubric!$B$4+G558*Rubric!$B$5+H558*Rubric!$B$6+I558*Rubric!$B$7+J558*Rubric!$B$8+K558*Rubric!$B$9+L558*Rubric!$B$10-IF(OR(H558&lt;Rubric!$B$12,K558&lt;Rubric!$B$12),Rubric!$B$13,0),2)</f>
        <v>7.1</v>
      </c>
      <c r="N558" s="14" t="n">
        <v>1374</v>
      </c>
      <c r="O558" s="2" t="s">
        <v>726</v>
      </c>
    </row>
    <row r="559" customFormat="false" ht="23.85" hidden="false" customHeight="false" outlineLevel="0" collapsed="false">
      <c r="A559" s="2" t="s">
        <v>270</v>
      </c>
      <c r="B559" s="2" t="s">
        <v>280</v>
      </c>
      <c r="C559" s="14" t="n">
        <v>1</v>
      </c>
      <c r="D559" s="14" t="n">
        <v>5</v>
      </c>
      <c r="E559" s="2" t="s">
        <v>564</v>
      </c>
      <c r="F559" s="15" t="n">
        <v>7</v>
      </c>
      <c r="G559" s="15" t="n">
        <v>8</v>
      </c>
      <c r="H559" s="15" t="n">
        <v>8</v>
      </c>
      <c r="I559" s="15" t="n">
        <v>9</v>
      </c>
      <c r="J559" s="15" t="n">
        <v>9</v>
      </c>
      <c r="K559" s="15" t="n">
        <v>7</v>
      </c>
      <c r="L559" s="15" t="n">
        <v>8</v>
      </c>
      <c r="M559" s="4" t="n">
        <f aca="false">ROUND(F559*Rubric!$B$4+G559*Rubric!$B$5+H559*Rubric!$B$6+I559*Rubric!$B$7+J559*Rubric!$B$8+K559*Rubric!$B$9+L559*Rubric!$B$10-IF(OR(H559&lt;Rubric!$B$12,K559&lt;Rubric!$B$12),Rubric!$B$13,0),2)</f>
        <v>8.35</v>
      </c>
      <c r="N559" s="14" t="n">
        <v>1374</v>
      </c>
      <c r="O559" s="2" t="s">
        <v>807</v>
      </c>
    </row>
    <row r="560" customFormat="false" ht="23.85" hidden="false" customHeight="false" outlineLevel="0" collapsed="false">
      <c r="A560" s="2" t="s">
        <v>270</v>
      </c>
      <c r="B560" s="2" t="s">
        <v>284</v>
      </c>
      <c r="C560" s="14" t="n">
        <v>0</v>
      </c>
      <c r="D560" s="14" t="n">
        <v>1</v>
      </c>
      <c r="E560" s="2" t="s">
        <v>358</v>
      </c>
      <c r="F560" s="15" t="n">
        <v>9</v>
      </c>
      <c r="G560" s="15" t="n">
        <v>9</v>
      </c>
      <c r="H560" s="15" t="n">
        <v>8</v>
      </c>
      <c r="I560" s="15" t="n">
        <v>4</v>
      </c>
      <c r="J560" s="15" t="n">
        <v>7</v>
      </c>
      <c r="K560" s="15" t="n">
        <v>9</v>
      </c>
      <c r="L560" s="15" t="n">
        <v>8</v>
      </c>
      <c r="M560" s="4" t="n">
        <f aca="false">ROUND(F560*Rubric!$B$4+G560*Rubric!$B$5+H560*Rubric!$B$6+I560*Rubric!$B$7+J560*Rubric!$B$8+K560*Rubric!$B$9+L560*Rubric!$B$10-IF(OR(H560&lt;Rubric!$B$12,K560&lt;Rubric!$B$12),Rubric!$B$13,0),2)</f>
        <v>7.5</v>
      </c>
      <c r="N560" s="14" t="n">
        <v>1380</v>
      </c>
      <c r="O560" s="2" t="s">
        <v>726</v>
      </c>
    </row>
    <row r="561" customFormat="false" ht="23.85" hidden="false" customHeight="false" outlineLevel="0" collapsed="false">
      <c r="A561" s="2" t="s">
        <v>270</v>
      </c>
      <c r="B561" s="2" t="s">
        <v>284</v>
      </c>
      <c r="C561" s="14" t="n">
        <v>1</v>
      </c>
      <c r="D561" s="14" t="n">
        <v>1</v>
      </c>
      <c r="E561" s="2" t="s">
        <v>420</v>
      </c>
      <c r="F561" s="15" t="n">
        <v>6</v>
      </c>
      <c r="G561" s="15" t="n">
        <v>8</v>
      </c>
      <c r="H561" s="15" t="n">
        <v>8</v>
      </c>
      <c r="I561" s="15" t="n">
        <v>3</v>
      </c>
      <c r="J561" s="15" t="n">
        <v>9</v>
      </c>
      <c r="K561" s="15" t="n">
        <v>8</v>
      </c>
      <c r="L561" s="15" t="n">
        <v>8</v>
      </c>
      <c r="M561" s="4" t="n">
        <f aca="false">ROUND(F561*Rubric!$B$4+G561*Rubric!$B$5+H561*Rubric!$B$6+I561*Rubric!$B$7+J561*Rubric!$B$8+K561*Rubric!$B$9+L561*Rubric!$B$10-IF(OR(H561&lt;Rubric!$B$12,K561&lt;Rubric!$B$12),Rubric!$B$13,0),2)</f>
        <v>7.8</v>
      </c>
      <c r="N561" s="14" t="n">
        <v>1380</v>
      </c>
      <c r="O561" s="2" t="s">
        <v>808</v>
      </c>
    </row>
    <row r="562" customFormat="false" ht="23.85" hidden="false" customHeight="false" outlineLevel="0" collapsed="false">
      <c r="A562" s="2" t="s">
        <v>270</v>
      </c>
      <c r="B562" s="2" t="s">
        <v>284</v>
      </c>
      <c r="C562" s="14" t="n">
        <v>0</v>
      </c>
      <c r="D562" s="14" t="n">
        <v>2</v>
      </c>
      <c r="E562" s="2" t="s">
        <v>374</v>
      </c>
      <c r="F562" s="15" t="n">
        <v>9</v>
      </c>
      <c r="G562" s="15" t="n">
        <v>9</v>
      </c>
      <c r="H562" s="15" t="n">
        <v>8</v>
      </c>
      <c r="I562" s="15" t="n">
        <v>3</v>
      </c>
      <c r="J562" s="15" t="n">
        <v>6</v>
      </c>
      <c r="K562" s="15" t="n">
        <v>9</v>
      </c>
      <c r="L562" s="15" t="n">
        <v>8</v>
      </c>
      <c r="M562" s="4" t="n">
        <f aca="false">ROUND(F562*Rubric!$B$4+G562*Rubric!$B$5+H562*Rubric!$B$6+I562*Rubric!$B$7+J562*Rubric!$B$8+K562*Rubric!$B$9+L562*Rubric!$B$10-IF(OR(H562&lt;Rubric!$B$12,K562&lt;Rubric!$B$12),Rubric!$B$13,0),2)</f>
        <v>7</v>
      </c>
      <c r="N562" s="14" t="n">
        <v>1381</v>
      </c>
      <c r="O562" s="2" t="s">
        <v>726</v>
      </c>
    </row>
    <row r="563" customFormat="false" ht="23.85" hidden="false" customHeight="false" outlineLevel="0" collapsed="false">
      <c r="A563" s="2" t="s">
        <v>270</v>
      </c>
      <c r="B563" s="2" t="s">
        <v>284</v>
      </c>
      <c r="C563" s="14" t="n">
        <v>1</v>
      </c>
      <c r="D563" s="14" t="n">
        <v>2</v>
      </c>
      <c r="E563" s="2" t="s">
        <v>519</v>
      </c>
      <c r="F563" s="15" t="n">
        <v>8</v>
      </c>
      <c r="G563" s="15" t="n">
        <v>9</v>
      </c>
      <c r="H563" s="15" t="n">
        <v>7</v>
      </c>
      <c r="I563" s="15" t="n">
        <v>3</v>
      </c>
      <c r="J563" s="15" t="n">
        <v>9</v>
      </c>
      <c r="K563" s="15" t="n">
        <v>7</v>
      </c>
      <c r="L563" s="15" t="n">
        <v>8</v>
      </c>
      <c r="M563" s="4" t="n">
        <f aca="false">ROUND(F563*Rubric!$B$4+G563*Rubric!$B$5+H563*Rubric!$B$6+I563*Rubric!$B$7+J563*Rubric!$B$8+K563*Rubric!$B$9+L563*Rubric!$B$10-IF(OR(H563&lt;Rubric!$B$12,K563&lt;Rubric!$B$12),Rubric!$B$13,0),2)</f>
        <v>7.85</v>
      </c>
      <c r="N563" s="14" t="n">
        <v>1381</v>
      </c>
      <c r="O563" s="2" t="s">
        <v>808</v>
      </c>
    </row>
    <row r="564" customFormat="false" ht="23.85" hidden="false" customHeight="false" outlineLevel="0" collapsed="false">
      <c r="A564" s="2" t="s">
        <v>270</v>
      </c>
      <c r="B564" s="2" t="s">
        <v>284</v>
      </c>
      <c r="C564" s="14" t="n">
        <v>0</v>
      </c>
      <c r="D564" s="14" t="n">
        <v>3</v>
      </c>
      <c r="E564" s="2" t="s">
        <v>410</v>
      </c>
      <c r="F564" s="15" t="n">
        <v>9</v>
      </c>
      <c r="G564" s="15" t="n">
        <v>8</v>
      </c>
      <c r="H564" s="15" t="n">
        <v>8</v>
      </c>
      <c r="I564" s="15" t="n">
        <v>5</v>
      </c>
      <c r="J564" s="15" t="n">
        <v>5</v>
      </c>
      <c r="K564" s="15" t="n">
        <v>7</v>
      </c>
      <c r="L564" s="15" t="n">
        <v>8</v>
      </c>
      <c r="M564" s="4" t="n">
        <f aca="false">ROUND(F564*Rubric!$B$4+G564*Rubric!$B$5+H564*Rubric!$B$6+I564*Rubric!$B$7+J564*Rubric!$B$8+K564*Rubric!$B$9+L564*Rubric!$B$10-IF(OR(H564&lt;Rubric!$B$12,K564&lt;Rubric!$B$12),Rubric!$B$13,0),2)</f>
        <v>6.45</v>
      </c>
      <c r="N564" s="14" t="n">
        <v>1382</v>
      </c>
      <c r="O564" s="2" t="s">
        <v>726</v>
      </c>
    </row>
    <row r="565" customFormat="false" ht="23.85" hidden="false" customHeight="false" outlineLevel="0" collapsed="false">
      <c r="A565" s="2" t="s">
        <v>270</v>
      </c>
      <c r="B565" s="2" t="s">
        <v>284</v>
      </c>
      <c r="C565" s="14" t="n">
        <v>1</v>
      </c>
      <c r="D565" s="14" t="n">
        <v>3</v>
      </c>
      <c r="E565" s="2" t="s">
        <v>565</v>
      </c>
      <c r="F565" s="15" t="n">
        <v>6</v>
      </c>
      <c r="G565" s="15" t="n">
        <v>8</v>
      </c>
      <c r="H565" s="15" t="n">
        <v>7</v>
      </c>
      <c r="I565" s="15" t="n">
        <v>10</v>
      </c>
      <c r="J565" s="15" t="n">
        <v>8</v>
      </c>
      <c r="K565" s="15" t="n">
        <v>8</v>
      </c>
      <c r="L565" s="15" t="n">
        <v>9</v>
      </c>
      <c r="M565" s="4" t="n">
        <f aca="false">ROUND(F565*Rubric!$B$4+G565*Rubric!$B$5+H565*Rubric!$B$6+I565*Rubric!$B$7+J565*Rubric!$B$8+K565*Rubric!$B$9+L565*Rubric!$B$10-IF(OR(H565&lt;Rubric!$B$12,K565&lt;Rubric!$B$12),Rubric!$B$13,0),2)</f>
        <v>8.1</v>
      </c>
      <c r="N565" s="14" t="n">
        <v>1382</v>
      </c>
      <c r="O565" s="2" t="s">
        <v>808</v>
      </c>
    </row>
    <row r="566" customFormat="false" ht="23.85" hidden="false" customHeight="false" outlineLevel="0" collapsed="false">
      <c r="A566" s="2" t="s">
        <v>270</v>
      </c>
      <c r="B566" s="2" t="s">
        <v>284</v>
      </c>
      <c r="C566" s="14" t="n">
        <v>0</v>
      </c>
      <c r="D566" s="14" t="n">
        <v>4</v>
      </c>
      <c r="E566" s="2" t="s">
        <v>361</v>
      </c>
      <c r="F566" s="15" t="n">
        <v>9</v>
      </c>
      <c r="G566" s="15" t="n">
        <v>7</v>
      </c>
      <c r="H566" s="15" t="n">
        <v>8</v>
      </c>
      <c r="I566" s="15" t="n">
        <v>8</v>
      </c>
      <c r="J566" s="15" t="n">
        <v>6</v>
      </c>
      <c r="K566" s="15" t="n">
        <v>8</v>
      </c>
      <c r="L566" s="15" t="n">
        <v>7</v>
      </c>
      <c r="M566" s="4" t="n">
        <f aca="false">ROUND(F566*Rubric!$B$4+G566*Rubric!$B$5+H566*Rubric!$B$6+I566*Rubric!$B$7+J566*Rubric!$B$8+K566*Rubric!$B$9+L566*Rubric!$B$10-IF(OR(H566&lt;Rubric!$B$12,K566&lt;Rubric!$B$12),Rubric!$B$13,0),2)</f>
        <v>7</v>
      </c>
      <c r="N566" s="14" t="n">
        <v>1383</v>
      </c>
      <c r="O566" s="2" t="s">
        <v>726</v>
      </c>
    </row>
    <row r="567" customFormat="false" ht="23.85" hidden="false" customHeight="false" outlineLevel="0" collapsed="false">
      <c r="A567" s="2" t="s">
        <v>270</v>
      </c>
      <c r="B567" s="2" t="s">
        <v>284</v>
      </c>
      <c r="C567" s="14" t="n">
        <v>1</v>
      </c>
      <c r="D567" s="14" t="n">
        <v>4</v>
      </c>
      <c r="E567" s="2" t="s">
        <v>440</v>
      </c>
      <c r="F567" s="15" t="n">
        <v>9</v>
      </c>
      <c r="G567" s="15" t="n">
        <v>9</v>
      </c>
      <c r="H567" s="15" t="n">
        <v>7</v>
      </c>
      <c r="I567" s="15" t="n">
        <v>10</v>
      </c>
      <c r="J567" s="15" t="n">
        <v>9</v>
      </c>
      <c r="K567" s="15" t="n">
        <v>8</v>
      </c>
      <c r="L567" s="15" t="n">
        <v>10</v>
      </c>
      <c r="M567" s="4" t="n">
        <f aca="false">ROUND(F567*Rubric!$B$4+G567*Rubric!$B$5+H567*Rubric!$B$6+I567*Rubric!$B$7+J567*Rubric!$B$8+K567*Rubric!$B$9+L567*Rubric!$B$10-IF(OR(H567&lt;Rubric!$B$12,K567&lt;Rubric!$B$12),Rubric!$B$13,0),2)</f>
        <v>8.9</v>
      </c>
      <c r="N567" s="14" t="n">
        <v>1383</v>
      </c>
      <c r="O567" s="2" t="s">
        <v>808</v>
      </c>
    </row>
    <row r="568" customFormat="false" ht="23.85" hidden="false" customHeight="false" outlineLevel="0" collapsed="false">
      <c r="A568" s="2" t="s">
        <v>270</v>
      </c>
      <c r="B568" s="2" t="s">
        <v>284</v>
      </c>
      <c r="C568" s="14" t="n">
        <v>0</v>
      </c>
      <c r="D568" s="14" t="n">
        <v>5</v>
      </c>
      <c r="E568" s="2" t="s">
        <v>378</v>
      </c>
      <c r="F568" s="15" t="n">
        <v>8</v>
      </c>
      <c r="G568" s="15" t="n">
        <v>8</v>
      </c>
      <c r="H568" s="15" t="n">
        <v>8</v>
      </c>
      <c r="I568" s="15" t="n">
        <v>3</v>
      </c>
      <c r="J568" s="15" t="n">
        <v>6</v>
      </c>
      <c r="K568" s="15" t="n">
        <v>8</v>
      </c>
      <c r="L568" s="15" t="n">
        <v>8</v>
      </c>
      <c r="M568" s="4" t="n">
        <f aca="false">ROUND(F568*Rubric!$B$4+G568*Rubric!$B$5+H568*Rubric!$B$6+I568*Rubric!$B$7+J568*Rubric!$B$8+K568*Rubric!$B$9+L568*Rubric!$B$10-IF(OR(H568&lt;Rubric!$B$12,K568&lt;Rubric!$B$12),Rubric!$B$13,0),2)</f>
        <v>6.7</v>
      </c>
      <c r="N568" s="14" t="n">
        <v>1384</v>
      </c>
      <c r="O568" s="2" t="s">
        <v>726</v>
      </c>
    </row>
    <row r="569" customFormat="false" ht="23.85" hidden="false" customHeight="false" outlineLevel="0" collapsed="false">
      <c r="A569" s="2" t="s">
        <v>270</v>
      </c>
      <c r="B569" s="2" t="s">
        <v>284</v>
      </c>
      <c r="C569" s="14" t="n">
        <v>1</v>
      </c>
      <c r="D569" s="14" t="n">
        <v>5</v>
      </c>
      <c r="E569" s="2" t="s">
        <v>429</v>
      </c>
      <c r="F569" s="15" t="n">
        <v>9</v>
      </c>
      <c r="G569" s="15" t="n">
        <v>9</v>
      </c>
      <c r="H569" s="15" t="n">
        <v>8</v>
      </c>
      <c r="I569" s="15" t="n">
        <v>3</v>
      </c>
      <c r="J569" s="15" t="n">
        <v>7</v>
      </c>
      <c r="K569" s="15" t="n">
        <v>9</v>
      </c>
      <c r="L569" s="15" t="n">
        <v>8</v>
      </c>
      <c r="M569" s="4" t="n">
        <f aca="false">ROUND(F569*Rubric!$B$4+G569*Rubric!$B$5+H569*Rubric!$B$6+I569*Rubric!$B$7+J569*Rubric!$B$8+K569*Rubric!$B$9+L569*Rubric!$B$10-IF(OR(H569&lt;Rubric!$B$12,K569&lt;Rubric!$B$12),Rubric!$B$13,0),2)</f>
        <v>7.4</v>
      </c>
      <c r="N569" s="14" t="n">
        <v>1384</v>
      </c>
      <c r="O569" s="2" t="s">
        <v>808</v>
      </c>
    </row>
    <row r="570" customFormat="false" ht="23.85" hidden="false" customHeight="false" outlineLevel="0" collapsed="false">
      <c r="A570" s="2" t="s">
        <v>270</v>
      </c>
      <c r="B570" s="2" t="s">
        <v>284</v>
      </c>
      <c r="C570" s="14" t="n">
        <v>3</v>
      </c>
      <c r="D570" s="14" t="n">
        <v>5</v>
      </c>
      <c r="E570" s="2" t="s">
        <v>434</v>
      </c>
      <c r="F570" s="15" t="n">
        <v>8</v>
      </c>
      <c r="G570" s="15" t="n">
        <v>8</v>
      </c>
      <c r="H570" s="15" t="n">
        <v>7</v>
      </c>
      <c r="I570" s="15" t="n">
        <v>10</v>
      </c>
      <c r="J570" s="15" t="n">
        <v>8</v>
      </c>
      <c r="K570" s="15" t="n">
        <v>7</v>
      </c>
      <c r="L570" s="15" t="n">
        <v>8</v>
      </c>
      <c r="M570" s="4" t="n">
        <f aca="false">ROUND(F570*Rubric!$B$4+G570*Rubric!$B$5+H570*Rubric!$B$6+I570*Rubric!$B$7+J570*Rubric!$B$8+K570*Rubric!$B$9+L570*Rubric!$B$10-IF(OR(H570&lt;Rubric!$B$12,K570&lt;Rubric!$B$12),Rubric!$B$13,0),2)</f>
        <v>8</v>
      </c>
      <c r="N570" s="14" t="n">
        <v>1384</v>
      </c>
      <c r="O570" s="2" t="s">
        <v>809</v>
      </c>
    </row>
    <row r="571" customFormat="false" ht="15" hidden="false" customHeight="false" outlineLevel="0" collapsed="false">
      <c r="A571" s="2" t="s">
        <v>270</v>
      </c>
      <c r="B571" s="2" t="s">
        <v>289</v>
      </c>
      <c r="C571" s="14" t="n">
        <v>0</v>
      </c>
      <c r="D571" s="14" t="n">
        <v>1</v>
      </c>
      <c r="E571" s="2" t="s">
        <v>383</v>
      </c>
      <c r="F571" s="15" t="n">
        <v>9</v>
      </c>
      <c r="G571" s="15" t="n">
        <v>9</v>
      </c>
      <c r="H571" s="15" t="n">
        <v>7</v>
      </c>
      <c r="I571" s="15" t="n">
        <v>3</v>
      </c>
      <c r="J571" s="15" t="n">
        <v>5</v>
      </c>
      <c r="K571" s="15" t="n">
        <v>8</v>
      </c>
      <c r="L571" s="15" t="n">
        <v>8</v>
      </c>
      <c r="M571" s="4" t="n">
        <f aca="false">ROUND(F571*Rubric!$B$4+G571*Rubric!$B$5+H571*Rubric!$B$6+I571*Rubric!$B$7+J571*Rubric!$B$8+K571*Rubric!$B$9+L571*Rubric!$B$10-IF(OR(H571&lt;Rubric!$B$12,K571&lt;Rubric!$B$12),Rubric!$B$13,0),2)</f>
        <v>6.4</v>
      </c>
      <c r="N571" s="14" t="n">
        <v>1390</v>
      </c>
      <c r="O571" s="2" t="s">
        <v>726</v>
      </c>
    </row>
    <row r="572" customFormat="false" ht="23.85" hidden="false" customHeight="false" outlineLevel="0" collapsed="false">
      <c r="A572" s="2" t="s">
        <v>270</v>
      </c>
      <c r="B572" s="2" t="s">
        <v>289</v>
      </c>
      <c r="C572" s="14" t="n">
        <v>1</v>
      </c>
      <c r="D572" s="14" t="n">
        <v>1</v>
      </c>
      <c r="E572" s="2" t="s">
        <v>373</v>
      </c>
      <c r="F572" s="15" t="n">
        <v>7</v>
      </c>
      <c r="G572" s="15" t="n">
        <v>9</v>
      </c>
      <c r="H572" s="15" t="n">
        <v>7</v>
      </c>
      <c r="I572" s="15" t="n">
        <v>3</v>
      </c>
      <c r="J572" s="15" t="n">
        <v>9</v>
      </c>
      <c r="K572" s="15" t="n">
        <v>8</v>
      </c>
      <c r="L572" s="15" t="n">
        <v>8</v>
      </c>
      <c r="M572" s="4" t="n">
        <f aca="false">ROUND(F572*Rubric!$B$4+G572*Rubric!$B$5+H572*Rubric!$B$6+I572*Rubric!$B$7+J572*Rubric!$B$8+K572*Rubric!$B$9+L572*Rubric!$B$10-IF(OR(H572&lt;Rubric!$B$12,K572&lt;Rubric!$B$12),Rubric!$B$13,0),2)</f>
        <v>7.9</v>
      </c>
      <c r="N572" s="14" t="n">
        <v>1390</v>
      </c>
      <c r="O572" s="2" t="s">
        <v>810</v>
      </c>
    </row>
    <row r="573" customFormat="false" ht="23.85" hidden="false" customHeight="false" outlineLevel="0" collapsed="false">
      <c r="A573" s="2" t="s">
        <v>270</v>
      </c>
      <c r="B573" s="2" t="s">
        <v>289</v>
      </c>
      <c r="C573" s="14" t="n">
        <v>0</v>
      </c>
      <c r="D573" s="14" t="n">
        <v>2</v>
      </c>
      <c r="E573" s="2" t="s">
        <v>358</v>
      </c>
      <c r="F573" s="15" t="n">
        <v>9</v>
      </c>
      <c r="G573" s="15" t="n">
        <v>9</v>
      </c>
      <c r="H573" s="15" t="n">
        <v>8</v>
      </c>
      <c r="I573" s="15" t="n">
        <v>4</v>
      </c>
      <c r="J573" s="15" t="n">
        <v>6</v>
      </c>
      <c r="K573" s="15" t="n">
        <v>9</v>
      </c>
      <c r="L573" s="15" t="n">
        <v>8</v>
      </c>
      <c r="M573" s="4" t="n">
        <f aca="false">ROUND(F573*Rubric!$B$4+G573*Rubric!$B$5+H573*Rubric!$B$6+I573*Rubric!$B$7+J573*Rubric!$B$8+K573*Rubric!$B$9+L573*Rubric!$B$10-IF(OR(H573&lt;Rubric!$B$12,K573&lt;Rubric!$B$12),Rubric!$B$13,0),2)</f>
        <v>7.1</v>
      </c>
      <c r="N573" s="14" t="n">
        <v>1391</v>
      </c>
      <c r="O573" s="2" t="s">
        <v>726</v>
      </c>
    </row>
    <row r="574" customFormat="false" ht="23.85" hidden="false" customHeight="false" outlineLevel="0" collapsed="false">
      <c r="A574" s="2" t="s">
        <v>270</v>
      </c>
      <c r="B574" s="2" t="s">
        <v>289</v>
      </c>
      <c r="C574" s="14" t="n">
        <v>1</v>
      </c>
      <c r="D574" s="14" t="n">
        <v>2</v>
      </c>
      <c r="E574" s="2" t="s">
        <v>566</v>
      </c>
      <c r="F574" s="15" t="n">
        <v>7</v>
      </c>
      <c r="G574" s="15" t="n">
        <v>9</v>
      </c>
      <c r="H574" s="15" t="n">
        <v>7</v>
      </c>
      <c r="I574" s="15" t="n">
        <v>3</v>
      </c>
      <c r="J574" s="15" t="n">
        <v>9</v>
      </c>
      <c r="K574" s="15" t="n">
        <v>8</v>
      </c>
      <c r="L574" s="15" t="n">
        <v>8</v>
      </c>
      <c r="M574" s="4" t="n">
        <f aca="false">ROUND(F574*Rubric!$B$4+G574*Rubric!$B$5+H574*Rubric!$B$6+I574*Rubric!$B$7+J574*Rubric!$B$8+K574*Rubric!$B$9+L574*Rubric!$B$10-IF(OR(H574&lt;Rubric!$B$12,K574&lt;Rubric!$B$12),Rubric!$B$13,0),2)</f>
        <v>7.9</v>
      </c>
      <c r="N574" s="14" t="n">
        <v>1391</v>
      </c>
      <c r="O574" s="2" t="s">
        <v>810</v>
      </c>
    </row>
    <row r="575" customFormat="false" ht="23.85" hidden="false" customHeight="false" outlineLevel="0" collapsed="false">
      <c r="A575" s="2" t="s">
        <v>270</v>
      </c>
      <c r="B575" s="2" t="s">
        <v>289</v>
      </c>
      <c r="C575" s="14" t="n">
        <v>0</v>
      </c>
      <c r="D575" s="14" t="n">
        <v>3</v>
      </c>
      <c r="E575" s="2" t="s">
        <v>384</v>
      </c>
      <c r="F575" s="15" t="n">
        <v>9</v>
      </c>
      <c r="G575" s="15" t="n">
        <v>8</v>
      </c>
      <c r="H575" s="15" t="n">
        <v>8</v>
      </c>
      <c r="I575" s="15" t="n">
        <v>3</v>
      </c>
      <c r="J575" s="15" t="n">
        <v>6</v>
      </c>
      <c r="K575" s="15" t="n">
        <v>8</v>
      </c>
      <c r="L575" s="15" t="n">
        <v>7</v>
      </c>
      <c r="M575" s="4" t="n">
        <f aca="false">ROUND(F575*Rubric!$B$4+G575*Rubric!$B$5+H575*Rubric!$B$6+I575*Rubric!$B$7+J575*Rubric!$B$8+K575*Rubric!$B$9+L575*Rubric!$B$10-IF(OR(H575&lt;Rubric!$B$12,K575&lt;Rubric!$B$12),Rubric!$B$13,0),2)</f>
        <v>6.65</v>
      </c>
      <c r="N575" s="14" t="n">
        <v>1392</v>
      </c>
      <c r="O575" s="2" t="s">
        <v>726</v>
      </c>
    </row>
    <row r="576" customFormat="false" ht="23.85" hidden="false" customHeight="false" outlineLevel="0" collapsed="false">
      <c r="A576" s="2" t="s">
        <v>270</v>
      </c>
      <c r="B576" s="2" t="s">
        <v>289</v>
      </c>
      <c r="C576" s="14" t="n">
        <v>1</v>
      </c>
      <c r="D576" s="14" t="n">
        <v>3</v>
      </c>
      <c r="E576" s="2" t="s">
        <v>417</v>
      </c>
      <c r="F576" s="15" t="n">
        <v>7</v>
      </c>
      <c r="G576" s="15" t="n">
        <v>8</v>
      </c>
      <c r="H576" s="15" t="n">
        <v>8</v>
      </c>
      <c r="I576" s="15" t="n">
        <v>3</v>
      </c>
      <c r="J576" s="15" t="n">
        <v>9</v>
      </c>
      <c r="K576" s="15" t="n">
        <v>8</v>
      </c>
      <c r="L576" s="15" t="n">
        <v>9</v>
      </c>
      <c r="M576" s="4" t="n">
        <f aca="false">ROUND(F576*Rubric!$B$4+G576*Rubric!$B$5+H576*Rubric!$B$6+I576*Rubric!$B$7+J576*Rubric!$B$8+K576*Rubric!$B$9+L576*Rubric!$B$10-IF(OR(H576&lt;Rubric!$B$12,K576&lt;Rubric!$B$12),Rubric!$B$13,0),2)</f>
        <v>7.95</v>
      </c>
      <c r="N576" s="14" t="n">
        <v>1392</v>
      </c>
      <c r="O576" s="2" t="s">
        <v>810</v>
      </c>
    </row>
    <row r="577" customFormat="false" ht="23.85" hidden="false" customHeight="false" outlineLevel="0" collapsed="false">
      <c r="A577" s="2" t="s">
        <v>270</v>
      </c>
      <c r="B577" s="2" t="s">
        <v>289</v>
      </c>
      <c r="C577" s="14" t="n">
        <v>0</v>
      </c>
      <c r="D577" s="14" t="n">
        <v>4</v>
      </c>
      <c r="E577" s="2" t="s">
        <v>382</v>
      </c>
      <c r="F577" s="15" t="n">
        <v>9</v>
      </c>
      <c r="G577" s="15" t="n">
        <v>8</v>
      </c>
      <c r="H577" s="15" t="n">
        <v>8</v>
      </c>
      <c r="I577" s="15" t="n">
        <v>4</v>
      </c>
      <c r="J577" s="15" t="n">
        <v>6</v>
      </c>
      <c r="K577" s="15" t="n">
        <v>8</v>
      </c>
      <c r="L577" s="15" t="n">
        <v>7</v>
      </c>
      <c r="M577" s="4" t="n">
        <f aca="false">ROUND(F577*Rubric!$B$4+G577*Rubric!$B$5+H577*Rubric!$B$6+I577*Rubric!$B$7+J577*Rubric!$B$8+K577*Rubric!$B$9+L577*Rubric!$B$10-IF(OR(H577&lt;Rubric!$B$12,K577&lt;Rubric!$B$12),Rubric!$B$13,0),2)</f>
        <v>6.75</v>
      </c>
      <c r="N577" s="14" t="n">
        <v>1393</v>
      </c>
      <c r="O577" s="2" t="s">
        <v>726</v>
      </c>
    </row>
    <row r="578" customFormat="false" ht="23.85" hidden="false" customHeight="false" outlineLevel="0" collapsed="false">
      <c r="A578" s="2" t="s">
        <v>270</v>
      </c>
      <c r="B578" s="2" t="s">
        <v>289</v>
      </c>
      <c r="C578" s="14" t="n">
        <v>1</v>
      </c>
      <c r="D578" s="14" t="n">
        <v>4</v>
      </c>
      <c r="E578" s="2" t="s">
        <v>429</v>
      </c>
      <c r="F578" s="15" t="n">
        <v>9</v>
      </c>
      <c r="G578" s="15" t="n">
        <v>9</v>
      </c>
      <c r="H578" s="15" t="n">
        <v>8</v>
      </c>
      <c r="I578" s="15" t="n">
        <v>3</v>
      </c>
      <c r="J578" s="15" t="n">
        <v>8</v>
      </c>
      <c r="K578" s="15" t="n">
        <v>9</v>
      </c>
      <c r="L578" s="15" t="n">
        <v>8</v>
      </c>
      <c r="M578" s="4" t="n">
        <f aca="false">ROUND(F578*Rubric!$B$4+G578*Rubric!$B$5+H578*Rubric!$B$6+I578*Rubric!$B$7+J578*Rubric!$B$8+K578*Rubric!$B$9+L578*Rubric!$B$10-IF(OR(H578&lt;Rubric!$B$12,K578&lt;Rubric!$B$12),Rubric!$B$13,0),2)</f>
        <v>7.8</v>
      </c>
      <c r="N578" s="14" t="n">
        <v>1393</v>
      </c>
      <c r="O578" s="2" t="s">
        <v>810</v>
      </c>
    </row>
    <row r="579" customFormat="false" ht="23.85" hidden="false" customHeight="false" outlineLevel="0" collapsed="false">
      <c r="A579" s="2" t="s">
        <v>270</v>
      </c>
      <c r="B579" s="2" t="s">
        <v>289</v>
      </c>
      <c r="C579" s="14" t="n">
        <v>0</v>
      </c>
      <c r="D579" s="14" t="n">
        <v>5</v>
      </c>
      <c r="E579" s="2" t="s">
        <v>366</v>
      </c>
      <c r="F579" s="15" t="n">
        <v>8</v>
      </c>
      <c r="G579" s="15" t="n">
        <v>8</v>
      </c>
      <c r="H579" s="15" t="n">
        <v>7</v>
      </c>
      <c r="I579" s="15" t="n">
        <v>9</v>
      </c>
      <c r="J579" s="15" t="n">
        <v>5</v>
      </c>
      <c r="K579" s="15" t="n">
        <v>8</v>
      </c>
      <c r="L579" s="15" t="n">
        <v>9</v>
      </c>
      <c r="M579" s="4" t="n">
        <f aca="false">ROUND(F579*Rubric!$B$4+G579*Rubric!$B$5+H579*Rubric!$B$6+I579*Rubric!$B$7+J579*Rubric!$B$8+K579*Rubric!$B$9+L579*Rubric!$B$10-IF(OR(H579&lt;Rubric!$B$12,K579&lt;Rubric!$B$12),Rubric!$B$13,0),2)</f>
        <v>6.9</v>
      </c>
      <c r="N579" s="14" t="n">
        <v>1394</v>
      </c>
      <c r="O579" s="2" t="s">
        <v>726</v>
      </c>
    </row>
    <row r="580" customFormat="false" ht="23.85" hidden="false" customHeight="false" outlineLevel="0" collapsed="false">
      <c r="A580" s="2" t="s">
        <v>270</v>
      </c>
      <c r="B580" s="2" t="s">
        <v>289</v>
      </c>
      <c r="C580" s="14" t="n">
        <v>1</v>
      </c>
      <c r="D580" s="14" t="n">
        <v>5</v>
      </c>
      <c r="E580" s="2" t="s">
        <v>491</v>
      </c>
      <c r="F580" s="15" t="n">
        <v>9</v>
      </c>
      <c r="G580" s="15" t="n">
        <v>8</v>
      </c>
      <c r="H580" s="15" t="n">
        <v>8</v>
      </c>
      <c r="I580" s="15" t="n">
        <v>3</v>
      </c>
      <c r="J580" s="15" t="n">
        <v>8</v>
      </c>
      <c r="K580" s="15" t="n">
        <v>8</v>
      </c>
      <c r="L580" s="15" t="n">
        <v>7</v>
      </c>
      <c r="M580" s="4" t="n">
        <f aca="false">ROUND(F580*Rubric!$B$4+G580*Rubric!$B$5+H580*Rubric!$B$6+I580*Rubric!$B$7+J580*Rubric!$B$8+K580*Rubric!$B$9+L580*Rubric!$B$10-IF(OR(H580&lt;Rubric!$B$12,K580&lt;Rubric!$B$12),Rubric!$B$13,0),2)</f>
        <v>7.45</v>
      </c>
      <c r="N580" s="14" t="n">
        <v>1394</v>
      </c>
      <c r="O580" s="2" t="s">
        <v>810</v>
      </c>
    </row>
    <row r="581" customFormat="false" ht="23.85" hidden="false" customHeight="false" outlineLevel="0" collapsed="false">
      <c r="A581" s="2" t="s">
        <v>270</v>
      </c>
      <c r="B581" s="2" t="s">
        <v>293</v>
      </c>
      <c r="C581" s="14" t="n">
        <v>0</v>
      </c>
      <c r="D581" s="14" t="n">
        <v>1</v>
      </c>
      <c r="E581" s="2" t="s">
        <v>358</v>
      </c>
      <c r="F581" s="15" t="n">
        <v>9</v>
      </c>
      <c r="G581" s="15" t="n">
        <v>9</v>
      </c>
      <c r="H581" s="15" t="n">
        <v>8</v>
      </c>
      <c r="I581" s="15" t="n">
        <v>4</v>
      </c>
      <c r="J581" s="15" t="n">
        <v>6</v>
      </c>
      <c r="K581" s="15" t="n">
        <v>9</v>
      </c>
      <c r="L581" s="15" t="n">
        <v>8</v>
      </c>
      <c r="M581" s="4" t="n">
        <f aca="false">ROUND(F581*Rubric!$B$4+G581*Rubric!$B$5+H581*Rubric!$B$6+I581*Rubric!$B$7+J581*Rubric!$B$8+K581*Rubric!$B$9+L581*Rubric!$B$10-IF(OR(H581&lt;Rubric!$B$12,K581&lt;Rubric!$B$12),Rubric!$B$13,0),2)</f>
        <v>7.1</v>
      </c>
      <c r="N581" s="14" t="n">
        <v>1400</v>
      </c>
      <c r="O581" s="2" t="s">
        <v>726</v>
      </c>
    </row>
    <row r="582" customFormat="false" ht="23.85" hidden="false" customHeight="false" outlineLevel="0" collapsed="false">
      <c r="A582" s="2" t="s">
        <v>270</v>
      </c>
      <c r="B582" s="2" t="s">
        <v>293</v>
      </c>
      <c r="C582" s="14" t="n">
        <v>1</v>
      </c>
      <c r="D582" s="14" t="n">
        <v>1</v>
      </c>
      <c r="E582" s="2" t="s">
        <v>567</v>
      </c>
      <c r="F582" s="15" t="n">
        <v>9</v>
      </c>
      <c r="G582" s="15" t="n">
        <v>9</v>
      </c>
      <c r="H582" s="15" t="n">
        <v>8</v>
      </c>
      <c r="I582" s="15" t="n">
        <v>3</v>
      </c>
      <c r="J582" s="15" t="n">
        <v>8</v>
      </c>
      <c r="K582" s="15" t="n">
        <v>9</v>
      </c>
      <c r="L582" s="15" t="n">
        <v>8</v>
      </c>
      <c r="M582" s="4" t="n">
        <f aca="false">ROUND(F582*Rubric!$B$4+G582*Rubric!$B$5+H582*Rubric!$B$6+I582*Rubric!$B$7+J582*Rubric!$B$8+K582*Rubric!$B$9+L582*Rubric!$B$10-IF(OR(H582&lt;Rubric!$B$12,K582&lt;Rubric!$B$12),Rubric!$B$13,0),2)</f>
        <v>7.8</v>
      </c>
      <c r="N582" s="14" t="n">
        <v>1400</v>
      </c>
      <c r="O582" s="2" t="s">
        <v>811</v>
      </c>
    </row>
    <row r="583" customFormat="false" ht="23.85" hidden="false" customHeight="false" outlineLevel="0" collapsed="false">
      <c r="A583" s="2" t="s">
        <v>270</v>
      </c>
      <c r="B583" s="2" t="s">
        <v>293</v>
      </c>
      <c r="C583" s="14" t="n">
        <v>0</v>
      </c>
      <c r="D583" s="14" t="n">
        <v>2</v>
      </c>
      <c r="E583" s="2" t="s">
        <v>374</v>
      </c>
      <c r="F583" s="15" t="n">
        <v>9</v>
      </c>
      <c r="G583" s="15" t="n">
        <v>9</v>
      </c>
      <c r="H583" s="15" t="n">
        <v>8</v>
      </c>
      <c r="I583" s="15" t="n">
        <v>3</v>
      </c>
      <c r="J583" s="15" t="n">
        <v>7</v>
      </c>
      <c r="K583" s="15" t="n">
        <v>9</v>
      </c>
      <c r="L583" s="15" t="n">
        <v>8</v>
      </c>
      <c r="M583" s="4" t="n">
        <f aca="false">ROUND(F583*Rubric!$B$4+G583*Rubric!$B$5+H583*Rubric!$B$6+I583*Rubric!$B$7+J583*Rubric!$B$8+K583*Rubric!$B$9+L583*Rubric!$B$10-IF(OR(H583&lt;Rubric!$B$12,K583&lt;Rubric!$B$12),Rubric!$B$13,0),2)</f>
        <v>7.4</v>
      </c>
      <c r="N583" s="14" t="n">
        <v>1401</v>
      </c>
      <c r="O583" s="2" t="s">
        <v>726</v>
      </c>
    </row>
    <row r="584" customFormat="false" ht="23.85" hidden="false" customHeight="false" outlineLevel="0" collapsed="false">
      <c r="A584" s="2" t="s">
        <v>270</v>
      </c>
      <c r="B584" s="2" t="s">
        <v>293</v>
      </c>
      <c r="C584" s="14" t="n">
        <v>1</v>
      </c>
      <c r="D584" s="14" t="n">
        <v>2</v>
      </c>
      <c r="E584" s="2" t="s">
        <v>628</v>
      </c>
      <c r="F584" s="15" t="n">
        <v>7</v>
      </c>
      <c r="G584" s="15" t="n">
        <v>8</v>
      </c>
      <c r="H584" s="15" t="n">
        <v>8</v>
      </c>
      <c r="I584" s="15" t="n">
        <v>3</v>
      </c>
      <c r="J584" s="15" t="n">
        <v>8</v>
      </c>
      <c r="K584" s="15" t="n">
        <v>8</v>
      </c>
      <c r="L584" s="15" t="n">
        <v>8</v>
      </c>
      <c r="M584" s="4" t="n">
        <f aca="false">ROUND(F584*Rubric!$B$4+G584*Rubric!$B$5+H584*Rubric!$B$6+I584*Rubric!$B$7+J584*Rubric!$B$8+K584*Rubric!$B$9+L584*Rubric!$B$10-IF(OR(H584&lt;Rubric!$B$12,K584&lt;Rubric!$B$12),Rubric!$B$13,0),2)</f>
        <v>7.45</v>
      </c>
      <c r="N584" s="14" t="n">
        <v>1401</v>
      </c>
      <c r="O584" s="2" t="s">
        <v>811</v>
      </c>
    </row>
    <row r="585" customFormat="false" ht="23.85" hidden="false" customHeight="false" outlineLevel="0" collapsed="false">
      <c r="A585" s="2" t="s">
        <v>270</v>
      </c>
      <c r="B585" s="2" t="s">
        <v>293</v>
      </c>
      <c r="C585" s="14" t="n">
        <v>2</v>
      </c>
      <c r="D585" s="14" t="n">
        <v>2</v>
      </c>
      <c r="E585" s="2" t="s">
        <v>568</v>
      </c>
      <c r="F585" s="15" t="n">
        <v>6</v>
      </c>
      <c r="G585" s="15" t="n">
        <v>8</v>
      </c>
      <c r="H585" s="15" t="n">
        <v>8</v>
      </c>
      <c r="I585" s="15" t="n">
        <v>3</v>
      </c>
      <c r="J585" s="15" t="n">
        <v>9</v>
      </c>
      <c r="K585" s="15" t="n">
        <v>8</v>
      </c>
      <c r="L585" s="15" t="n">
        <v>8</v>
      </c>
      <c r="M585" s="4" t="n">
        <f aca="false">ROUND(F585*Rubric!$B$4+G585*Rubric!$B$5+H585*Rubric!$B$6+I585*Rubric!$B$7+J585*Rubric!$B$8+K585*Rubric!$B$9+L585*Rubric!$B$10-IF(OR(H585&lt;Rubric!$B$12,K585&lt;Rubric!$B$12),Rubric!$B$13,0),2)</f>
        <v>7.8</v>
      </c>
      <c r="N585" s="14" t="n">
        <v>1401</v>
      </c>
      <c r="O585" s="2" t="s">
        <v>812</v>
      </c>
    </row>
    <row r="586" customFormat="false" ht="23.85" hidden="false" customHeight="false" outlineLevel="0" collapsed="false">
      <c r="A586" s="2" t="s">
        <v>270</v>
      </c>
      <c r="B586" s="2" t="s">
        <v>293</v>
      </c>
      <c r="C586" s="14" t="n">
        <v>0</v>
      </c>
      <c r="D586" s="14" t="n">
        <v>3</v>
      </c>
      <c r="E586" s="2" t="s">
        <v>410</v>
      </c>
      <c r="F586" s="15" t="n">
        <v>9</v>
      </c>
      <c r="G586" s="15" t="n">
        <v>8</v>
      </c>
      <c r="H586" s="15" t="n">
        <v>8</v>
      </c>
      <c r="I586" s="15" t="n">
        <v>5</v>
      </c>
      <c r="J586" s="15" t="n">
        <v>5</v>
      </c>
      <c r="K586" s="15" t="n">
        <v>7</v>
      </c>
      <c r="L586" s="15" t="n">
        <v>8</v>
      </c>
      <c r="M586" s="4" t="n">
        <f aca="false">ROUND(F586*Rubric!$B$4+G586*Rubric!$B$5+H586*Rubric!$B$6+I586*Rubric!$B$7+J586*Rubric!$B$8+K586*Rubric!$B$9+L586*Rubric!$B$10-IF(OR(H586&lt;Rubric!$B$12,K586&lt;Rubric!$B$12),Rubric!$B$13,0),2)</f>
        <v>6.45</v>
      </c>
      <c r="N586" s="14" t="n">
        <v>1402</v>
      </c>
      <c r="O586" s="2" t="s">
        <v>726</v>
      </c>
    </row>
    <row r="587" customFormat="false" ht="23.85" hidden="false" customHeight="false" outlineLevel="0" collapsed="false">
      <c r="A587" s="2" t="s">
        <v>270</v>
      </c>
      <c r="B587" s="2" t="s">
        <v>293</v>
      </c>
      <c r="C587" s="14" t="n">
        <v>1</v>
      </c>
      <c r="D587" s="14" t="n">
        <v>3</v>
      </c>
      <c r="E587" s="2" t="s">
        <v>542</v>
      </c>
      <c r="F587" s="15" t="n">
        <v>9</v>
      </c>
      <c r="G587" s="15" t="n">
        <v>7</v>
      </c>
      <c r="H587" s="15" t="n">
        <v>8</v>
      </c>
      <c r="I587" s="15" t="n">
        <v>8</v>
      </c>
      <c r="J587" s="15" t="n">
        <v>7</v>
      </c>
      <c r="K587" s="15" t="n">
        <v>8</v>
      </c>
      <c r="L587" s="15" t="n">
        <v>7</v>
      </c>
      <c r="M587" s="4" t="n">
        <f aca="false">ROUND(F587*Rubric!$B$4+G587*Rubric!$B$5+H587*Rubric!$B$6+I587*Rubric!$B$7+J587*Rubric!$B$8+K587*Rubric!$B$9+L587*Rubric!$B$10-IF(OR(H587&lt;Rubric!$B$12,K587&lt;Rubric!$B$12),Rubric!$B$13,0),2)</f>
        <v>7.4</v>
      </c>
      <c r="N587" s="14" t="n">
        <v>1402</v>
      </c>
      <c r="O587" s="2" t="s">
        <v>811</v>
      </c>
    </row>
    <row r="588" customFormat="false" ht="23.85" hidden="false" customHeight="false" outlineLevel="0" collapsed="false">
      <c r="A588" s="2" t="s">
        <v>270</v>
      </c>
      <c r="B588" s="2" t="s">
        <v>293</v>
      </c>
      <c r="C588" s="14" t="n">
        <v>2</v>
      </c>
      <c r="D588" s="14" t="n">
        <v>3</v>
      </c>
      <c r="E588" s="2" t="s">
        <v>569</v>
      </c>
      <c r="F588" s="15" t="n">
        <v>8</v>
      </c>
      <c r="G588" s="15" t="n">
        <v>7</v>
      </c>
      <c r="H588" s="15" t="n">
        <v>8</v>
      </c>
      <c r="I588" s="15" t="n">
        <v>8</v>
      </c>
      <c r="J588" s="15" t="n">
        <v>8</v>
      </c>
      <c r="K588" s="15" t="n">
        <v>8</v>
      </c>
      <c r="L588" s="15" t="n">
        <v>7</v>
      </c>
      <c r="M588" s="4" t="n">
        <f aca="false">ROUND(F588*Rubric!$B$4+G588*Rubric!$B$5+H588*Rubric!$B$6+I588*Rubric!$B$7+J588*Rubric!$B$8+K588*Rubric!$B$9+L588*Rubric!$B$10-IF(OR(H588&lt;Rubric!$B$12,K588&lt;Rubric!$B$12),Rubric!$B$13,0),2)</f>
        <v>7.75</v>
      </c>
      <c r="N588" s="14" t="n">
        <v>1402</v>
      </c>
      <c r="O588" s="2" t="s">
        <v>813</v>
      </c>
    </row>
    <row r="589" customFormat="false" ht="23.85" hidden="false" customHeight="false" outlineLevel="0" collapsed="false">
      <c r="A589" s="2" t="s">
        <v>270</v>
      </c>
      <c r="B589" s="2" t="s">
        <v>293</v>
      </c>
      <c r="C589" s="14" t="n">
        <v>0</v>
      </c>
      <c r="D589" s="14" t="n">
        <v>4</v>
      </c>
      <c r="E589" s="2" t="s">
        <v>361</v>
      </c>
      <c r="F589" s="15" t="n">
        <v>9</v>
      </c>
      <c r="G589" s="15" t="n">
        <v>7</v>
      </c>
      <c r="H589" s="15" t="n">
        <v>8</v>
      </c>
      <c r="I589" s="15" t="n">
        <v>8</v>
      </c>
      <c r="J589" s="15" t="n">
        <v>5</v>
      </c>
      <c r="K589" s="15" t="n">
        <v>8</v>
      </c>
      <c r="L589" s="15" t="n">
        <v>7</v>
      </c>
      <c r="M589" s="4" t="n">
        <f aca="false">ROUND(F589*Rubric!$B$4+G589*Rubric!$B$5+H589*Rubric!$B$6+I589*Rubric!$B$7+J589*Rubric!$B$8+K589*Rubric!$B$9+L589*Rubric!$B$10-IF(OR(H589&lt;Rubric!$B$12,K589&lt;Rubric!$B$12),Rubric!$B$13,0),2)</f>
        <v>6.6</v>
      </c>
      <c r="N589" s="14" t="n">
        <v>1403</v>
      </c>
      <c r="O589" s="2" t="s">
        <v>726</v>
      </c>
    </row>
    <row r="590" customFormat="false" ht="23.85" hidden="false" customHeight="false" outlineLevel="0" collapsed="false">
      <c r="A590" s="2" t="s">
        <v>270</v>
      </c>
      <c r="B590" s="2" t="s">
        <v>293</v>
      </c>
      <c r="C590" s="14" t="n">
        <v>1</v>
      </c>
      <c r="D590" s="14" t="n">
        <v>4</v>
      </c>
      <c r="E590" s="2" t="s">
        <v>514</v>
      </c>
      <c r="F590" s="15" t="n">
        <v>8</v>
      </c>
      <c r="G590" s="15" t="n">
        <v>8</v>
      </c>
      <c r="H590" s="15" t="n">
        <v>8</v>
      </c>
      <c r="I590" s="15" t="n">
        <v>4</v>
      </c>
      <c r="J590" s="15" t="n">
        <v>7</v>
      </c>
      <c r="K590" s="15" t="n">
        <v>7</v>
      </c>
      <c r="L590" s="15" t="n">
        <v>8</v>
      </c>
      <c r="M590" s="4" t="n">
        <f aca="false">ROUND(F590*Rubric!$B$4+G590*Rubric!$B$5+H590*Rubric!$B$6+I590*Rubric!$B$7+J590*Rubric!$B$8+K590*Rubric!$B$9+L590*Rubric!$B$10-IF(OR(H590&lt;Rubric!$B$12,K590&lt;Rubric!$B$12),Rubric!$B$13,0),2)</f>
        <v>7.1</v>
      </c>
      <c r="N590" s="14" t="n">
        <v>1403</v>
      </c>
      <c r="O590" s="2" t="s">
        <v>811</v>
      </c>
    </row>
    <row r="591" customFormat="false" ht="23.85" hidden="false" customHeight="false" outlineLevel="0" collapsed="false">
      <c r="A591" s="2" t="s">
        <v>270</v>
      </c>
      <c r="B591" s="2" t="s">
        <v>293</v>
      </c>
      <c r="C591" s="14" t="n">
        <v>2</v>
      </c>
      <c r="D591" s="14" t="n">
        <v>4</v>
      </c>
      <c r="E591" s="2" t="s">
        <v>570</v>
      </c>
      <c r="F591" s="15" t="n">
        <v>7</v>
      </c>
      <c r="G591" s="15" t="n">
        <v>8</v>
      </c>
      <c r="H591" s="15" t="n">
        <v>8</v>
      </c>
      <c r="I591" s="15" t="n">
        <v>4</v>
      </c>
      <c r="J591" s="15" t="n">
        <v>8</v>
      </c>
      <c r="K591" s="15" t="n">
        <v>7</v>
      </c>
      <c r="L591" s="15" t="n">
        <v>8</v>
      </c>
      <c r="M591" s="4" t="n">
        <f aca="false">ROUND(F591*Rubric!$B$4+G591*Rubric!$B$5+H591*Rubric!$B$6+I591*Rubric!$B$7+J591*Rubric!$B$8+K591*Rubric!$B$9+L591*Rubric!$B$10-IF(OR(H591&lt;Rubric!$B$12,K591&lt;Rubric!$B$12),Rubric!$B$13,0),2)</f>
        <v>7.45</v>
      </c>
      <c r="N591" s="14" t="n">
        <v>1403</v>
      </c>
      <c r="O591" s="2" t="s">
        <v>814</v>
      </c>
    </row>
    <row r="592" customFormat="false" ht="23.85" hidden="false" customHeight="false" outlineLevel="0" collapsed="false">
      <c r="A592" s="2" t="s">
        <v>270</v>
      </c>
      <c r="B592" s="2" t="s">
        <v>293</v>
      </c>
      <c r="C592" s="14" t="n">
        <v>0</v>
      </c>
      <c r="D592" s="14" t="n">
        <v>5</v>
      </c>
      <c r="E592" s="2" t="s">
        <v>378</v>
      </c>
      <c r="F592" s="15" t="n">
        <v>8</v>
      </c>
      <c r="G592" s="15" t="n">
        <v>8</v>
      </c>
      <c r="H592" s="15" t="n">
        <v>8</v>
      </c>
      <c r="I592" s="15" t="n">
        <v>3</v>
      </c>
      <c r="J592" s="15" t="n">
        <v>6</v>
      </c>
      <c r="K592" s="15" t="n">
        <v>8</v>
      </c>
      <c r="L592" s="15" t="n">
        <v>8</v>
      </c>
      <c r="M592" s="4" t="n">
        <f aca="false">ROUND(F592*Rubric!$B$4+G592*Rubric!$B$5+H592*Rubric!$B$6+I592*Rubric!$B$7+J592*Rubric!$B$8+K592*Rubric!$B$9+L592*Rubric!$B$10-IF(OR(H592&lt;Rubric!$B$12,K592&lt;Rubric!$B$12),Rubric!$B$13,0),2)</f>
        <v>6.7</v>
      </c>
      <c r="N592" s="14" t="n">
        <v>1404</v>
      </c>
      <c r="O592" s="2" t="s">
        <v>726</v>
      </c>
    </row>
    <row r="593" customFormat="false" ht="23.85" hidden="false" customHeight="false" outlineLevel="0" collapsed="false">
      <c r="A593" s="2" t="s">
        <v>270</v>
      </c>
      <c r="B593" s="2" t="s">
        <v>293</v>
      </c>
      <c r="C593" s="14" t="n">
        <v>1</v>
      </c>
      <c r="D593" s="14" t="n">
        <v>5</v>
      </c>
      <c r="E593" s="2" t="s">
        <v>511</v>
      </c>
      <c r="F593" s="15" t="n">
        <v>9</v>
      </c>
      <c r="G593" s="15" t="n">
        <v>9</v>
      </c>
      <c r="H593" s="15" t="n">
        <v>8</v>
      </c>
      <c r="I593" s="15" t="n">
        <v>3</v>
      </c>
      <c r="J593" s="15" t="n">
        <v>8</v>
      </c>
      <c r="K593" s="15" t="n">
        <v>9</v>
      </c>
      <c r="L593" s="15" t="n">
        <v>8</v>
      </c>
      <c r="M593" s="4" t="n">
        <f aca="false">ROUND(F593*Rubric!$B$4+G593*Rubric!$B$5+H593*Rubric!$B$6+I593*Rubric!$B$7+J593*Rubric!$B$8+K593*Rubric!$B$9+L593*Rubric!$B$10-IF(OR(H593&lt;Rubric!$B$12,K593&lt;Rubric!$B$12),Rubric!$B$13,0),2)</f>
        <v>7.8</v>
      </c>
      <c r="N593" s="14" t="n">
        <v>1404</v>
      </c>
      <c r="O593" s="2" t="s">
        <v>811</v>
      </c>
    </row>
    <row r="594" customFormat="false" ht="23.85" hidden="false" customHeight="false" outlineLevel="0" collapsed="false">
      <c r="A594" s="2" t="s">
        <v>270</v>
      </c>
      <c r="B594" s="2" t="s">
        <v>298</v>
      </c>
      <c r="C594" s="14" t="n">
        <v>0</v>
      </c>
      <c r="D594" s="14" t="n">
        <v>1</v>
      </c>
      <c r="E594" s="2" t="s">
        <v>358</v>
      </c>
      <c r="F594" s="15" t="n">
        <v>9</v>
      </c>
      <c r="G594" s="15" t="n">
        <v>9</v>
      </c>
      <c r="H594" s="15" t="n">
        <v>8</v>
      </c>
      <c r="I594" s="15" t="n">
        <v>4</v>
      </c>
      <c r="J594" s="15" t="n">
        <v>4</v>
      </c>
      <c r="K594" s="15" t="n">
        <v>9</v>
      </c>
      <c r="L594" s="15" t="n">
        <v>8</v>
      </c>
      <c r="M594" s="4" t="n">
        <f aca="false">ROUND(F594*Rubric!$B$4+G594*Rubric!$B$5+H594*Rubric!$B$6+I594*Rubric!$B$7+J594*Rubric!$B$8+K594*Rubric!$B$9+L594*Rubric!$B$10-IF(OR(H594&lt;Rubric!$B$12,K594&lt;Rubric!$B$12),Rubric!$B$13,0),2)</f>
        <v>6.3</v>
      </c>
      <c r="N594" s="14" t="n">
        <v>1410</v>
      </c>
      <c r="O594" s="2" t="s">
        <v>726</v>
      </c>
    </row>
    <row r="595" customFormat="false" ht="23.85" hidden="false" customHeight="false" outlineLevel="0" collapsed="false">
      <c r="A595" s="2" t="s">
        <v>270</v>
      </c>
      <c r="B595" s="2" t="s">
        <v>298</v>
      </c>
      <c r="C595" s="14" t="n">
        <v>1</v>
      </c>
      <c r="D595" s="14" t="n">
        <v>1</v>
      </c>
      <c r="E595" s="2" t="s">
        <v>474</v>
      </c>
      <c r="F595" s="15" t="n">
        <v>9</v>
      </c>
      <c r="G595" s="15" t="n">
        <v>9</v>
      </c>
      <c r="H595" s="15" t="n">
        <v>8</v>
      </c>
      <c r="I595" s="15" t="n">
        <v>3</v>
      </c>
      <c r="J595" s="15" t="n">
        <v>7</v>
      </c>
      <c r="K595" s="15" t="n">
        <v>9</v>
      </c>
      <c r="L595" s="15" t="n">
        <v>8</v>
      </c>
      <c r="M595" s="4" t="n">
        <f aca="false">ROUND(F595*Rubric!$B$4+G595*Rubric!$B$5+H595*Rubric!$B$6+I595*Rubric!$B$7+J595*Rubric!$B$8+K595*Rubric!$B$9+L595*Rubric!$B$10-IF(OR(H595&lt;Rubric!$B$12,K595&lt;Rubric!$B$12),Rubric!$B$13,0),2)</f>
        <v>7.4</v>
      </c>
      <c r="N595" s="14" t="n">
        <v>1410</v>
      </c>
      <c r="O595" s="2" t="s">
        <v>815</v>
      </c>
    </row>
    <row r="596" customFormat="false" ht="23.85" hidden="false" customHeight="false" outlineLevel="0" collapsed="false">
      <c r="A596" s="2" t="s">
        <v>270</v>
      </c>
      <c r="B596" s="2" t="s">
        <v>298</v>
      </c>
      <c r="C596" s="14" t="n">
        <v>2</v>
      </c>
      <c r="D596" s="14" t="n">
        <v>1</v>
      </c>
      <c r="E596" s="2" t="s">
        <v>571</v>
      </c>
      <c r="F596" s="15" t="n">
        <v>9</v>
      </c>
      <c r="G596" s="15" t="n">
        <v>9</v>
      </c>
      <c r="H596" s="15" t="n">
        <v>8</v>
      </c>
      <c r="I596" s="15" t="n">
        <v>3</v>
      </c>
      <c r="J596" s="15" t="n">
        <v>8</v>
      </c>
      <c r="K596" s="15" t="n">
        <v>9</v>
      </c>
      <c r="L596" s="15" t="n">
        <v>8</v>
      </c>
      <c r="M596" s="4" t="n">
        <f aca="false">ROUND(F596*Rubric!$B$4+G596*Rubric!$B$5+H596*Rubric!$B$6+I596*Rubric!$B$7+J596*Rubric!$B$8+K596*Rubric!$B$9+L596*Rubric!$B$10-IF(OR(H596&lt;Rubric!$B$12,K596&lt;Rubric!$B$12),Rubric!$B$13,0),2)</f>
        <v>7.8</v>
      </c>
      <c r="N596" s="14" t="n">
        <v>1410</v>
      </c>
      <c r="O596" s="2" t="s">
        <v>816</v>
      </c>
    </row>
    <row r="597" customFormat="false" ht="23.85" hidden="false" customHeight="false" outlineLevel="0" collapsed="false">
      <c r="A597" s="2" t="s">
        <v>270</v>
      </c>
      <c r="B597" s="2" t="s">
        <v>298</v>
      </c>
      <c r="C597" s="14" t="n">
        <v>0</v>
      </c>
      <c r="D597" s="14" t="n">
        <v>2</v>
      </c>
      <c r="E597" s="2" t="s">
        <v>363</v>
      </c>
      <c r="F597" s="15" t="n">
        <v>9</v>
      </c>
      <c r="G597" s="15" t="n">
        <v>9</v>
      </c>
      <c r="H597" s="15" t="n">
        <v>8</v>
      </c>
      <c r="I597" s="15" t="n">
        <v>3</v>
      </c>
      <c r="J597" s="15" t="n">
        <v>4</v>
      </c>
      <c r="K597" s="15" t="n">
        <v>9</v>
      </c>
      <c r="L597" s="15" t="n">
        <v>9</v>
      </c>
      <c r="M597" s="4" t="n">
        <f aca="false">ROUND(F597*Rubric!$B$4+G597*Rubric!$B$5+H597*Rubric!$B$6+I597*Rubric!$B$7+J597*Rubric!$B$8+K597*Rubric!$B$9+L597*Rubric!$B$10-IF(OR(H597&lt;Rubric!$B$12,K597&lt;Rubric!$B$12),Rubric!$B$13,0),2)</f>
        <v>6.3</v>
      </c>
      <c r="N597" s="14" t="n">
        <v>1411</v>
      </c>
      <c r="O597" s="2" t="s">
        <v>726</v>
      </c>
    </row>
    <row r="598" customFormat="false" ht="23.85" hidden="false" customHeight="false" outlineLevel="0" collapsed="false">
      <c r="A598" s="2" t="s">
        <v>270</v>
      </c>
      <c r="B598" s="2" t="s">
        <v>298</v>
      </c>
      <c r="C598" s="14" t="n">
        <v>1</v>
      </c>
      <c r="D598" s="14" t="n">
        <v>2</v>
      </c>
      <c r="E598" s="2" t="s">
        <v>527</v>
      </c>
      <c r="F598" s="15" t="n">
        <v>9</v>
      </c>
      <c r="G598" s="15" t="n">
        <v>9</v>
      </c>
      <c r="H598" s="15" t="n">
        <v>8</v>
      </c>
      <c r="I598" s="15" t="n">
        <v>3</v>
      </c>
      <c r="J598" s="15" t="n">
        <v>5</v>
      </c>
      <c r="K598" s="15" t="n">
        <v>9</v>
      </c>
      <c r="L598" s="15" t="n">
        <v>9</v>
      </c>
      <c r="M598" s="4" t="n">
        <f aca="false">ROUND(F598*Rubric!$B$4+G598*Rubric!$B$5+H598*Rubric!$B$6+I598*Rubric!$B$7+J598*Rubric!$B$8+K598*Rubric!$B$9+L598*Rubric!$B$10-IF(OR(H598&lt;Rubric!$B$12,K598&lt;Rubric!$B$12),Rubric!$B$13,0),2)</f>
        <v>6.7</v>
      </c>
      <c r="N598" s="14" t="n">
        <v>1411</v>
      </c>
      <c r="O598" s="2" t="s">
        <v>815</v>
      </c>
    </row>
    <row r="599" customFormat="false" ht="23.85" hidden="false" customHeight="false" outlineLevel="0" collapsed="false">
      <c r="A599" s="2" t="s">
        <v>270</v>
      </c>
      <c r="B599" s="2" t="s">
        <v>298</v>
      </c>
      <c r="C599" s="14" t="n">
        <v>2</v>
      </c>
      <c r="D599" s="14" t="n">
        <v>2</v>
      </c>
      <c r="E599" s="2" t="s">
        <v>572</v>
      </c>
      <c r="F599" s="15" t="n">
        <v>7</v>
      </c>
      <c r="G599" s="15" t="n">
        <v>9</v>
      </c>
      <c r="H599" s="15" t="n">
        <v>8</v>
      </c>
      <c r="I599" s="15" t="n">
        <v>3</v>
      </c>
      <c r="J599" s="15" t="n">
        <v>7</v>
      </c>
      <c r="K599" s="15" t="n">
        <v>9</v>
      </c>
      <c r="L599" s="15" t="n">
        <v>9</v>
      </c>
      <c r="M599" s="4" t="n">
        <f aca="false">ROUND(F599*Rubric!$B$4+G599*Rubric!$B$5+H599*Rubric!$B$6+I599*Rubric!$B$7+J599*Rubric!$B$8+K599*Rubric!$B$9+L599*Rubric!$B$10-IF(OR(H599&lt;Rubric!$B$12,K599&lt;Rubric!$B$12),Rubric!$B$13,0),2)</f>
        <v>7.4</v>
      </c>
      <c r="N599" s="14" t="n">
        <v>1411</v>
      </c>
      <c r="O599" s="2" t="s">
        <v>817</v>
      </c>
    </row>
    <row r="600" customFormat="false" ht="23.85" hidden="false" customHeight="false" outlineLevel="0" collapsed="false">
      <c r="A600" s="2" t="s">
        <v>270</v>
      </c>
      <c r="B600" s="2" t="s">
        <v>298</v>
      </c>
      <c r="C600" s="14" t="n">
        <v>0</v>
      </c>
      <c r="D600" s="14" t="n">
        <v>3</v>
      </c>
      <c r="E600" s="2" t="s">
        <v>374</v>
      </c>
      <c r="F600" s="15" t="n">
        <v>9</v>
      </c>
      <c r="G600" s="15" t="n">
        <v>9</v>
      </c>
      <c r="H600" s="15" t="n">
        <v>8</v>
      </c>
      <c r="I600" s="15" t="n">
        <v>3</v>
      </c>
      <c r="J600" s="15" t="n">
        <v>4</v>
      </c>
      <c r="K600" s="15" t="n">
        <v>9</v>
      </c>
      <c r="L600" s="15" t="n">
        <v>8</v>
      </c>
      <c r="M600" s="4" t="n">
        <f aca="false">ROUND(F600*Rubric!$B$4+G600*Rubric!$B$5+H600*Rubric!$B$6+I600*Rubric!$B$7+J600*Rubric!$B$8+K600*Rubric!$B$9+L600*Rubric!$B$10-IF(OR(H600&lt;Rubric!$B$12,K600&lt;Rubric!$B$12),Rubric!$B$13,0),2)</f>
        <v>6.2</v>
      </c>
      <c r="N600" s="14" t="n">
        <v>1412</v>
      </c>
      <c r="O600" s="2" t="s">
        <v>726</v>
      </c>
    </row>
    <row r="601" customFormat="false" ht="23.85" hidden="false" customHeight="false" outlineLevel="0" collapsed="false">
      <c r="A601" s="2" t="s">
        <v>270</v>
      </c>
      <c r="B601" s="2" t="s">
        <v>298</v>
      </c>
      <c r="C601" s="14" t="n">
        <v>1</v>
      </c>
      <c r="D601" s="14" t="n">
        <v>3</v>
      </c>
      <c r="E601" s="2" t="s">
        <v>628</v>
      </c>
      <c r="F601" s="15" t="n">
        <v>7</v>
      </c>
      <c r="G601" s="15" t="n">
        <v>8</v>
      </c>
      <c r="H601" s="15" t="n">
        <v>8</v>
      </c>
      <c r="I601" s="15" t="n">
        <v>3</v>
      </c>
      <c r="J601" s="15" t="n">
        <v>6</v>
      </c>
      <c r="K601" s="15" t="n">
        <v>8</v>
      </c>
      <c r="L601" s="15" t="n">
        <v>8</v>
      </c>
      <c r="M601" s="4" t="n">
        <f aca="false">ROUND(F601*Rubric!$B$4+G601*Rubric!$B$5+H601*Rubric!$B$6+I601*Rubric!$B$7+J601*Rubric!$B$8+K601*Rubric!$B$9+L601*Rubric!$B$10-IF(OR(H601&lt;Rubric!$B$12,K601&lt;Rubric!$B$12),Rubric!$B$13,0),2)</f>
        <v>6.65</v>
      </c>
      <c r="N601" s="14" t="n">
        <v>1412</v>
      </c>
      <c r="O601" s="2" t="s">
        <v>815</v>
      </c>
    </row>
    <row r="602" customFormat="false" ht="23.85" hidden="false" customHeight="false" outlineLevel="0" collapsed="false">
      <c r="A602" s="2" t="s">
        <v>270</v>
      </c>
      <c r="B602" s="2" t="s">
        <v>298</v>
      </c>
      <c r="C602" s="14" t="n">
        <v>2</v>
      </c>
      <c r="D602" s="14" t="n">
        <v>3</v>
      </c>
      <c r="E602" s="2" t="s">
        <v>818</v>
      </c>
      <c r="F602" s="15" t="n">
        <v>7</v>
      </c>
      <c r="G602" s="15" t="n">
        <v>8</v>
      </c>
      <c r="H602" s="15" t="n">
        <v>8</v>
      </c>
      <c r="I602" s="15" t="n">
        <v>3</v>
      </c>
      <c r="J602" s="15" t="n">
        <v>7</v>
      </c>
      <c r="K602" s="15" t="n">
        <v>8</v>
      </c>
      <c r="L602" s="15" t="n">
        <v>8</v>
      </c>
      <c r="M602" s="4" t="n">
        <f aca="false">ROUND(F602*Rubric!$B$4+G602*Rubric!$B$5+H602*Rubric!$B$6+I602*Rubric!$B$7+J602*Rubric!$B$8+K602*Rubric!$B$9+L602*Rubric!$B$10-IF(OR(H602&lt;Rubric!$B$12,K602&lt;Rubric!$B$12),Rubric!$B$13,0),2)</f>
        <v>7.05</v>
      </c>
      <c r="N602" s="14" t="n">
        <v>1412</v>
      </c>
      <c r="O602" s="2" t="s">
        <v>819</v>
      </c>
    </row>
    <row r="603" customFormat="false" ht="23.85" hidden="false" customHeight="false" outlineLevel="0" collapsed="false">
      <c r="A603" s="2" t="s">
        <v>270</v>
      </c>
      <c r="B603" s="2" t="s">
        <v>298</v>
      </c>
      <c r="C603" s="14" t="n">
        <v>3</v>
      </c>
      <c r="D603" s="14" t="n">
        <v>3</v>
      </c>
      <c r="E603" s="2" t="s">
        <v>573</v>
      </c>
      <c r="F603" s="15" t="n">
        <v>7</v>
      </c>
      <c r="G603" s="15" t="n">
        <v>7</v>
      </c>
      <c r="H603" s="15" t="n">
        <v>7</v>
      </c>
      <c r="I603" s="15" t="n">
        <v>3</v>
      </c>
      <c r="J603" s="15" t="n">
        <v>8</v>
      </c>
      <c r="K603" s="15" t="n">
        <v>7</v>
      </c>
      <c r="L603" s="15" t="n">
        <v>8</v>
      </c>
      <c r="M603" s="4" t="n">
        <f aca="false">ROUND(F603*Rubric!$B$4+G603*Rubric!$B$5+H603*Rubric!$B$6+I603*Rubric!$B$7+J603*Rubric!$B$8+K603*Rubric!$B$9+L603*Rubric!$B$10-IF(OR(H603&lt;Rubric!$B$12,K603&lt;Rubric!$B$12),Rubric!$B$13,0),2)</f>
        <v>7.1</v>
      </c>
      <c r="N603" s="14" t="n">
        <v>1412</v>
      </c>
      <c r="O603" s="2" t="s">
        <v>820</v>
      </c>
    </row>
    <row r="604" customFormat="false" ht="23.85" hidden="false" customHeight="false" outlineLevel="0" collapsed="false">
      <c r="A604" s="2" t="s">
        <v>270</v>
      </c>
      <c r="B604" s="2" t="s">
        <v>298</v>
      </c>
      <c r="C604" s="14" t="n">
        <v>0</v>
      </c>
      <c r="D604" s="14" t="n">
        <v>4</v>
      </c>
      <c r="E604" s="2" t="s">
        <v>410</v>
      </c>
      <c r="F604" s="15" t="n">
        <v>9</v>
      </c>
      <c r="G604" s="15" t="n">
        <v>8</v>
      </c>
      <c r="H604" s="15" t="n">
        <v>8</v>
      </c>
      <c r="I604" s="15" t="n">
        <v>5</v>
      </c>
      <c r="J604" s="15" t="n">
        <v>5</v>
      </c>
      <c r="K604" s="15" t="n">
        <v>7</v>
      </c>
      <c r="L604" s="15" t="n">
        <v>8</v>
      </c>
      <c r="M604" s="4" t="n">
        <f aca="false">ROUND(F604*Rubric!$B$4+G604*Rubric!$B$5+H604*Rubric!$B$6+I604*Rubric!$B$7+J604*Rubric!$B$8+K604*Rubric!$B$9+L604*Rubric!$B$10-IF(OR(H604&lt;Rubric!$B$12,K604&lt;Rubric!$B$12),Rubric!$B$13,0),2)</f>
        <v>6.45</v>
      </c>
      <c r="N604" s="14" t="n">
        <v>1413</v>
      </c>
      <c r="O604" s="2" t="s">
        <v>726</v>
      </c>
    </row>
    <row r="605" customFormat="false" ht="23.85" hidden="false" customHeight="false" outlineLevel="0" collapsed="false">
      <c r="A605" s="2" t="s">
        <v>270</v>
      </c>
      <c r="B605" s="2" t="s">
        <v>298</v>
      </c>
      <c r="C605" s="14" t="n">
        <v>1</v>
      </c>
      <c r="D605" s="14" t="n">
        <v>4</v>
      </c>
      <c r="E605" s="2" t="s">
        <v>542</v>
      </c>
      <c r="F605" s="15" t="n">
        <v>9</v>
      </c>
      <c r="G605" s="15" t="n">
        <v>7</v>
      </c>
      <c r="H605" s="15" t="n">
        <v>8</v>
      </c>
      <c r="I605" s="15" t="n">
        <v>8</v>
      </c>
      <c r="J605" s="15" t="n">
        <v>6</v>
      </c>
      <c r="K605" s="15" t="n">
        <v>8</v>
      </c>
      <c r="L605" s="15" t="n">
        <v>7</v>
      </c>
      <c r="M605" s="4" t="n">
        <f aca="false">ROUND(F605*Rubric!$B$4+G605*Rubric!$B$5+H605*Rubric!$B$6+I605*Rubric!$B$7+J605*Rubric!$B$8+K605*Rubric!$B$9+L605*Rubric!$B$10-IF(OR(H605&lt;Rubric!$B$12,K605&lt;Rubric!$B$12),Rubric!$B$13,0),2)</f>
        <v>7</v>
      </c>
      <c r="N605" s="14" t="n">
        <v>1413</v>
      </c>
      <c r="O605" s="2" t="s">
        <v>815</v>
      </c>
    </row>
    <row r="606" customFormat="false" ht="23.85" hidden="false" customHeight="false" outlineLevel="0" collapsed="false">
      <c r="A606" s="2" t="s">
        <v>270</v>
      </c>
      <c r="B606" s="2" t="s">
        <v>298</v>
      </c>
      <c r="C606" s="14" t="n">
        <v>2</v>
      </c>
      <c r="D606" s="14" t="n">
        <v>4</v>
      </c>
      <c r="E606" s="2" t="s">
        <v>574</v>
      </c>
      <c r="F606" s="15" t="n">
        <v>7</v>
      </c>
      <c r="G606" s="15" t="n">
        <v>7</v>
      </c>
      <c r="H606" s="15" t="n">
        <v>8</v>
      </c>
      <c r="I606" s="15" t="n">
        <v>8</v>
      </c>
      <c r="J606" s="15" t="n">
        <v>7</v>
      </c>
      <c r="K606" s="15" t="n">
        <v>8</v>
      </c>
      <c r="L606" s="15" t="n">
        <v>7</v>
      </c>
      <c r="M606" s="4" t="n">
        <f aca="false">ROUND(F606*Rubric!$B$4+G606*Rubric!$B$5+H606*Rubric!$B$6+I606*Rubric!$B$7+J606*Rubric!$B$8+K606*Rubric!$B$9+L606*Rubric!$B$10-IF(OR(H606&lt;Rubric!$B$12,K606&lt;Rubric!$B$12),Rubric!$B$13,0),2)</f>
        <v>7.3</v>
      </c>
      <c r="N606" s="14" t="n">
        <v>1413</v>
      </c>
      <c r="O606" s="2" t="s">
        <v>821</v>
      </c>
    </row>
    <row r="607" customFormat="false" ht="23.85" hidden="false" customHeight="false" outlineLevel="0" collapsed="false">
      <c r="A607" s="2" t="s">
        <v>270</v>
      </c>
      <c r="B607" s="2" t="s">
        <v>298</v>
      </c>
      <c r="C607" s="14" t="n">
        <v>0</v>
      </c>
      <c r="D607" s="14" t="n">
        <v>5</v>
      </c>
      <c r="E607" s="2" t="s">
        <v>381</v>
      </c>
      <c r="F607" s="15" t="n">
        <v>8</v>
      </c>
      <c r="G607" s="15" t="n">
        <v>8</v>
      </c>
      <c r="H607" s="15" t="n">
        <v>8</v>
      </c>
      <c r="I607" s="15" t="n">
        <v>8</v>
      </c>
      <c r="J607" s="15" t="n">
        <v>4</v>
      </c>
      <c r="K607" s="15" t="n">
        <v>7</v>
      </c>
      <c r="L607" s="15" t="n">
        <v>8</v>
      </c>
      <c r="M607" s="4" t="n">
        <f aca="false">ROUND(F607*Rubric!$B$4+G607*Rubric!$B$5+H607*Rubric!$B$6+I607*Rubric!$B$7+J607*Rubric!$B$8+K607*Rubric!$B$9+L607*Rubric!$B$10-IF(OR(H607&lt;Rubric!$B$12,K607&lt;Rubric!$B$12),Rubric!$B$13,0),2)</f>
        <v>6.3</v>
      </c>
      <c r="N607" s="14" t="n">
        <v>1414</v>
      </c>
      <c r="O607" s="2" t="s">
        <v>726</v>
      </c>
    </row>
    <row r="608" customFormat="false" ht="23.85" hidden="false" customHeight="false" outlineLevel="0" collapsed="false">
      <c r="A608" s="2" t="s">
        <v>270</v>
      </c>
      <c r="B608" s="2" t="s">
        <v>298</v>
      </c>
      <c r="C608" s="14" t="n">
        <v>1</v>
      </c>
      <c r="D608" s="14" t="n">
        <v>5</v>
      </c>
      <c r="E608" s="2" t="s">
        <v>514</v>
      </c>
      <c r="F608" s="15" t="n">
        <v>8</v>
      </c>
      <c r="G608" s="15" t="n">
        <v>8</v>
      </c>
      <c r="H608" s="15" t="n">
        <v>8</v>
      </c>
      <c r="I608" s="15" t="n">
        <v>4</v>
      </c>
      <c r="J608" s="15" t="n">
        <v>5</v>
      </c>
      <c r="K608" s="15" t="n">
        <v>7</v>
      </c>
      <c r="L608" s="15" t="n">
        <v>8</v>
      </c>
      <c r="M608" s="4" t="n">
        <f aca="false">ROUND(F608*Rubric!$B$4+G608*Rubric!$B$5+H608*Rubric!$B$6+I608*Rubric!$B$7+J608*Rubric!$B$8+K608*Rubric!$B$9+L608*Rubric!$B$10-IF(OR(H608&lt;Rubric!$B$12,K608&lt;Rubric!$B$12),Rubric!$B$13,0),2)</f>
        <v>6.3</v>
      </c>
      <c r="N608" s="14" t="n">
        <v>1414</v>
      </c>
      <c r="O608" s="2" t="s">
        <v>815</v>
      </c>
    </row>
    <row r="609" customFormat="false" ht="23.85" hidden="false" customHeight="false" outlineLevel="0" collapsed="false">
      <c r="A609" s="2" t="s">
        <v>270</v>
      </c>
      <c r="B609" s="2" t="s">
        <v>298</v>
      </c>
      <c r="C609" s="14" t="n">
        <v>2</v>
      </c>
      <c r="D609" s="14" t="n">
        <v>5</v>
      </c>
      <c r="E609" s="2" t="s">
        <v>575</v>
      </c>
      <c r="F609" s="15" t="n">
        <v>8</v>
      </c>
      <c r="G609" s="15" t="n">
        <v>9</v>
      </c>
      <c r="H609" s="15" t="n">
        <v>8</v>
      </c>
      <c r="I609" s="15" t="n">
        <v>3</v>
      </c>
      <c r="J609" s="15" t="n">
        <v>7</v>
      </c>
      <c r="K609" s="15" t="n">
        <v>9</v>
      </c>
      <c r="L609" s="15" t="n">
        <v>8</v>
      </c>
      <c r="M609" s="4" t="n">
        <f aca="false">ROUND(F609*Rubric!$B$4+G609*Rubric!$B$5+H609*Rubric!$B$6+I609*Rubric!$B$7+J609*Rubric!$B$8+K609*Rubric!$B$9+L609*Rubric!$B$10-IF(OR(H609&lt;Rubric!$B$12,K609&lt;Rubric!$B$12),Rubric!$B$13,0),2)</f>
        <v>7.35</v>
      </c>
      <c r="N609" s="14" t="n">
        <v>1414</v>
      </c>
      <c r="O609" s="2" t="s">
        <v>822</v>
      </c>
    </row>
  </sheetData>
  <autoFilter ref="A1:O6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7" t="s">
        <v>356</v>
      </c>
      <c r="B1" s="17" t="s">
        <v>823</v>
      </c>
      <c r="C1" s="17" t="s">
        <v>824</v>
      </c>
      <c r="D1" s="17" t="s">
        <v>825</v>
      </c>
      <c r="E1" s="17" t="s">
        <v>826</v>
      </c>
    </row>
    <row r="2" customFormat="false" ht="15" hidden="false" customHeight="false" outlineLevel="0" collapsed="false">
      <c r="A2" s="18" t="n">
        <v>0</v>
      </c>
      <c r="B2" s="19" t="n">
        <f aca="false">SUMIFS('Revision Log'!$M$2:$M$609,'Revision Log'!$N$2:$N$609,$A2,'Revision Log'!$C$2:$C$609,0)</f>
        <v>7.25</v>
      </c>
      <c r="C2" s="19" t="n">
        <f aca="false">SUMIFS('Revision Log'!$M$2:$M$609,'Revision Log'!$N$2:$N$609,$A2,'Revision Log'!$C$2:$C$609,0)</f>
        <v>7.25</v>
      </c>
      <c r="D2" s="19" t="n">
        <f aca="false">SUMIFS('Revision Log'!$M$2:$M$609,'Revision Log'!$N$2:$N$609,$A2,'Revision Log'!$C$2:$C$609,2)</f>
        <v>7.55</v>
      </c>
      <c r="E2" s="19" t="n">
        <f aca="false">SUMIFS('Revision Log'!$M$2:$M$609,'Revision Log'!$N$2:$N$609,$A2,'Revision Log'!$C$2:$C$609,2)</f>
        <v>7.55</v>
      </c>
    </row>
    <row r="3" customFormat="false" ht="15" hidden="false" customHeight="false" outlineLevel="0" collapsed="false">
      <c r="A3" s="18" t="n">
        <v>1</v>
      </c>
      <c r="B3" s="19" t="n">
        <f aca="false">SUMIFS('Revision Log'!$M$2:$M$609,'Revision Log'!$N$2:$N$609,$A3,'Revision Log'!$C$2:$C$609,0)</f>
        <v>7.9</v>
      </c>
      <c r="C3" s="19" t="n">
        <f aca="false">SUMIFS('Revision Log'!$M$2:$M$609,'Revision Log'!$N$2:$N$609,$A3,'Revision Log'!$C$2:$C$609,0)</f>
        <v>7.9</v>
      </c>
      <c r="D3" s="19" t="n">
        <f aca="false">SUMIFS('Revision Log'!$M$2:$M$609,'Revision Log'!$N$2:$N$609,$A3,'Revision Log'!$C$2:$C$609,0)</f>
        <v>7.9</v>
      </c>
      <c r="E3" s="19" t="n">
        <f aca="false">SUMIFS('Revision Log'!$M$2:$M$609,'Revision Log'!$N$2:$N$609,$A3,'Revision Log'!$C$2:$C$609,0)</f>
        <v>7.9</v>
      </c>
    </row>
    <row r="4" customFormat="false" ht="15" hidden="false" customHeight="false" outlineLevel="0" collapsed="false">
      <c r="A4" s="18" t="n">
        <v>2</v>
      </c>
      <c r="B4" s="19" t="n">
        <f aca="false">SUMIFS('Revision Log'!$M$2:$M$609,'Revision Log'!$N$2:$N$609,$A4,'Revision Log'!$C$2:$C$609,0)</f>
        <v>7</v>
      </c>
      <c r="C4" s="19" t="n">
        <f aca="false">SUMIFS('Revision Log'!$M$2:$M$609,'Revision Log'!$N$2:$N$609,$A4,'Revision Log'!$C$2:$C$609,0)</f>
        <v>7</v>
      </c>
      <c r="D4" s="19" t="n">
        <f aca="false">SUMIFS('Revision Log'!$M$2:$M$609,'Revision Log'!$N$2:$N$609,$A4,'Revision Log'!$C$2:$C$609,2)</f>
        <v>7.1</v>
      </c>
      <c r="E4" s="19" t="n">
        <f aca="false">SUMIFS('Revision Log'!$M$2:$M$609,'Revision Log'!$N$2:$N$609,$A4,'Revision Log'!$C$2:$C$609,3)</f>
        <v>7.15</v>
      </c>
    </row>
    <row r="5" customFormat="false" ht="15" hidden="false" customHeight="false" outlineLevel="0" collapsed="false">
      <c r="A5" s="18" t="n">
        <v>3</v>
      </c>
      <c r="B5" s="19" t="n">
        <f aca="false">SUMIFS('Revision Log'!$M$2:$M$609,'Revision Log'!$N$2:$N$609,$A5,'Revision Log'!$C$2:$C$609,0)</f>
        <v>6.75</v>
      </c>
      <c r="C5" s="19" t="n">
        <f aca="false">SUMIFS('Revision Log'!$M$2:$M$609,'Revision Log'!$N$2:$N$609,$A5,'Revision Log'!$C$2:$C$609,0)</f>
        <v>6.75</v>
      </c>
      <c r="D5" s="19" t="n">
        <f aca="false">SUMIFS('Revision Log'!$M$2:$M$609,'Revision Log'!$N$2:$N$609,$A5,'Revision Log'!$C$2:$C$609,2)</f>
        <v>7</v>
      </c>
      <c r="E5" s="19" t="n">
        <f aca="false">SUMIFS('Revision Log'!$M$2:$M$609,'Revision Log'!$N$2:$N$609,$A5,'Revision Log'!$C$2:$C$609,3)</f>
        <v>7.05</v>
      </c>
    </row>
    <row r="6" customFormat="false" ht="15" hidden="false" customHeight="false" outlineLevel="0" collapsed="false">
      <c r="A6" s="18" t="n">
        <v>4</v>
      </c>
      <c r="B6" s="19" t="n">
        <f aca="false">SUMIFS('Revision Log'!$M$2:$M$609,'Revision Log'!$N$2:$N$609,$A6,'Revision Log'!$C$2:$C$609,0)</f>
        <v>7.25</v>
      </c>
      <c r="C6" s="19" t="n">
        <f aca="false">SUMIFS('Revision Log'!$M$2:$M$609,'Revision Log'!$N$2:$N$609,$A6,'Revision Log'!$C$2:$C$609,0)</f>
        <v>7.25</v>
      </c>
      <c r="D6" s="19" t="n">
        <f aca="false">SUMIFS('Revision Log'!$M$2:$M$609,'Revision Log'!$N$2:$N$609,$A6,'Revision Log'!$C$2:$C$609,0)</f>
        <v>7.25</v>
      </c>
      <c r="E6" s="19" t="n">
        <f aca="false">SUMIFS('Revision Log'!$M$2:$M$609,'Revision Log'!$N$2:$N$609,$A6,'Revision Log'!$C$2:$C$609,3)</f>
        <v>7.4</v>
      </c>
    </row>
    <row r="7" customFormat="false" ht="15" hidden="false" customHeight="false" outlineLevel="0" collapsed="false">
      <c r="A7" s="18" t="n">
        <v>10</v>
      </c>
      <c r="B7" s="19" t="n">
        <f aca="false">SUMIFS('Revision Log'!$M$2:$M$609,'Revision Log'!$N$2:$N$609,$A7,'Revision Log'!$C$2:$C$609,0)</f>
        <v>6.3</v>
      </c>
      <c r="C7" s="19" t="n">
        <f aca="false">SUMIFS('Revision Log'!$M$2:$M$609,'Revision Log'!$N$2:$N$609,$A7,'Revision Log'!$C$2:$C$609,1)</f>
        <v>7.45</v>
      </c>
      <c r="D7" s="19" t="n">
        <f aca="false">SUMIFS('Revision Log'!$M$2:$M$609,'Revision Log'!$N$2:$N$609,$A7,'Revision Log'!$C$2:$C$609,2)</f>
        <v>7.7</v>
      </c>
      <c r="E7" s="19" t="n">
        <f aca="false">SUMIFS('Revision Log'!$M$2:$M$609,'Revision Log'!$N$2:$N$609,$A7,'Revision Log'!$C$2:$C$609,2)</f>
        <v>7.7</v>
      </c>
    </row>
    <row r="8" customFormat="false" ht="15" hidden="false" customHeight="false" outlineLevel="0" collapsed="false">
      <c r="A8" s="18" t="n">
        <v>11</v>
      </c>
      <c r="B8" s="19" t="n">
        <f aca="false">SUMIFS('Revision Log'!$M$2:$M$609,'Revision Log'!$N$2:$N$609,$A8,'Revision Log'!$C$2:$C$609,0)</f>
        <v>8.3</v>
      </c>
      <c r="C8" s="19" t="n">
        <f aca="false">SUMIFS('Revision Log'!$M$2:$M$609,'Revision Log'!$N$2:$N$609,$A8,'Revision Log'!$C$2:$C$609,0)</f>
        <v>8.3</v>
      </c>
      <c r="D8" s="19" t="n">
        <f aca="false">SUMIFS('Revision Log'!$M$2:$M$609,'Revision Log'!$N$2:$N$609,$A8,'Revision Log'!$C$2:$C$609,0)</f>
        <v>8.3</v>
      </c>
      <c r="E8" s="19" t="n">
        <f aca="false">SUMIFS('Revision Log'!$M$2:$M$609,'Revision Log'!$N$2:$N$609,$A8,'Revision Log'!$C$2:$C$609,0)</f>
        <v>8.3</v>
      </c>
    </row>
    <row r="9" customFormat="false" ht="15" hidden="false" customHeight="false" outlineLevel="0" collapsed="false">
      <c r="A9" s="18" t="n">
        <v>12</v>
      </c>
      <c r="B9" s="19" t="n">
        <f aca="false">SUMIFS('Revision Log'!$M$2:$M$609,'Revision Log'!$N$2:$N$609,$A9,'Revision Log'!$C$2:$C$609,0)</f>
        <v>7.8</v>
      </c>
      <c r="C9" s="19" t="n">
        <f aca="false">SUMIFS('Revision Log'!$M$2:$M$609,'Revision Log'!$N$2:$N$609,$A9,'Revision Log'!$C$2:$C$609,0)</f>
        <v>7.8</v>
      </c>
      <c r="D9" s="19" t="n">
        <f aca="false">SUMIFS('Revision Log'!$M$2:$M$609,'Revision Log'!$N$2:$N$609,$A9,'Revision Log'!$C$2:$C$609,0)</f>
        <v>7.8</v>
      </c>
      <c r="E9" s="19" t="n">
        <f aca="false">SUMIFS('Revision Log'!$M$2:$M$609,'Revision Log'!$N$2:$N$609,$A9,'Revision Log'!$C$2:$C$609,0)</f>
        <v>7.8</v>
      </c>
    </row>
    <row r="10" customFormat="false" ht="15" hidden="false" customHeight="false" outlineLevel="0" collapsed="false">
      <c r="A10" s="18" t="n">
        <v>13</v>
      </c>
      <c r="B10" s="19" t="n">
        <f aca="false">SUMIFS('Revision Log'!$M$2:$M$609,'Revision Log'!$N$2:$N$609,$A10,'Revision Log'!$C$2:$C$609,0)</f>
        <v>7.5</v>
      </c>
      <c r="C10" s="19" t="n">
        <f aca="false">SUMIFS('Revision Log'!$M$2:$M$609,'Revision Log'!$N$2:$N$609,$A10,'Revision Log'!$C$2:$C$609,0)</f>
        <v>7.5</v>
      </c>
      <c r="D10" s="19" t="n">
        <f aca="false">SUMIFS('Revision Log'!$M$2:$M$609,'Revision Log'!$N$2:$N$609,$A10,'Revision Log'!$C$2:$C$609,0)</f>
        <v>7.5</v>
      </c>
      <c r="E10" s="19" t="n">
        <f aca="false">SUMIFS('Revision Log'!$M$2:$M$609,'Revision Log'!$N$2:$N$609,$A10,'Revision Log'!$C$2:$C$609,3)</f>
        <v>7.55</v>
      </c>
    </row>
    <row r="11" customFormat="false" ht="15" hidden="false" customHeight="false" outlineLevel="0" collapsed="false">
      <c r="A11" s="18" t="n">
        <v>14</v>
      </c>
      <c r="B11" s="19" t="n">
        <f aca="false">SUMIFS('Revision Log'!$M$2:$M$609,'Revision Log'!$N$2:$N$609,$A11,'Revision Log'!$C$2:$C$609,0)</f>
        <v>7.7</v>
      </c>
      <c r="C11" s="19" t="n">
        <f aca="false">SUMIFS('Revision Log'!$M$2:$M$609,'Revision Log'!$N$2:$N$609,$A11,'Revision Log'!$C$2:$C$609,0)</f>
        <v>7.7</v>
      </c>
      <c r="D11" s="19" t="n">
        <f aca="false">SUMIFS('Revision Log'!$M$2:$M$609,'Revision Log'!$N$2:$N$609,$A11,'Revision Log'!$C$2:$C$609,0)</f>
        <v>7.7</v>
      </c>
      <c r="E11" s="19" t="n">
        <f aca="false">SUMIFS('Revision Log'!$M$2:$M$609,'Revision Log'!$N$2:$N$609,$A11,'Revision Log'!$C$2:$C$609,0)</f>
        <v>7.7</v>
      </c>
    </row>
    <row r="12" customFormat="false" ht="15" hidden="false" customHeight="false" outlineLevel="0" collapsed="false">
      <c r="A12" s="18" t="n">
        <v>20</v>
      </c>
      <c r="B12" s="19" t="n">
        <f aca="false">SUMIFS('Revision Log'!$M$2:$M$609,'Revision Log'!$N$2:$N$609,$A12,'Revision Log'!$C$2:$C$609,0)</f>
        <v>7.3</v>
      </c>
      <c r="C12" s="19" t="n">
        <f aca="false">SUMIFS('Revision Log'!$M$2:$M$609,'Revision Log'!$N$2:$N$609,$A12,'Revision Log'!$C$2:$C$609,0)</f>
        <v>7.3</v>
      </c>
      <c r="D12" s="19" t="n">
        <f aca="false">SUMIFS('Revision Log'!$M$2:$M$609,'Revision Log'!$N$2:$N$609,$A12,'Revision Log'!$C$2:$C$609,2)</f>
        <v>7.55</v>
      </c>
      <c r="E12" s="19" t="n">
        <f aca="false">SUMIFS('Revision Log'!$M$2:$M$609,'Revision Log'!$N$2:$N$609,$A12,'Revision Log'!$C$2:$C$609,2)</f>
        <v>7.55</v>
      </c>
    </row>
    <row r="13" customFormat="false" ht="15" hidden="false" customHeight="false" outlineLevel="0" collapsed="false">
      <c r="A13" s="18" t="n">
        <v>21</v>
      </c>
      <c r="B13" s="19" t="n">
        <f aca="false">SUMIFS('Revision Log'!$M$2:$M$609,'Revision Log'!$N$2:$N$609,$A13,'Revision Log'!$C$2:$C$609,0)</f>
        <v>6.75</v>
      </c>
      <c r="C13" s="19" t="n">
        <f aca="false">SUMIFS('Revision Log'!$M$2:$M$609,'Revision Log'!$N$2:$N$609,$A13,'Revision Log'!$C$2:$C$609,0)</f>
        <v>6.75</v>
      </c>
      <c r="D13" s="19" t="n">
        <f aca="false">SUMIFS('Revision Log'!$M$2:$M$609,'Revision Log'!$N$2:$N$609,$A13,'Revision Log'!$C$2:$C$609,2)</f>
        <v>7.4</v>
      </c>
      <c r="E13" s="19" t="n">
        <f aca="false">SUMIFS('Revision Log'!$M$2:$M$609,'Revision Log'!$N$2:$N$609,$A13,'Revision Log'!$C$2:$C$609,2)</f>
        <v>7.4</v>
      </c>
    </row>
    <row r="14" customFormat="false" ht="15" hidden="false" customHeight="false" outlineLevel="0" collapsed="false">
      <c r="A14" s="18" t="n">
        <v>22</v>
      </c>
      <c r="B14" s="19" t="n">
        <f aca="false">SUMIFS('Revision Log'!$M$2:$M$609,'Revision Log'!$N$2:$N$609,$A14,'Revision Log'!$C$2:$C$609,0)</f>
        <v>6.65</v>
      </c>
      <c r="C14" s="19" t="n">
        <f aca="false">SUMIFS('Revision Log'!$M$2:$M$609,'Revision Log'!$N$2:$N$609,$A14,'Revision Log'!$C$2:$C$609,1)</f>
        <v>7.15</v>
      </c>
      <c r="D14" s="19" t="n">
        <f aca="false">SUMIFS('Revision Log'!$M$2:$M$609,'Revision Log'!$N$2:$N$609,$A14,'Revision Log'!$C$2:$C$609,2)</f>
        <v>7.4</v>
      </c>
      <c r="E14" s="19" t="n">
        <f aca="false">SUMIFS('Revision Log'!$M$2:$M$609,'Revision Log'!$N$2:$N$609,$A14,'Revision Log'!$C$2:$C$609,2)</f>
        <v>7.4</v>
      </c>
    </row>
    <row r="15" customFormat="false" ht="15" hidden="false" customHeight="false" outlineLevel="0" collapsed="false">
      <c r="A15" s="18" t="n">
        <v>23</v>
      </c>
      <c r="B15" s="19" t="n">
        <f aca="false">SUMIFS('Revision Log'!$M$2:$M$609,'Revision Log'!$N$2:$N$609,$A15,'Revision Log'!$C$2:$C$609,0)</f>
        <v>6.15</v>
      </c>
      <c r="C15" s="19" t="n">
        <f aca="false">SUMIFS('Revision Log'!$M$2:$M$609,'Revision Log'!$N$2:$N$609,$A15,'Revision Log'!$C$2:$C$609,1)</f>
        <v>6.6</v>
      </c>
      <c r="D15" s="19" t="n">
        <f aca="false">SUMIFS('Revision Log'!$M$2:$M$609,'Revision Log'!$N$2:$N$609,$A15,'Revision Log'!$C$2:$C$609,2)</f>
        <v>6.85</v>
      </c>
      <c r="E15" s="19" t="n">
        <f aca="false">SUMIFS('Revision Log'!$M$2:$M$609,'Revision Log'!$N$2:$N$609,$A15,'Revision Log'!$C$2:$C$609,3)</f>
        <v>7.05</v>
      </c>
    </row>
    <row r="16" customFormat="false" ht="15" hidden="false" customHeight="false" outlineLevel="0" collapsed="false">
      <c r="A16" s="18" t="n">
        <v>24</v>
      </c>
      <c r="B16" s="19" t="n">
        <f aca="false">SUMIFS('Revision Log'!$M$2:$M$609,'Revision Log'!$N$2:$N$609,$A16,'Revision Log'!$C$2:$C$609,0)</f>
        <v>5.5</v>
      </c>
      <c r="C16" s="19" t="n">
        <f aca="false">SUMIFS('Revision Log'!$M$2:$M$609,'Revision Log'!$N$2:$N$609,$A16,'Revision Log'!$C$2:$C$609,1)</f>
        <v>6.7</v>
      </c>
      <c r="D16" s="19" t="n">
        <f aca="false">SUMIFS('Revision Log'!$M$2:$M$609,'Revision Log'!$N$2:$N$609,$A16,'Revision Log'!$C$2:$C$609,2)</f>
        <v>7.1</v>
      </c>
      <c r="E16" s="19" t="n">
        <f aca="false">SUMIFS('Revision Log'!$M$2:$M$609,'Revision Log'!$N$2:$N$609,$A16,'Revision Log'!$C$2:$C$609,2)</f>
        <v>7.1</v>
      </c>
    </row>
    <row r="17" customFormat="false" ht="15" hidden="false" customHeight="false" outlineLevel="0" collapsed="false">
      <c r="A17" s="18" t="n">
        <v>30</v>
      </c>
      <c r="B17" s="19" t="n">
        <f aca="false">SUMIFS('Revision Log'!$M$2:$M$609,'Revision Log'!$N$2:$N$609,$A17,'Revision Log'!$C$2:$C$609,0)</f>
        <v>7.8</v>
      </c>
      <c r="C17" s="19" t="n">
        <f aca="false">SUMIFS('Revision Log'!$M$2:$M$609,'Revision Log'!$N$2:$N$609,$A17,'Revision Log'!$C$2:$C$609,0)</f>
        <v>7.8</v>
      </c>
      <c r="D17" s="19" t="n">
        <f aca="false">SUMIFS('Revision Log'!$M$2:$M$609,'Revision Log'!$N$2:$N$609,$A17,'Revision Log'!$C$2:$C$609,0)</f>
        <v>7.8</v>
      </c>
      <c r="E17" s="19" t="n">
        <f aca="false">SUMIFS('Revision Log'!$M$2:$M$609,'Revision Log'!$N$2:$N$609,$A17,'Revision Log'!$C$2:$C$609,0)</f>
        <v>7.8</v>
      </c>
    </row>
    <row r="18" customFormat="false" ht="15" hidden="false" customHeight="false" outlineLevel="0" collapsed="false">
      <c r="A18" s="18" t="n">
        <v>31</v>
      </c>
      <c r="B18" s="19" t="n">
        <f aca="false">SUMIFS('Revision Log'!$M$2:$M$609,'Revision Log'!$N$2:$N$609,$A18,'Revision Log'!$C$2:$C$609,0)</f>
        <v>7.95</v>
      </c>
      <c r="C18" s="19" t="n">
        <f aca="false">SUMIFS('Revision Log'!$M$2:$M$609,'Revision Log'!$N$2:$N$609,$A18,'Revision Log'!$C$2:$C$609,0)</f>
        <v>7.95</v>
      </c>
      <c r="D18" s="19" t="n">
        <f aca="false">SUMIFS('Revision Log'!$M$2:$M$609,'Revision Log'!$N$2:$N$609,$A18,'Revision Log'!$C$2:$C$609,0)</f>
        <v>7.95</v>
      </c>
      <c r="E18" s="19" t="n">
        <f aca="false">SUMIFS('Revision Log'!$M$2:$M$609,'Revision Log'!$N$2:$N$609,$A18,'Revision Log'!$C$2:$C$609,0)</f>
        <v>7.95</v>
      </c>
    </row>
    <row r="19" customFormat="false" ht="15" hidden="false" customHeight="false" outlineLevel="0" collapsed="false">
      <c r="A19" s="18" t="n">
        <v>32</v>
      </c>
      <c r="B19" s="19" t="n">
        <f aca="false">SUMIFS('Revision Log'!$M$2:$M$609,'Revision Log'!$N$2:$N$609,$A19,'Revision Log'!$C$2:$C$609,0)</f>
        <v>8.2</v>
      </c>
      <c r="C19" s="19" t="n">
        <f aca="false">SUMIFS('Revision Log'!$M$2:$M$609,'Revision Log'!$N$2:$N$609,$A19,'Revision Log'!$C$2:$C$609,0)</f>
        <v>8.2</v>
      </c>
      <c r="D19" s="19" t="n">
        <f aca="false">SUMIFS('Revision Log'!$M$2:$M$609,'Revision Log'!$N$2:$N$609,$A19,'Revision Log'!$C$2:$C$609,0)</f>
        <v>8.2</v>
      </c>
      <c r="E19" s="19" t="n">
        <f aca="false">SUMIFS('Revision Log'!$M$2:$M$609,'Revision Log'!$N$2:$N$609,$A19,'Revision Log'!$C$2:$C$609,0)</f>
        <v>8.2</v>
      </c>
    </row>
    <row r="20" customFormat="false" ht="15" hidden="false" customHeight="false" outlineLevel="0" collapsed="false">
      <c r="A20" s="18" t="n">
        <v>33</v>
      </c>
      <c r="B20" s="19" t="n">
        <f aca="false">SUMIFS('Revision Log'!$M$2:$M$609,'Revision Log'!$N$2:$N$609,$A20,'Revision Log'!$C$2:$C$609,0)</f>
        <v>7.25</v>
      </c>
      <c r="C20" s="19" t="n">
        <f aca="false">SUMIFS('Revision Log'!$M$2:$M$609,'Revision Log'!$N$2:$N$609,$A20,'Revision Log'!$C$2:$C$609,0)</f>
        <v>7.25</v>
      </c>
      <c r="D20" s="19" t="n">
        <f aca="false">SUMIFS('Revision Log'!$M$2:$M$609,'Revision Log'!$N$2:$N$609,$A20,'Revision Log'!$C$2:$C$609,2)</f>
        <v>7.4</v>
      </c>
      <c r="E20" s="19" t="n">
        <f aca="false">SUMIFS('Revision Log'!$M$2:$M$609,'Revision Log'!$N$2:$N$609,$A20,'Revision Log'!$C$2:$C$609,2)</f>
        <v>7.4</v>
      </c>
    </row>
    <row r="21" customFormat="false" ht="15" hidden="false" customHeight="false" outlineLevel="0" collapsed="false">
      <c r="A21" s="18" t="n">
        <v>34</v>
      </c>
      <c r="B21" s="19" t="n">
        <f aca="false">SUMIFS('Revision Log'!$M$2:$M$609,'Revision Log'!$N$2:$N$609,$A21,'Revision Log'!$C$2:$C$609,0)</f>
        <v>8.1</v>
      </c>
      <c r="C21" s="19" t="n">
        <f aca="false">SUMIFS('Revision Log'!$M$2:$M$609,'Revision Log'!$N$2:$N$609,$A21,'Revision Log'!$C$2:$C$609,0)</f>
        <v>8.1</v>
      </c>
      <c r="D21" s="19" t="n">
        <f aca="false">SUMIFS('Revision Log'!$M$2:$M$609,'Revision Log'!$N$2:$N$609,$A21,'Revision Log'!$C$2:$C$609,0)</f>
        <v>8.1</v>
      </c>
      <c r="E21" s="19" t="n">
        <f aca="false">SUMIFS('Revision Log'!$M$2:$M$609,'Revision Log'!$N$2:$N$609,$A21,'Revision Log'!$C$2:$C$609,0)</f>
        <v>8.1</v>
      </c>
    </row>
    <row r="22" customFormat="false" ht="15" hidden="false" customHeight="false" outlineLevel="0" collapsed="false">
      <c r="A22" s="18" t="n">
        <v>40</v>
      </c>
      <c r="B22" s="19" t="n">
        <f aca="false">SUMIFS('Revision Log'!$M$2:$M$609,'Revision Log'!$N$2:$N$609,$A22,'Revision Log'!$C$2:$C$609,0)</f>
        <v>7.05</v>
      </c>
      <c r="C22" s="19" t="n">
        <f aca="false">SUMIFS('Revision Log'!$M$2:$M$609,'Revision Log'!$N$2:$N$609,$A22,'Revision Log'!$C$2:$C$609,0)</f>
        <v>7.05</v>
      </c>
      <c r="D22" s="19" t="n">
        <f aca="false">SUMIFS('Revision Log'!$M$2:$M$609,'Revision Log'!$N$2:$N$609,$A22,'Revision Log'!$C$2:$C$609,2)</f>
        <v>7.4</v>
      </c>
      <c r="E22" s="19" t="n">
        <f aca="false">SUMIFS('Revision Log'!$M$2:$M$609,'Revision Log'!$N$2:$N$609,$A22,'Revision Log'!$C$2:$C$609,3)</f>
        <v>7.45</v>
      </c>
    </row>
    <row r="23" customFormat="false" ht="15" hidden="false" customHeight="false" outlineLevel="0" collapsed="false">
      <c r="A23" s="18" t="n">
        <v>41</v>
      </c>
      <c r="B23" s="19" t="n">
        <f aca="false">SUMIFS('Revision Log'!$M$2:$M$609,'Revision Log'!$N$2:$N$609,$A23,'Revision Log'!$C$2:$C$609,0)</f>
        <v>5.4</v>
      </c>
      <c r="C23" s="19" t="n">
        <f aca="false">SUMIFS('Revision Log'!$M$2:$M$609,'Revision Log'!$N$2:$N$609,$A23,'Revision Log'!$C$2:$C$609,1)</f>
        <v>6.75</v>
      </c>
      <c r="D23" s="19" t="n">
        <f aca="false">SUMIFS('Revision Log'!$M$2:$M$609,'Revision Log'!$N$2:$N$609,$A23,'Revision Log'!$C$2:$C$609,2)</f>
        <v>6.9</v>
      </c>
      <c r="E23" s="19" t="n">
        <f aca="false">SUMIFS('Revision Log'!$M$2:$M$609,'Revision Log'!$N$2:$N$609,$A23,'Revision Log'!$C$2:$C$609,3)</f>
        <v>7.1</v>
      </c>
    </row>
    <row r="24" customFormat="false" ht="15" hidden="false" customHeight="false" outlineLevel="0" collapsed="false">
      <c r="A24" s="18" t="n">
        <v>42</v>
      </c>
      <c r="B24" s="19" t="n">
        <f aca="false">SUMIFS('Revision Log'!$M$2:$M$609,'Revision Log'!$N$2:$N$609,$A24,'Revision Log'!$C$2:$C$609,0)</f>
        <v>7.2</v>
      </c>
      <c r="C24" s="19" t="n">
        <f aca="false">SUMIFS('Revision Log'!$M$2:$M$609,'Revision Log'!$N$2:$N$609,$A24,'Revision Log'!$C$2:$C$609,0)</f>
        <v>7.2</v>
      </c>
      <c r="D24" s="19" t="n">
        <f aca="false">SUMIFS('Revision Log'!$M$2:$M$609,'Revision Log'!$N$2:$N$609,$A24,'Revision Log'!$C$2:$C$609,2)</f>
        <v>7.3</v>
      </c>
      <c r="E24" s="19" t="n">
        <f aca="false">SUMIFS('Revision Log'!$M$2:$M$609,'Revision Log'!$N$2:$N$609,$A24,'Revision Log'!$C$2:$C$609,3)</f>
        <v>7.35</v>
      </c>
    </row>
    <row r="25" customFormat="false" ht="15" hidden="false" customHeight="false" outlineLevel="0" collapsed="false">
      <c r="A25" s="18" t="n">
        <v>43</v>
      </c>
      <c r="B25" s="19" t="n">
        <f aca="false">SUMIFS('Revision Log'!$M$2:$M$609,'Revision Log'!$N$2:$N$609,$A25,'Revision Log'!$C$2:$C$609,0)</f>
        <v>7.35</v>
      </c>
      <c r="C25" s="19" t="n">
        <f aca="false">SUMIFS('Revision Log'!$M$2:$M$609,'Revision Log'!$N$2:$N$609,$A25,'Revision Log'!$C$2:$C$609,0)</f>
        <v>7.35</v>
      </c>
      <c r="D25" s="19" t="n">
        <f aca="false">SUMIFS('Revision Log'!$M$2:$M$609,'Revision Log'!$N$2:$N$609,$A25,'Revision Log'!$C$2:$C$609,0)</f>
        <v>7.35</v>
      </c>
      <c r="E25" s="19" t="n">
        <f aca="false">SUMIFS('Revision Log'!$M$2:$M$609,'Revision Log'!$N$2:$N$609,$A25,'Revision Log'!$C$2:$C$609,3)</f>
        <v>7.4</v>
      </c>
    </row>
    <row r="26" customFormat="false" ht="15" hidden="false" customHeight="false" outlineLevel="0" collapsed="false">
      <c r="A26" s="18" t="n">
        <v>44</v>
      </c>
      <c r="B26" s="19" t="n">
        <f aca="false">SUMIFS('Revision Log'!$M$2:$M$609,'Revision Log'!$N$2:$N$609,$A26,'Revision Log'!$C$2:$C$609,0)</f>
        <v>6.95</v>
      </c>
      <c r="C26" s="19" t="n">
        <f aca="false">SUMIFS('Revision Log'!$M$2:$M$609,'Revision Log'!$N$2:$N$609,$A26,'Revision Log'!$C$2:$C$609,0)</f>
        <v>6.95</v>
      </c>
      <c r="D26" s="19" t="n">
        <f aca="false">SUMIFS('Revision Log'!$M$2:$M$609,'Revision Log'!$N$2:$N$609,$A26,'Revision Log'!$C$2:$C$609,0)</f>
        <v>6.95</v>
      </c>
      <c r="E26" s="19" t="n">
        <f aca="false">SUMIFS('Revision Log'!$M$2:$M$609,'Revision Log'!$N$2:$N$609,$A26,'Revision Log'!$C$2:$C$609,3)</f>
        <v>7.5</v>
      </c>
    </row>
    <row r="27" customFormat="false" ht="15" hidden="false" customHeight="false" outlineLevel="0" collapsed="false">
      <c r="A27" s="18" t="n">
        <v>50</v>
      </c>
      <c r="B27" s="19" t="n">
        <f aca="false">SUMIFS('Revision Log'!$M$2:$M$609,'Revision Log'!$N$2:$N$609,$A27,'Revision Log'!$C$2:$C$609,0)</f>
        <v>7.5</v>
      </c>
      <c r="C27" s="19" t="n">
        <f aca="false">SUMIFS('Revision Log'!$M$2:$M$609,'Revision Log'!$N$2:$N$609,$A27,'Revision Log'!$C$2:$C$609,0)</f>
        <v>7.5</v>
      </c>
      <c r="D27" s="19" t="n">
        <f aca="false">SUMIFS('Revision Log'!$M$2:$M$609,'Revision Log'!$N$2:$N$609,$A27,'Revision Log'!$C$2:$C$609,0)</f>
        <v>7.5</v>
      </c>
      <c r="E27" s="19" t="n">
        <f aca="false">SUMIFS('Revision Log'!$M$2:$M$609,'Revision Log'!$N$2:$N$609,$A27,'Revision Log'!$C$2:$C$609,3)</f>
        <v>7.55</v>
      </c>
    </row>
    <row r="28" customFormat="false" ht="15" hidden="false" customHeight="false" outlineLevel="0" collapsed="false">
      <c r="A28" s="18" t="n">
        <v>51</v>
      </c>
      <c r="B28" s="19" t="n">
        <f aca="false">SUMIFS('Revision Log'!$M$2:$M$609,'Revision Log'!$N$2:$N$609,$A28,'Revision Log'!$C$2:$C$609,0)</f>
        <v>8</v>
      </c>
      <c r="C28" s="19" t="n">
        <f aca="false">SUMIFS('Revision Log'!$M$2:$M$609,'Revision Log'!$N$2:$N$609,$A28,'Revision Log'!$C$2:$C$609,0)</f>
        <v>8</v>
      </c>
      <c r="D28" s="19" t="n">
        <f aca="false">SUMIFS('Revision Log'!$M$2:$M$609,'Revision Log'!$N$2:$N$609,$A28,'Revision Log'!$C$2:$C$609,0)</f>
        <v>8</v>
      </c>
      <c r="E28" s="19" t="n">
        <f aca="false">SUMIFS('Revision Log'!$M$2:$M$609,'Revision Log'!$N$2:$N$609,$A28,'Revision Log'!$C$2:$C$609,0)</f>
        <v>8</v>
      </c>
    </row>
    <row r="29" customFormat="false" ht="15" hidden="false" customHeight="false" outlineLevel="0" collapsed="false">
      <c r="A29" s="18" t="n">
        <v>52</v>
      </c>
      <c r="B29" s="19" t="n">
        <f aca="false">SUMIFS('Revision Log'!$M$2:$M$609,'Revision Log'!$N$2:$N$609,$A29,'Revision Log'!$C$2:$C$609,0)</f>
        <v>6.9</v>
      </c>
      <c r="C29" s="19" t="n">
        <f aca="false">SUMIFS('Revision Log'!$M$2:$M$609,'Revision Log'!$N$2:$N$609,$A29,'Revision Log'!$C$2:$C$609,0)</f>
        <v>6.9</v>
      </c>
      <c r="D29" s="19" t="n">
        <f aca="false">SUMIFS('Revision Log'!$M$2:$M$609,'Revision Log'!$N$2:$N$609,$A29,'Revision Log'!$C$2:$C$609,2)</f>
        <v>7.45</v>
      </c>
      <c r="E29" s="19" t="n">
        <f aca="false">SUMIFS('Revision Log'!$M$2:$M$609,'Revision Log'!$N$2:$N$609,$A29,'Revision Log'!$C$2:$C$609,2)</f>
        <v>7.45</v>
      </c>
    </row>
    <row r="30" customFormat="false" ht="15" hidden="false" customHeight="false" outlineLevel="0" collapsed="false">
      <c r="A30" s="18" t="n">
        <v>53</v>
      </c>
      <c r="B30" s="19" t="n">
        <f aca="false">SUMIFS('Revision Log'!$M$2:$M$609,'Revision Log'!$N$2:$N$609,$A30,'Revision Log'!$C$2:$C$609,0)</f>
        <v>7.3</v>
      </c>
      <c r="C30" s="19" t="n">
        <f aca="false">SUMIFS('Revision Log'!$M$2:$M$609,'Revision Log'!$N$2:$N$609,$A30,'Revision Log'!$C$2:$C$609,1)</f>
        <v>8.5</v>
      </c>
      <c r="D30" s="19" t="n">
        <f aca="false">SUMIFS('Revision Log'!$M$2:$M$609,'Revision Log'!$N$2:$N$609,$A30,'Revision Log'!$C$2:$C$609,1)</f>
        <v>8.5</v>
      </c>
      <c r="E30" s="19" t="n">
        <f aca="false">SUMIFS('Revision Log'!$M$2:$M$609,'Revision Log'!$N$2:$N$609,$A30,'Revision Log'!$C$2:$C$609,1)</f>
        <v>8.5</v>
      </c>
    </row>
    <row r="31" customFormat="false" ht="15" hidden="false" customHeight="false" outlineLevel="0" collapsed="false">
      <c r="A31" s="18" t="n">
        <v>54</v>
      </c>
      <c r="B31" s="19" t="n">
        <f aca="false">SUMIFS('Revision Log'!$M$2:$M$609,'Revision Log'!$N$2:$N$609,$A31,'Revision Log'!$C$2:$C$609,0)</f>
        <v>6.55</v>
      </c>
      <c r="C31" s="19" t="n">
        <f aca="false">SUMIFS('Revision Log'!$M$2:$M$609,'Revision Log'!$N$2:$N$609,$A31,'Revision Log'!$C$2:$C$609,1)</f>
        <v>6.75</v>
      </c>
      <c r="D31" s="19" t="n">
        <f aca="false">SUMIFS('Revision Log'!$M$2:$M$609,'Revision Log'!$N$2:$N$609,$A31,'Revision Log'!$C$2:$C$609,2)</f>
        <v>7.3</v>
      </c>
      <c r="E31" s="19" t="n">
        <f aca="false">SUMIFS('Revision Log'!$M$2:$M$609,'Revision Log'!$N$2:$N$609,$A31,'Revision Log'!$C$2:$C$609,3)</f>
        <v>7.45</v>
      </c>
    </row>
    <row r="32" customFormat="false" ht="15" hidden="false" customHeight="false" outlineLevel="0" collapsed="false">
      <c r="A32" s="18" t="n">
        <v>60</v>
      </c>
      <c r="B32" s="19" t="n">
        <f aca="false">SUMIFS('Revision Log'!$M$2:$M$609,'Revision Log'!$N$2:$N$609,$A32,'Revision Log'!$C$2:$C$609,0)</f>
        <v>5.65</v>
      </c>
      <c r="C32" s="19" t="n">
        <f aca="false">SUMIFS('Revision Log'!$M$2:$M$609,'Revision Log'!$N$2:$N$609,$A32,'Revision Log'!$C$2:$C$609,1)</f>
        <v>7.15</v>
      </c>
      <c r="D32" s="19" t="n">
        <f aca="false">SUMIFS('Revision Log'!$M$2:$M$609,'Revision Log'!$N$2:$N$609,$A32,'Revision Log'!$C$2:$C$609,2)</f>
        <v>7.25</v>
      </c>
      <c r="E32" s="19" t="n">
        <f aca="false">SUMIFS('Revision Log'!$M$2:$M$609,'Revision Log'!$N$2:$N$609,$A32,'Revision Log'!$C$2:$C$609,3)</f>
        <v>7.55</v>
      </c>
    </row>
    <row r="33" customFormat="false" ht="15" hidden="false" customHeight="false" outlineLevel="0" collapsed="false">
      <c r="A33" s="18" t="n">
        <v>61</v>
      </c>
      <c r="B33" s="19" t="n">
        <f aca="false">SUMIFS('Revision Log'!$M$2:$M$609,'Revision Log'!$N$2:$N$609,$A33,'Revision Log'!$C$2:$C$609,0)</f>
        <v>7.85</v>
      </c>
      <c r="C33" s="19" t="n">
        <f aca="false">SUMIFS('Revision Log'!$M$2:$M$609,'Revision Log'!$N$2:$N$609,$A33,'Revision Log'!$C$2:$C$609,0)</f>
        <v>7.85</v>
      </c>
      <c r="D33" s="19" t="n">
        <f aca="false">SUMIFS('Revision Log'!$M$2:$M$609,'Revision Log'!$N$2:$N$609,$A33,'Revision Log'!$C$2:$C$609,0)</f>
        <v>7.85</v>
      </c>
      <c r="E33" s="19" t="n">
        <f aca="false">SUMIFS('Revision Log'!$M$2:$M$609,'Revision Log'!$N$2:$N$609,$A33,'Revision Log'!$C$2:$C$609,3)</f>
        <v>7.9</v>
      </c>
    </row>
    <row r="34" customFormat="false" ht="15" hidden="false" customHeight="false" outlineLevel="0" collapsed="false">
      <c r="A34" s="18" t="n">
        <v>62</v>
      </c>
      <c r="B34" s="19" t="n">
        <f aca="false">SUMIFS('Revision Log'!$M$2:$M$609,'Revision Log'!$N$2:$N$609,$A34,'Revision Log'!$C$2:$C$609,0)</f>
        <v>7.55</v>
      </c>
      <c r="C34" s="19" t="n">
        <f aca="false">SUMIFS('Revision Log'!$M$2:$M$609,'Revision Log'!$N$2:$N$609,$A34,'Revision Log'!$C$2:$C$609,0)</f>
        <v>7.55</v>
      </c>
      <c r="D34" s="19" t="n">
        <f aca="false">SUMIFS('Revision Log'!$M$2:$M$609,'Revision Log'!$N$2:$N$609,$A34,'Revision Log'!$C$2:$C$609,0)</f>
        <v>7.55</v>
      </c>
      <c r="E34" s="19" t="n">
        <f aca="false">SUMIFS('Revision Log'!$M$2:$M$609,'Revision Log'!$N$2:$N$609,$A34,'Revision Log'!$C$2:$C$609,0)</f>
        <v>7.55</v>
      </c>
    </row>
    <row r="35" customFormat="false" ht="15" hidden="false" customHeight="false" outlineLevel="0" collapsed="false">
      <c r="A35" s="18" t="n">
        <v>63</v>
      </c>
      <c r="B35" s="19" t="n">
        <f aca="false">SUMIFS('Revision Log'!$M$2:$M$609,'Revision Log'!$N$2:$N$609,$A35,'Revision Log'!$C$2:$C$609,0)</f>
        <v>6.65</v>
      </c>
      <c r="C35" s="19" t="n">
        <f aca="false">SUMIFS('Revision Log'!$M$2:$M$609,'Revision Log'!$N$2:$N$609,$A35,'Revision Log'!$C$2:$C$609,1)</f>
        <v>6.65</v>
      </c>
      <c r="D35" s="19" t="n">
        <f aca="false">SUMIFS('Revision Log'!$M$2:$M$609,'Revision Log'!$N$2:$N$609,$A35,'Revision Log'!$C$2:$C$609,2)</f>
        <v>7.45</v>
      </c>
      <c r="E35" s="19" t="n">
        <f aca="false">SUMIFS('Revision Log'!$M$2:$M$609,'Revision Log'!$N$2:$N$609,$A35,'Revision Log'!$C$2:$C$609,2)</f>
        <v>7.45</v>
      </c>
    </row>
    <row r="36" customFormat="false" ht="15" hidden="false" customHeight="false" outlineLevel="0" collapsed="false">
      <c r="A36" s="18" t="n">
        <v>64</v>
      </c>
      <c r="B36" s="19" t="n">
        <f aca="false">SUMIFS('Revision Log'!$M$2:$M$609,'Revision Log'!$N$2:$N$609,$A36,'Revision Log'!$C$2:$C$609,0)</f>
        <v>6.7</v>
      </c>
      <c r="C36" s="19" t="n">
        <f aca="false">SUMIFS('Revision Log'!$M$2:$M$609,'Revision Log'!$N$2:$N$609,$A36,'Revision Log'!$C$2:$C$609,0)</f>
        <v>6.7</v>
      </c>
      <c r="D36" s="19" t="n">
        <f aca="false">SUMIFS('Revision Log'!$M$2:$M$609,'Revision Log'!$N$2:$N$609,$A36,'Revision Log'!$C$2:$C$609,2)</f>
        <v>7.45</v>
      </c>
      <c r="E36" s="19" t="n">
        <f aca="false">SUMIFS('Revision Log'!$M$2:$M$609,'Revision Log'!$N$2:$N$609,$A36,'Revision Log'!$C$2:$C$609,2)</f>
        <v>7.45</v>
      </c>
    </row>
    <row r="37" customFormat="false" ht="15" hidden="false" customHeight="false" outlineLevel="0" collapsed="false">
      <c r="A37" s="18" t="n">
        <v>70</v>
      </c>
      <c r="B37" s="19" t="n">
        <f aca="false">SUMIFS('Revision Log'!$M$2:$M$609,'Revision Log'!$N$2:$N$609,$A37,'Revision Log'!$C$2:$C$609,0)</f>
        <v>8.2</v>
      </c>
      <c r="C37" s="19" t="n">
        <f aca="false">SUMIFS('Revision Log'!$M$2:$M$609,'Revision Log'!$N$2:$N$609,$A37,'Revision Log'!$C$2:$C$609,0)</f>
        <v>8.2</v>
      </c>
      <c r="D37" s="19" t="n">
        <f aca="false">SUMIFS('Revision Log'!$M$2:$M$609,'Revision Log'!$N$2:$N$609,$A37,'Revision Log'!$C$2:$C$609,0)</f>
        <v>8.2</v>
      </c>
      <c r="E37" s="19" t="n">
        <f aca="false">SUMIFS('Revision Log'!$M$2:$M$609,'Revision Log'!$N$2:$N$609,$A37,'Revision Log'!$C$2:$C$609,0)</f>
        <v>8.2</v>
      </c>
    </row>
    <row r="38" customFormat="false" ht="15" hidden="false" customHeight="false" outlineLevel="0" collapsed="false">
      <c r="A38" s="18" t="n">
        <v>71</v>
      </c>
      <c r="B38" s="19" t="n">
        <f aca="false">SUMIFS('Revision Log'!$M$2:$M$609,'Revision Log'!$N$2:$N$609,$A38,'Revision Log'!$C$2:$C$609,0)</f>
        <v>8.05</v>
      </c>
      <c r="C38" s="19" t="n">
        <f aca="false">SUMIFS('Revision Log'!$M$2:$M$609,'Revision Log'!$N$2:$N$609,$A38,'Revision Log'!$C$2:$C$609,0)</f>
        <v>8.05</v>
      </c>
      <c r="D38" s="19" t="n">
        <f aca="false">SUMIFS('Revision Log'!$M$2:$M$609,'Revision Log'!$N$2:$N$609,$A38,'Revision Log'!$C$2:$C$609,0)</f>
        <v>8.05</v>
      </c>
      <c r="E38" s="19" t="n">
        <f aca="false">SUMIFS('Revision Log'!$M$2:$M$609,'Revision Log'!$N$2:$N$609,$A38,'Revision Log'!$C$2:$C$609,0)</f>
        <v>8.05</v>
      </c>
    </row>
    <row r="39" customFormat="false" ht="15" hidden="false" customHeight="false" outlineLevel="0" collapsed="false">
      <c r="A39" s="18" t="n">
        <v>72</v>
      </c>
      <c r="B39" s="19" t="n">
        <f aca="false">SUMIFS('Revision Log'!$M$2:$M$609,'Revision Log'!$N$2:$N$609,$A39,'Revision Log'!$C$2:$C$609,0)</f>
        <v>5.6</v>
      </c>
      <c r="C39" s="19" t="n">
        <f aca="false">SUMIFS('Revision Log'!$M$2:$M$609,'Revision Log'!$N$2:$N$609,$A39,'Revision Log'!$C$2:$C$609,1)</f>
        <v>7.5</v>
      </c>
      <c r="D39" s="19" t="n">
        <f aca="false">SUMIFS('Revision Log'!$M$2:$M$609,'Revision Log'!$N$2:$N$609,$A39,'Revision Log'!$C$2:$C$609,1)</f>
        <v>7.5</v>
      </c>
      <c r="E39" s="19" t="n">
        <f aca="false">SUMIFS('Revision Log'!$M$2:$M$609,'Revision Log'!$N$2:$N$609,$A39,'Revision Log'!$C$2:$C$609,1)</f>
        <v>7.5</v>
      </c>
    </row>
    <row r="40" customFormat="false" ht="15" hidden="false" customHeight="false" outlineLevel="0" collapsed="false">
      <c r="A40" s="18" t="n">
        <v>73</v>
      </c>
      <c r="B40" s="19" t="n">
        <f aca="false">SUMIFS('Revision Log'!$M$2:$M$609,'Revision Log'!$N$2:$N$609,$A40,'Revision Log'!$C$2:$C$609,0)</f>
        <v>6.75</v>
      </c>
      <c r="C40" s="19" t="n">
        <f aca="false">SUMIFS('Revision Log'!$M$2:$M$609,'Revision Log'!$N$2:$N$609,$A40,'Revision Log'!$C$2:$C$609,1)</f>
        <v>7.25</v>
      </c>
      <c r="D40" s="19" t="n">
        <f aca="false">SUMIFS('Revision Log'!$M$2:$M$609,'Revision Log'!$N$2:$N$609,$A40,'Revision Log'!$C$2:$C$609,1)</f>
        <v>7.25</v>
      </c>
      <c r="E40" s="19" t="n">
        <f aca="false">SUMIFS('Revision Log'!$M$2:$M$609,'Revision Log'!$N$2:$N$609,$A40,'Revision Log'!$C$2:$C$609,1)</f>
        <v>7.25</v>
      </c>
    </row>
    <row r="41" customFormat="false" ht="15" hidden="false" customHeight="false" outlineLevel="0" collapsed="false">
      <c r="A41" s="18" t="n">
        <v>74</v>
      </c>
      <c r="B41" s="19" t="n">
        <f aca="false">SUMIFS('Revision Log'!$M$2:$M$609,'Revision Log'!$N$2:$N$609,$A41,'Revision Log'!$C$2:$C$609,0)</f>
        <v>8.2</v>
      </c>
      <c r="C41" s="19" t="n">
        <f aca="false">SUMIFS('Revision Log'!$M$2:$M$609,'Revision Log'!$N$2:$N$609,$A41,'Revision Log'!$C$2:$C$609,0)</f>
        <v>8.2</v>
      </c>
      <c r="D41" s="19" t="n">
        <f aca="false">SUMIFS('Revision Log'!$M$2:$M$609,'Revision Log'!$N$2:$N$609,$A41,'Revision Log'!$C$2:$C$609,0)</f>
        <v>8.2</v>
      </c>
      <c r="E41" s="19" t="n">
        <f aca="false">SUMIFS('Revision Log'!$M$2:$M$609,'Revision Log'!$N$2:$N$609,$A41,'Revision Log'!$C$2:$C$609,0)</f>
        <v>8.2</v>
      </c>
    </row>
    <row r="42" customFormat="false" ht="15" hidden="false" customHeight="false" outlineLevel="0" collapsed="false">
      <c r="A42" s="18" t="n">
        <v>80</v>
      </c>
      <c r="B42" s="19" t="n">
        <f aca="false">SUMIFS('Revision Log'!$M$2:$M$609,'Revision Log'!$N$2:$N$609,$A42,'Revision Log'!$C$2:$C$609,0)</f>
        <v>7</v>
      </c>
      <c r="C42" s="19" t="n">
        <f aca="false">SUMIFS('Revision Log'!$M$2:$M$609,'Revision Log'!$N$2:$N$609,$A42,'Revision Log'!$C$2:$C$609,1)</f>
        <v>7.05</v>
      </c>
      <c r="D42" s="19" t="n">
        <f aca="false">SUMIFS('Revision Log'!$M$2:$M$609,'Revision Log'!$N$2:$N$609,$A42,'Revision Log'!$C$2:$C$609,2)</f>
        <v>7.3</v>
      </c>
      <c r="E42" s="19" t="n">
        <f aca="false">SUMIFS('Revision Log'!$M$2:$M$609,'Revision Log'!$N$2:$N$609,$A42,'Revision Log'!$C$2:$C$609,2)</f>
        <v>7.3</v>
      </c>
    </row>
    <row r="43" customFormat="false" ht="15" hidden="false" customHeight="false" outlineLevel="0" collapsed="false">
      <c r="A43" s="18" t="n">
        <v>81</v>
      </c>
      <c r="B43" s="19" t="n">
        <f aca="false">SUMIFS('Revision Log'!$M$2:$M$609,'Revision Log'!$N$2:$N$609,$A43,'Revision Log'!$C$2:$C$609,0)</f>
        <v>6.7</v>
      </c>
      <c r="C43" s="19" t="n">
        <f aca="false">SUMIFS('Revision Log'!$M$2:$M$609,'Revision Log'!$N$2:$N$609,$A43,'Revision Log'!$C$2:$C$609,1)</f>
        <v>8.4</v>
      </c>
      <c r="D43" s="19" t="n">
        <f aca="false">SUMIFS('Revision Log'!$M$2:$M$609,'Revision Log'!$N$2:$N$609,$A43,'Revision Log'!$C$2:$C$609,1)</f>
        <v>8.4</v>
      </c>
      <c r="E43" s="19" t="n">
        <f aca="false">SUMIFS('Revision Log'!$M$2:$M$609,'Revision Log'!$N$2:$N$609,$A43,'Revision Log'!$C$2:$C$609,1)</f>
        <v>8.4</v>
      </c>
    </row>
    <row r="44" customFormat="false" ht="15" hidden="false" customHeight="false" outlineLevel="0" collapsed="false">
      <c r="A44" s="18" t="n">
        <v>82</v>
      </c>
      <c r="B44" s="19" t="n">
        <f aca="false">SUMIFS('Revision Log'!$M$2:$M$609,'Revision Log'!$N$2:$N$609,$A44,'Revision Log'!$C$2:$C$609,0)</f>
        <v>9.3</v>
      </c>
      <c r="C44" s="19" t="n">
        <f aca="false">SUMIFS('Revision Log'!$M$2:$M$609,'Revision Log'!$N$2:$N$609,$A44,'Revision Log'!$C$2:$C$609,0)</f>
        <v>9.3</v>
      </c>
      <c r="D44" s="19" t="n">
        <f aca="false">SUMIFS('Revision Log'!$M$2:$M$609,'Revision Log'!$N$2:$N$609,$A44,'Revision Log'!$C$2:$C$609,0)</f>
        <v>9.3</v>
      </c>
      <c r="E44" s="19" t="n">
        <f aca="false">SUMIFS('Revision Log'!$M$2:$M$609,'Revision Log'!$N$2:$N$609,$A44,'Revision Log'!$C$2:$C$609,0)</f>
        <v>9.3</v>
      </c>
    </row>
    <row r="45" customFormat="false" ht="15" hidden="false" customHeight="false" outlineLevel="0" collapsed="false">
      <c r="A45" s="18" t="n">
        <v>83</v>
      </c>
      <c r="B45" s="19" t="n">
        <f aca="false">SUMIFS('Revision Log'!$M$2:$M$609,'Revision Log'!$N$2:$N$609,$A45,'Revision Log'!$C$2:$C$609,0)</f>
        <v>7.3</v>
      </c>
      <c r="C45" s="19" t="n">
        <f aca="false">SUMIFS('Revision Log'!$M$2:$M$609,'Revision Log'!$N$2:$N$609,$A45,'Revision Log'!$C$2:$C$609,1)</f>
        <v>8.65</v>
      </c>
      <c r="D45" s="19" t="n">
        <f aca="false">SUMIFS('Revision Log'!$M$2:$M$609,'Revision Log'!$N$2:$N$609,$A45,'Revision Log'!$C$2:$C$609,1)</f>
        <v>8.65</v>
      </c>
      <c r="E45" s="19" t="n">
        <f aca="false">SUMIFS('Revision Log'!$M$2:$M$609,'Revision Log'!$N$2:$N$609,$A45,'Revision Log'!$C$2:$C$609,1)</f>
        <v>8.65</v>
      </c>
    </row>
    <row r="46" customFormat="false" ht="15" hidden="false" customHeight="false" outlineLevel="0" collapsed="false">
      <c r="A46" s="18" t="n">
        <v>84</v>
      </c>
      <c r="B46" s="19" t="n">
        <f aca="false">SUMIFS('Revision Log'!$M$2:$M$609,'Revision Log'!$N$2:$N$609,$A46,'Revision Log'!$C$2:$C$609,0)</f>
        <v>7.65</v>
      </c>
      <c r="C46" s="19" t="n">
        <f aca="false">SUMIFS('Revision Log'!$M$2:$M$609,'Revision Log'!$N$2:$N$609,$A46,'Revision Log'!$C$2:$C$609,0)</f>
        <v>7.65</v>
      </c>
      <c r="D46" s="19" t="n">
        <f aca="false">SUMIFS('Revision Log'!$M$2:$M$609,'Revision Log'!$N$2:$N$609,$A46,'Revision Log'!$C$2:$C$609,0)</f>
        <v>7.65</v>
      </c>
      <c r="E46" s="19" t="n">
        <f aca="false">SUMIFS('Revision Log'!$M$2:$M$609,'Revision Log'!$N$2:$N$609,$A46,'Revision Log'!$C$2:$C$609,3)</f>
        <v>8.25</v>
      </c>
    </row>
    <row r="47" customFormat="false" ht="15" hidden="false" customHeight="false" outlineLevel="0" collapsed="false">
      <c r="A47" s="18" t="n">
        <v>90</v>
      </c>
      <c r="B47" s="19" t="n">
        <f aca="false">SUMIFS('Revision Log'!$M$2:$M$609,'Revision Log'!$N$2:$N$609,$A47,'Revision Log'!$C$2:$C$609,0)</f>
        <v>7.6</v>
      </c>
      <c r="C47" s="19" t="n">
        <f aca="false">SUMIFS('Revision Log'!$M$2:$M$609,'Revision Log'!$N$2:$N$609,$A47,'Revision Log'!$C$2:$C$609,0)</f>
        <v>7.6</v>
      </c>
      <c r="D47" s="19" t="n">
        <f aca="false">SUMIFS('Revision Log'!$M$2:$M$609,'Revision Log'!$N$2:$N$609,$A47,'Revision Log'!$C$2:$C$609,0)</f>
        <v>7.6</v>
      </c>
      <c r="E47" s="19" t="n">
        <f aca="false">SUMIFS('Revision Log'!$M$2:$M$609,'Revision Log'!$N$2:$N$609,$A47,'Revision Log'!$C$2:$C$609,0)</f>
        <v>7.6</v>
      </c>
    </row>
    <row r="48" customFormat="false" ht="15" hidden="false" customHeight="false" outlineLevel="0" collapsed="false">
      <c r="A48" s="18" t="n">
        <v>91</v>
      </c>
      <c r="B48" s="19" t="n">
        <f aca="false">SUMIFS('Revision Log'!$M$2:$M$609,'Revision Log'!$N$2:$N$609,$A48,'Revision Log'!$C$2:$C$609,0)</f>
        <v>6.55</v>
      </c>
      <c r="C48" s="19" t="n">
        <f aca="false">SUMIFS('Revision Log'!$M$2:$M$609,'Revision Log'!$N$2:$N$609,$A48,'Revision Log'!$C$2:$C$609,1)</f>
        <v>6.65</v>
      </c>
      <c r="D48" s="19" t="n">
        <f aca="false">SUMIFS('Revision Log'!$M$2:$M$609,'Revision Log'!$N$2:$N$609,$A48,'Revision Log'!$C$2:$C$609,2)</f>
        <v>7.85</v>
      </c>
      <c r="E48" s="19" t="n">
        <f aca="false">SUMIFS('Revision Log'!$M$2:$M$609,'Revision Log'!$N$2:$N$609,$A48,'Revision Log'!$C$2:$C$609,2)</f>
        <v>7.85</v>
      </c>
    </row>
    <row r="49" customFormat="false" ht="15" hidden="false" customHeight="false" outlineLevel="0" collapsed="false">
      <c r="A49" s="18" t="n">
        <v>92</v>
      </c>
      <c r="B49" s="19" t="n">
        <f aca="false">SUMIFS('Revision Log'!$M$2:$M$609,'Revision Log'!$N$2:$N$609,$A49,'Revision Log'!$C$2:$C$609,0)</f>
        <v>8.9</v>
      </c>
      <c r="C49" s="19" t="n">
        <f aca="false">SUMIFS('Revision Log'!$M$2:$M$609,'Revision Log'!$N$2:$N$609,$A49,'Revision Log'!$C$2:$C$609,0)</f>
        <v>8.9</v>
      </c>
      <c r="D49" s="19" t="n">
        <f aca="false">SUMIFS('Revision Log'!$M$2:$M$609,'Revision Log'!$N$2:$N$609,$A49,'Revision Log'!$C$2:$C$609,0)</f>
        <v>8.9</v>
      </c>
      <c r="E49" s="19" t="n">
        <f aca="false">SUMIFS('Revision Log'!$M$2:$M$609,'Revision Log'!$N$2:$N$609,$A49,'Revision Log'!$C$2:$C$609,0)</f>
        <v>8.9</v>
      </c>
    </row>
    <row r="50" customFormat="false" ht="15" hidden="false" customHeight="false" outlineLevel="0" collapsed="false">
      <c r="A50" s="18" t="n">
        <v>93</v>
      </c>
      <c r="B50" s="19" t="n">
        <f aca="false">SUMIFS('Revision Log'!$M$2:$M$609,'Revision Log'!$N$2:$N$609,$A50,'Revision Log'!$C$2:$C$609,0)</f>
        <v>6.35</v>
      </c>
      <c r="C50" s="19" t="n">
        <f aca="false">SUMIFS('Revision Log'!$M$2:$M$609,'Revision Log'!$N$2:$N$609,$A50,'Revision Log'!$C$2:$C$609,1)</f>
        <v>6.95</v>
      </c>
      <c r="D50" s="19" t="n">
        <f aca="false">SUMIFS('Revision Log'!$M$2:$M$609,'Revision Log'!$N$2:$N$609,$A50,'Revision Log'!$C$2:$C$609,2)</f>
        <v>7.25</v>
      </c>
      <c r="E50" s="19" t="n">
        <f aca="false">SUMIFS('Revision Log'!$M$2:$M$609,'Revision Log'!$N$2:$N$609,$A50,'Revision Log'!$C$2:$C$609,2)</f>
        <v>7.25</v>
      </c>
    </row>
    <row r="51" customFormat="false" ht="15" hidden="false" customHeight="false" outlineLevel="0" collapsed="false">
      <c r="A51" s="18" t="n">
        <v>94</v>
      </c>
      <c r="B51" s="19" t="n">
        <f aca="false">SUMIFS('Revision Log'!$M$2:$M$609,'Revision Log'!$N$2:$N$609,$A51,'Revision Log'!$C$2:$C$609,0)</f>
        <v>6.25</v>
      </c>
      <c r="C51" s="19" t="n">
        <f aca="false">SUMIFS('Revision Log'!$M$2:$M$609,'Revision Log'!$N$2:$N$609,$A51,'Revision Log'!$C$2:$C$609,1)</f>
        <v>7.25</v>
      </c>
      <c r="D51" s="19" t="n">
        <f aca="false">SUMIFS('Revision Log'!$M$2:$M$609,'Revision Log'!$N$2:$N$609,$A51,'Revision Log'!$C$2:$C$609,1)</f>
        <v>7.25</v>
      </c>
      <c r="E51" s="19" t="n">
        <f aca="false">SUMIFS('Revision Log'!$M$2:$M$609,'Revision Log'!$N$2:$N$609,$A51,'Revision Log'!$C$2:$C$609,1)</f>
        <v>7.25</v>
      </c>
    </row>
    <row r="52" customFormat="false" ht="15" hidden="false" customHeight="false" outlineLevel="0" collapsed="false">
      <c r="A52" s="18" t="n">
        <v>100</v>
      </c>
      <c r="B52" s="19" t="n">
        <f aca="false">SUMIFS('Revision Log'!$M$2:$M$609,'Revision Log'!$N$2:$N$609,$A52,'Revision Log'!$C$2:$C$609,0)</f>
        <v>7.7</v>
      </c>
      <c r="C52" s="19" t="n">
        <f aca="false">SUMIFS('Revision Log'!$M$2:$M$609,'Revision Log'!$N$2:$N$609,$A52,'Revision Log'!$C$2:$C$609,0)</f>
        <v>7.7</v>
      </c>
      <c r="D52" s="19" t="n">
        <f aca="false">SUMIFS('Revision Log'!$M$2:$M$609,'Revision Log'!$N$2:$N$609,$A52,'Revision Log'!$C$2:$C$609,2)</f>
        <v>8.9</v>
      </c>
      <c r="E52" s="19" t="n">
        <f aca="false">SUMIFS('Revision Log'!$M$2:$M$609,'Revision Log'!$N$2:$N$609,$A52,'Revision Log'!$C$2:$C$609,2)</f>
        <v>8.9</v>
      </c>
    </row>
    <row r="53" customFormat="false" ht="15" hidden="false" customHeight="false" outlineLevel="0" collapsed="false">
      <c r="A53" s="18" t="n">
        <v>101</v>
      </c>
      <c r="B53" s="19" t="n">
        <f aca="false">SUMIFS('Revision Log'!$M$2:$M$609,'Revision Log'!$N$2:$N$609,$A53,'Revision Log'!$C$2:$C$609,0)</f>
        <v>8.75</v>
      </c>
      <c r="C53" s="19" t="n">
        <f aca="false">SUMIFS('Revision Log'!$M$2:$M$609,'Revision Log'!$N$2:$N$609,$A53,'Revision Log'!$C$2:$C$609,0)</f>
        <v>8.75</v>
      </c>
      <c r="D53" s="19" t="n">
        <f aca="false">SUMIFS('Revision Log'!$M$2:$M$609,'Revision Log'!$N$2:$N$609,$A53,'Revision Log'!$C$2:$C$609,0)</f>
        <v>8.75</v>
      </c>
      <c r="E53" s="19" t="n">
        <f aca="false">SUMIFS('Revision Log'!$M$2:$M$609,'Revision Log'!$N$2:$N$609,$A53,'Revision Log'!$C$2:$C$609,0)</f>
        <v>8.75</v>
      </c>
    </row>
    <row r="54" customFormat="false" ht="15" hidden="false" customHeight="false" outlineLevel="0" collapsed="false">
      <c r="A54" s="18" t="n">
        <v>102</v>
      </c>
      <c r="B54" s="19" t="n">
        <f aca="false">SUMIFS('Revision Log'!$M$2:$M$609,'Revision Log'!$N$2:$N$609,$A54,'Revision Log'!$C$2:$C$609,0)</f>
        <v>7.8</v>
      </c>
      <c r="C54" s="19" t="n">
        <f aca="false">SUMIFS('Revision Log'!$M$2:$M$609,'Revision Log'!$N$2:$N$609,$A54,'Revision Log'!$C$2:$C$609,0)</f>
        <v>7.8</v>
      </c>
      <c r="D54" s="19" t="n">
        <f aca="false">SUMIFS('Revision Log'!$M$2:$M$609,'Revision Log'!$N$2:$N$609,$A54,'Revision Log'!$C$2:$C$609,0)</f>
        <v>7.8</v>
      </c>
      <c r="E54" s="19" t="n">
        <f aca="false">SUMIFS('Revision Log'!$M$2:$M$609,'Revision Log'!$N$2:$N$609,$A54,'Revision Log'!$C$2:$C$609,0)</f>
        <v>7.8</v>
      </c>
    </row>
    <row r="55" customFormat="false" ht="15" hidden="false" customHeight="false" outlineLevel="0" collapsed="false">
      <c r="A55" s="18" t="n">
        <v>103</v>
      </c>
      <c r="B55" s="19" t="n">
        <f aca="false">SUMIFS('Revision Log'!$M$2:$M$609,'Revision Log'!$N$2:$N$609,$A55,'Revision Log'!$C$2:$C$609,0)</f>
        <v>7.45</v>
      </c>
      <c r="C55" s="19" t="n">
        <f aca="false">SUMIFS('Revision Log'!$M$2:$M$609,'Revision Log'!$N$2:$N$609,$A55,'Revision Log'!$C$2:$C$609,0)</f>
        <v>7.45</v>
      </c>
      <c r="D55" s="19" t="n">
        <f aca="false">SUMIFS('Revision Log'!$M$2:$M$609,'Revision Log'!$N$2:$N$609,$A55,'Revision Log'!$C$2:$C$609,0)</f>
        <v>7.45</v>
      </c>
      <c r="E55" s="19" t="n">
        <f aca="false">SUMIFS('Revision Log'!$M$2:$M$609,'Revision Log'!$N$2:$N$609,$A55,'Revision Log'!$C$2:$C$609,3)</f>
        <v>7.65</v>
      </c>
    </row>
    <row r="56" customFormat="false" ht="15" hidden="false" customHeight="false" outlineLevel="0" collapsed="false">
      <c r="A56" s="18" t="n">
        <v>104</v>
      </c>
      <c r="B56" s="19" t="n">
        <f aca="false">SUMIFS('Revision Log'!$M$2:$M$609,'Revision Log'!$N$2:$N$609,$A56,'Revision Log'!$C$2:$C$609,0)</f>
        <v>4.85</v>
      </c>
      <c r="C56" s="19" t="n">
        <f aca="false">SUMIFS('Revision Log'!$M$2:$M$609,'Revision Log'!$N$2:$N$609,$A56,'Revision Log'!$C$2:$C$609,1)</f>
        <v>6.85</v>
      </c>
      <c r="D56" s="19" t="n">
        <f aca="false">SUMIFS('Revision Log'!$M$2:$M$609,'Revision Log'!$N$2:$N$609,$A56,'Revision Log'!$C$2:$C$609,2)</f>
        <v>7.8</v>
      </c>
      <c r="E56" s="19" t="n">
        <f aca="false">SUMIFS('Revision Log'!$M$2:$M$609,'Revision Log'!$N$2:$N$609,$A56,'Revision Log'!$C$2:$C$609,2)</f>
        <v>7.8</v>
      </c>
    </row>
    <row r="57" customFormat="false" ht="15" hidden="false" customHeight="false" outlineLevel="0" collapsed="false">
      <c r="A57" s="18" t="n">
        <v>110</v>
      </c>
      <c r="B57" s="19" t="n">
        <f aca="false">SUMIFS('Revision Log'!$M$2:$M$609,'Revision Log'!$N$2:$N$609,$A57,'Revision Log'!$C$2:$C$609,0)</f>
        <v>7.2</v>
      </c>
      <c r="C57" s="19" t="n">
        <f aca="false">SUMIFS('Revision Log'!$M$2:$M$609,'Revision Log'!$N$2:$N$609,$A57,'Revision Log'!$C$2:$C$609,0)</f>
        <v>7.2</v>
      </c>
      <c r="D57" s="19" t="n">
        <f aca="false">SUMIFS('Revision Log'!$M$2:$M$609,'Revision Log'!$N$2:$N$609,$A57,'Revision Log'!$C$2:$C$609,2)</f>
        <v>7.45</v>
      </c>
      <c r="E57" s="19" t="n">
        <f aca="false">SUMIFS('Revision Log'!$M$2:$M$609,'Revision Log'!$N$2:$N$609,$A57,'Revision Log'!$C$2:$C$609,2)</f>
        <v>7.45</v>
      </c>
    </row>
    <row r="58" customFormat="false" ht="15" hidden="false" customHeight="false" outlineLevel="0" collapsed="false">
      <c r="A58" s="18" t="n">
        <v>111</v>
      </c>
      <c r="B58" s="19" t="n">
        <f aca="false">SUMIFS('Revision Log'!$M$2:$M$609,'Revision Log'!$N$2:$N$609,$A58,'Revision Log'!$C$2:$C$609,0)</f>
        <v>7.8</v>
      </c>
      <c r="C58" s="19" t="n">
        <f aca="false">SUMIFS('Revision Log'!$M$2:$M$609,'Revision Log'!$N$2:$N$609,$A58,'Revision Log'!$C$2:$C$609,0)</f>
        <v>7.8</v>
      </c>
      <c r="D58" s="19" t="n">
        <f aca="false">SUMIFS('Revision Log'!$M$2:$M$609,'Revision Log'!$N$2:$N$609,$A58,'Revision Log'!$C$2:$C$609,0)</f>
        <v>7.8</v>
      </c>
      <c r="E58" s="19" t="n">
        <f aca="false">SUMIFS('Revision Log'!$M$2:$M$609,'Revision Log'!$N$2:$N$609,$A58,'Revision Log'!$C$2:$C$609,0)</f>
        <v>7.8</v>
      </c>
    </row>
    <row r="59" customFormat="false" ht="15" hidden="false" customHeight="false" outlineLevel="0" collapsed="false">
      <c r="A59" s="18" t="n">
        <v>112</v>
      </c>
      <c r="B59" s="19" t="n">
        <f aca="false">SUMIFS('Revision Log'!$M$2:$M$609,'Revision Log'!$N$2:$N$609,$A59,'Revision Log'!$C$2:$C$609,0)</f>
        <v>6</v>
      </c>
      <c r="C59" s="19" t="n">
        <f aca="false">SUMIFS('Revision Log'!$M$2:$M$609,'Revision Log'!$N$2:$N$609,$A59,'Revision Log'!$C$2:$C$609,1)</f>
        <v>7.35</v>
      </c>
      <c r="D59" s="19" t="n">
        <f aca="false">SUMIFS('Revision Log'!$M$2:$M$609,'Revision Log'!$N$2:$N$609,$A59,'Revision Log'!$C$2:$C$609,1)</f>
        <v>7.35</v>
      </c>
      <c r="E59" s="19" t="n">
        <f aca="false">SUMIFS('Revision Log'!$M$2:$M$609,'Revision Log'!$N$2:$N$609,$A59,'Revision Log'!$C$2:$C$609,3)</f>
        <v>7.55</v>
      </c>
    </row>
    <row r="60" customFormat="false" ht="15" hidden="false" customHeight="false" outlineLevel="0" collapsed="false">
      <c r="A60" s="18" t="n">
        <v>113</v>
      </c>
      <c r="B60" s="19" t="n">
        <f aca="false">SUMIFS('Revision Log'!$M$2:$M$609,'Revision Log'!$N$2:$N$609,$A60,'Revision Log'!$C$2:$C$609,0)</f>
        <v>6.6</v>
      </c>
      <c r="C60" s="19" t="n">
        <f aca="false">SUMIFS('Revision Log'!$M$2:$M$609,'Revision Log'!$N$2:$N$609,$A60,'Revision Log'!$C$2:$C$609,0)</f>
        <v>6.6</v>
      </c>
      <c r="D60" s="19" t="n">
        <f aca="false">SUMIFS('Revision Log'!$M$2:$M$609,'Revision Log'!$N$2:$N$609,$A60,'Revision Log'!$C$2:$C$609,2)</f>
        <v>7.25</v>
      </c>
      <c r="E60" s="19" t="n">
        <f aca="false">SUMIFS('Revision Log'!$M$2:$M$609,'Revision Log'!$N$2:$N$609,$A60,'Revision Log'!$C$2:$C$609,3)</f>
        <v>7.3</v>
      </c>
    </row>
    <row r="61" customFormat="false" ht="15" hidden="false" customHeight="false" outlineLevel="0" collapsed="false">
      <c r="A61" s="18" t="n">
        <v>114</v>
      </c>
      <c r="B61" s="19" t="n">
        <f aca="false">SUMIFS('Revision Log'!$M$2:$M$609,'Revision Log'!$N$2:$N$609,$A61,'Revision Log'!$C$2:$C$609,0)</f>
        <v>6.95</v>
      </c>
      <c r="C61" s="19" t="n">
        <f aca="false">SUMIFS('Revision Log'!$M$2:$M$609,'Revision Log'!$N$2:$N$609,$A61,'Revision Log'!$C$2:$C$609,1)</f>
        <v>7.25</v>
      </c>
      <c r="D61" s="19" t="n">
        <f aca="false">SUMIFS('Revision Log'!$M$2:$M$609,'Revision Log'!$N$2:$N$609,$A61,'Revision Log'!$C$2:$C$609,2)</f>
        <v>7.5</v>
      </c>
      <c r="E61" s="19" t="n">
        <f aca="false">SUMIFS('Revision Log'!$M$2:$M$609,'Revision Log'!$N$2:$N$609,$A61,'Revision Log'!$C$2:$C$609,2)</f>
        <v>7.5</v>
      </c>
    </row>
    <row r="62" customFormat="false" ht="15" hidden="false" customHeight="false" outlineLevel="0" collapsed="false">
      <c r="A62" s="18" t="n">
        <v>120</v>
      </c>
      <c r="B62" s="19" t="n">
        <f aca="false">SUMIFS('Revision Log'!$M$2:$M$609,'Revision Log'!$N$2:$N$609,$A62,'Revision Log'!$C$2:$C$609,0)</f>
        <v>7.2</v>
      </c>
      <c r="C62" s="19" t="n">
        <f aca="false">SUMIFS('Revision Log'!$M$2:$M$609,'Revision Log'!$N$2:$N$609,$A62,'Revision Log'!$C$2:$C$609,0)</f>
        <v>7.2</v>
      </c>
      <c r="D62" s="19" t="n">
        <f aca="false">SUMIFS('Revision Log'!$M$2:$M$609,'Revision Log'!$N$2:$N$609,$A62,'Revision Log'!$C$2:$C$609,2)</f>
        <v>7.6</v>
      </c>
      <c r="E62" s="19" t="n">
        <f aca="false">SUMIFS('Revision Log'!$M$2:$M$609,'Revision Log'!$N$2:$N$609,$A62,'Revision Log'!$C$2:$C$609,2)</f>
        <v>7.6</v>
      </c>
    </row>
    <row r="63" customFormat="false" ht="15" hidden="false" customHeight="false" outlineLevel="0" collapsed="false">
      <c r="A63" s="18" t="n">
        <v>121</v>
      </c>
      <c r="B63" s="19" t="n">
        <f aca="false">SUMIFS('Revision Log'!$M$2:$M$609,'Revision Log'!$N$2:$N$609,$A63,'Revision Log'!$C$2:$C$609,0)</f>
        <v>8</v>
      </c>
      <c r="C63" s="19" t="n">
        <f aca="false">SUMIFS('Revision Log'!$M$2:$M$609,'Revision Log'!$N$2:$N$609,$A63,'Revision Log'!$C$2:$C$609,0)</f>
        <v>8</v>
      </c>
      <c r="D63" s="19" t="n">
        <f aca="false">SUMIFS('Revision Log'!$M$2:$M$609,'Revision Log'!$N$2:$N$609,$A63,'Revision Log'!$C$2:$C$609,0)</f>
        <v>8</v>
      </c>
      <c r="E63" s="19" t="n">
        <f aca="false">SUMIFS('Revision Log'!$M$2:$M$609,'Revision Log'!$N$2:$N$609,$A63,'Revision Log'!$C$2:$C$609,0)</f>
        <v>8</v>
      </c>
    </row>
    <row r="64" customFormat="false" ht="15" hidden="false" customHeight="false" outlineLevel="0" collapsed="false">
      <c r="A64" s="18" t="n">
        <v>122</v>
      </c>
      <c r="B64" s="19" t="n">
        <f aca="false">SUMIFS('Revision Log'!$M$2:$M$609,'Revision Log'!$N$2:$N$609,$A64,'Revision Log'!$C$2:$C$609,0)</f>
        <v>6.55</v>
      </c>
      <c r="C64" s="19" t="n">
        <f aca="false">SUMIFS('Revision Log'!$M$2:$M$609,'Revision Log'!$N$2:$N$609,$A64,'Revision Log'!$C$2:$C$609,1)</f>
        <v>6.75</v>
      </c>
      <c r="D64" s="19" t="n">
        <f aca="false">SUMIFS('Revision Log'!$M$2:$M$609,'Revision Log'!$N$2:$N$609,$A64,'Revision Log'!$C$2:$C$609,2)</f>
        <v>7.05</v>
      </c>
      <c r="E64" s="19" t="n">
        <f aca="false">SUMIFS('Revision Log'!$M$2:$M$609,'Revision Log'!$N$2:$N$609,$A64,'Revision Log'!$C$2:$C$609,3)</f>
        <v>7.2</v>
      </c>
    </row>
    <row r="65" customFormat="false" ht="15" hidden="false" customHeight="false" outlineLevel="0" collapsed="false">
      <c r="A65" s="18" t="n">
        <v>123</v>
      </c>
      <c r="B65" s="19" t="n">
        <f aca="false">SUMIFS('Revision Log'!$M$2:$M$609,'Revision Log'!$N$2:$N$609,$A65,'Revision Log'!$C$2:$C$609,0)</f>
        <v>7.2</v>
      </c>
      <c r="C65" s="19" t="n">
        <f aca="false">SUMIFS('Revision Log'!$M$2:$M$609,'Revision Log'!$N$2:$N$609,$A65,'Revision Log'!$C$2:$C$609,0)</f>
        <v>7.2</v>
      </c>
      <c r="D65" s="19" t="n">
        <f aca="false">SUMIFS('Revision Log'!$M$2:$M$609,'Revision Log'!$N$2:$N$609,$A65,'Revision Log'!$C$2:$C$609,2)</f>
        <v>7.35</v>
      </c>
      <c r="E65" s="19" t="n">
        <f aca="false">SUMIFS('Revision Log'!$M$2:$M$609,'Revision Log'!$N$2:$N$609,$A65,'Revision Log'!$C$2:$C$609,3)</f>
        <v>7.5</v>
      </c>
    </row>
    <row r="66" customFormat="false" ht="15" hidden="false" customHeight="false" outlineLevel="0" collapsed="false">
      <c r="A66" s="18" t="n">
        <v>124</v>
      </c>
      <c r="B66" s="19" t="n">
        <f aca="false">SUMIFS('Revision Log'!$M$2:$M$609,'Revision Log'!$N$2:$N$609,$A66,'Revision Log'!$C$2:$C$609,0)</f>
        <v>7.2</v>
      </c>
      <c r="C66" s="19" t="n">
        <f aca="false">SUMIFS('Revision Log'!$M$2:$M$609,'Revision Log'!$N$2:$N$609,$A66,'Revision Log'!$C$2:$C$609,0)</f>
        <v>7.2</v>
      </c>
      <c r="D66" s="19" t="n">
        <f aca="false">SUMIFS('Revision Log'!$M$2:$M$609,'Revision Log'!$N$2:$N$609,$A66,'Revision Log'!$C$2:$C$609,2)</f>
        <v>7.7</v>
      </c>
      <c r="E66" s="19" t="n">
        <f aca="false">SUMIFS('Revision Log'!$M$2:$M$609,'Revision Log'!$N$2:$N$609,$A66,'Revision Log'!$C$2:$C$609,2)</f>
        <v>7.7</v>
      </c>
    </row>
    <row r="67" customFormat="false" ht="15" hidden="false" customHeight="false" outlineLevel="0" collapsed="false">
      <c r="A67" s="18" t="n">
        <v>130</v>
      </c>
      <c r="B67" s="19" t="n">
        <f aca="false">SUMIFS('Revision Log'!$M$2:$M$609,'Revision Log'!$N$2:$N$609,$A67,'Revision Log'!$C$2:$C$609,0)</f>
        <v>7.6</v>
      </c>
      <c r="C67" s="19" t="n">
        <f aca="false">SUMIFS('Revision Log'!$M$2:$M$609,'Revision Log'!$N$2:$N$609,$A67,'Revision Log'!$C$2:$C$609,0)</f>
        <v>7.6</v>
      </c>
      <c r="D67" s="19" t="n">
        <f aca="false">SUMIFS('Revision Log'!$M$2:$M$609,'Revision Log'!$N$2:$N$609,$A67,'Revision Log'!$C$2:$C$609,2)</f>
        <v>7.95</v>
      </c>
      <c r="E67" s="19" t="n">
        <f aca="false">SUMIFS('Revision Log'!$M$2:$M$609,'Revision Log'!$N$2:$N$609,$A67,'Revision Log'!$C$2:$C$609,2)</f>
        <v>7.95</v>
      </c>
    </row>
    <row r="68" customFormat="false" ht="15" hidden="false" customHeight="false" outlineLevel="0" collapsed="false">
      <c r="A68" s="18" t="n">
        <v>131</v>
      </c>
      <c r="B68" s="19" t="n">
        <f aca="false">SUMIFS('Revision Log'!$M$2:$M$609,'Revision Log'!$N$2:$N$609,$A68,'Revision Log'!$C$2:$C$609,0)</f>
        <v>7.15</v>
      </c>
      <c r="C68" s="19" t="n">
        <f aca="false">SUMIFS('Revision Log'!$M$2:$M$609,'Revision Log'!$N$2:$N$609,$A68,'Revision Log'!$C$2:$C$609,0)</f>
        <v>7.15</v>
      </c>
      <c r="D68" s="19" t="n">
        <f aca="false">SUMIFS('Revision Log'!$M$2:$M$609,'Revision Log'!$N$2:$N$609,$A68,'Revision Log'!$C$2:$C$609,2)</f>
        <v>7.4</v>
      </c>
      <c r="E68" s="19" t="n">
        <f aca="false">SUMIFS('Revision Log'!$M$2:$M$609,'Revision Log'!$N$2:$N$609,$A68,'Revision Log'!$C$2:$C$609,3)</f>
        <v>7.45</v>
      </c>
    </row>
    <row r="69" customFormat="false" ht="15" hidden="false" customHeight="false" outlineLevel="0" collapsed="false">
      <c r="A69" s="18" t="n">
        <v>132</v>
      </c>
      <c r="B69" s="19" t="n">
        <f aca="false">SUMIFS('Revision Log'!$M$2:$M$609,'Revision Log'!$N$2:$N$609,$A69,'Revision Log'!$C$2:$C$609,0)</f>
        <v>8</v>
      </c>
      <c r="C69" s="19" t="n">
        <f aca="false">SUMIFS('Revision Log'!$M$2:$M$609,'Revision Log'!$N$2:$N$609,$A69,'Revision Log'!$C$2:$C$609,0)</f>
        <v>8</v>
      </c>
      <c r="D69" s="19" t="n">
        <f aca="false">SUMIFS('Revision Log'!$M$2:$M$609,'Revision Log'!$N$2:$N$609,$A69,'Revision Log'!$C$2:$C$609,0)</f>
        <v>8</v>
      </c>
      <c r="E69" s="19" t="n">
        <f aca="false">SUMIFS('Revision Log'!$M$2:$M$609,'Revision Log'!$N$2:$N$609,$A69,'Revision Log'!$C$2:$C$609,0)</f>
        <v>8</v>
      </c>
    </row>
    <row r="70" customFormat="false" ht="15" hidden="false" customHeight="false" outlineLevel="0" collapsed="false">
      <c r="A70" s="18" t="n">
        <v>133</v>
      </c>
      <c r="B70" s="19" t="n">
        <f aca="false">SUMIFS('Revision Log'!$M$2:$M$609,'Revision Log'!$N$2:$N$609,$A70,'Revision Log'!$C$2:$C$609,0)</f>
        <v>7.3</v>
      </c>
      <c r="C70" s="19" t="n">
        <f aca="false">SUMIFS('Revision Log'!$M$2:$M$609,'Revision Log'!$N$2:$N$609,$A70,'Revision Log'!$C$2:$C$609,0)</f>
        <v>7.3</v>
      </c>
      <c r="D70" s="19" t="n">
        <f aca="false">SUMIFS('Revision Log'!$M$2:$M$609,'Revision Log'!$N$2:$N$609,$A70,'Revision Log'!$C$2:$C$609,0)</f>
        <v>7.3</v>
      </c>
      <c r="E70" s="19" t="n">
        <f aca="false">SUMIFS('Revision Log'!$M$2:$M$609,'Revision Log'!$N$2:$N$609,$A70,'Revision Log'!$C$2:$C$609,3)</f>
        <v>7.4</v>
      </c>
    </row>
    <row r="71" customFormat="false" ht="15" hidden="false" customHeight="false" outlineLevel="0" collapsed="false">
      <c r="A71" s="18" t="n">
        <v>134</v>
      </c>
      <c r="B71" s="19" t="n">
        <f aca="false">SUMIFS('Revision Log'!$M$2:$M$609,'Revision Log'!$N$2:$N$609,$A71,'Revision Log'!$C$2:$C$609,0)</f>
        <v>8.1</v>
      </c>
      <c r="C71" s="19" t="n">
        <f aca="false">SUMIFS('Revision Log'!$M$2:$M$609,'Revision Log'!$N$2:$N$609,$A71,'Revision Log'!$C$2:$C$609,0)</f>
        <v>8.1</v>
      </c>
      <c r="D71" s="19" t="n">
        <f aca="false">SUMIFS('Revision Log'!$M$2:$M$609,'Revision Log'!$N$2:$N$609,$A71,'Revision Log'!$C$2:$C$609,0)</f>
        <v>8.1</v>
      </c>
      <c r="E71" s="19" t="n">
        <f aca="false">SUMIFS('Revision Log'!$M$2:$M$609,'Revision Log'!$N$2:$N$609,$A71,'Revision Log'!$C$2:$C$609,0)</f>
        <v>8.1</v>
      </c>
    </row>
    <row r="72" customFormat="false" ht="15" hidden="false" customHeight="false" outlineLevel="0" collapsed="false">
      <c r="A72" s="18" t="n">
        <v>1000</v>
      </c>
      <c r="B72" s="19" t="n">
        <f aca="false">SUMIFS('Revision Log'!$M$2:$M$609,'Revision Log'!$N$2:$N$609,$A72,'Revision Log'!$C$2:$C$609,0)</f>
        <v>8.3</v>
      </c>
      <c r="C72" s="19" t="n">
        <f aca="false">SUMIFS('Revision Log'!$M$2:$M$609,'Revision Log'!$N$2:$N$609,$A72,'Revision Log'!$C$2:$C$609,1)</f>
        <v>7.75</v>
      </c>
      <c r="D72" s="19" t="n">
        <f aca="false">SUMIFS('Revision Log'!$M$2:$M$609,'Revision Log'!$N$2:$N$609,$A72,'Revision Log'!$C$2:$C$609,1)</f>
        <v>7.75</v>
      </c>
      <c r="E72" s="19" t="n">
        <f aca="false">SUMIFS('Revision Log'!$M$2:$M$609,'Revision Log'!$N$2:$N$609,$A72,'Revision Log'!$C$2:$C$609,1)</f>
        <v>7.75</v>
      </c>
    </row>
    <row r="73" customFormat="false" ht="15" hidden="false" customHeight="false" outlineLevel="0" collapsed="false">
      <c r="A73" s="18" t="n">
        <v>1001</v>
      </c>
      <c r="B73" s="19" t="n">
        <f aca="false">SUMIFS('Revision Log'!$M$2:$M$609,'Revision Log'!$N$2:$N$609,$A73,'Revision Log'!$C$2:$C$609,0)</f>
        <v>8.3</v>
      </c>
      <c r="C73" s="19" t="n">
        <f aca="false">SUMIFS('Revision Log'!$M$2:$M$609,'Revision Log'!$N$2:$N$609,$A73,'Revision Log'!$C$2:$C$609,1)</f>
        <v>8.3</v>
      </c>
      <c r="D73" s="19" t="n">
        <f aca="false">SUMIFS('Revision Log'!$M$2:$M$609,'Revision Log'!$N$2:$N$609,$A73,'Revision Log'!$C$2:$C$609,1)</f>
        <v>8.3</v>
      </c>
      <c r="E73" s="19" t="n">
        <f aca="false">SUMIFS('Revision Log'!$M$2:$M$609,'Revision Log'!$N$2:$N$609,$A73,'Revision Log'!$C$2:$C$609,1)</f>
        <v>8.3</v>
      </c>
    </row>
    <row r="74" customFormat="false" ht="15" hidden="false" customHeight="false" outlineLevel="0" collapsed="false">
      <c r="A74" s="18" t="n">
        <v>1002</v>
      </c>
      <c r="B74" s="19" t="n">
        <f aca="false">SUMIFS('Revision Log'!$M$2:$M$609,'Revision Log'!$N$2:$N$609,$A74,'Revision Log'!$C$2:$C$609,0)</f>
        <v>7.8</v>
      </c>
      <c r="C74" s="19" t="n">
        <f aca="false">SUMIFS('Revision Log'!$M$2:$M$609,'Revision Log'!$N$2:$N$609,$A74,'Revision Log'!$C$2:$C$609,1)</f>
        <v>7.8</v>
      </c>
      <c r="D74" s="19" t="n">
        <f aca="false">SUMIFS('Revision Log'!$M$2:$M$609,'Revision Log'!$N$2:$N$609,$A74,'Revision Log'!$C$2:$C$609,1)</f>
        <v>7.8</v>
      </c>
      <c r="E74" s="19" t="n">
        <f aca="false">SUMIFS('Revision Log'!$M$2:$M$609,'Revision Log'!$N$2:$N$609,$A74,'Revision Log'!$C$2:$C$609,1)</f>
        <v>7.8</v>
      </c>
    </row>
    <row r="75" customFormat="false" ht="15" hidden="false" customHeight="false" outlineLevel="0" collapsed="false">
      <c r="A75" s="18" t="n">
        <v>1003</v>
      </c>
      <c r="B75" s="19" t="n">
        <f aca="false">SUMIFS('Revision Log'!$M$2:$M$609,'Revision Log'!$N$2:$N$609,$A75,'Revision Log'!$C$2:$C$609,0)</f>
        <v>7.95</v>
      </c>
      <c r="C75" s="19" t="n">
        <f aca="false">SUMIFS('Revision Log'!$M$2:$M$609,'Revision Log'!$N$2:$N$609,$A75,'Revision Log'!$C$2:$C$609,1)</f>
        <v>8.15</v>
      </c>
      <c r="D75" s="19" t="n">
        <f aca="false">SUMIFS('Revision Log'!$M$2:$M$609,'Revision Log'!$N$2:$N$609,$A75,'Revision Log'!$C$2:$C$609,1)</f>
        <v>8.15</v>
      </c>
      <c r="E75" s="19" t="n">
        <f aca="false">SUMIFS('Revision Log'!$M$2:$M$609,'Revision Log'!$N$2:$N$609,$A75,'Revision Log'!$C$2:$C$609,1)</f>
        <v>8.15</v>
      </c>
    </row>
    <row r="76" customFormat="false" ht="15" hidden="false" customHeight="false" outlineLevel="0" collapsed="false">
      <c r="A76" s="18" t="n">
        <v>1004</v>
      </c>
      <c r="B76" s="19" t="n">
        <f aca="false">SUMIFS('Revision Log'!$M$2:$M$609,'Revision Log'!$N$2:$N$609,$A76,'Revision Log'!$C$2:$C$609,0)</f>
        <v>7.3</v>
      </c>
      <c r="C76" s="19" t="n">
        <f aca="false">SUMIFS('Revision Log'!$M$2:$M$609,'Revision Log'!$N$2:$N$609,$A76,'Revision Log'!$C$2:$C$609,1)</f>
        <v>7.9</v>
      </c>
      <c r="D76" s="19" t="n">
        <f aca="false">SUMIFS('Revision Log'!$M$2:$M$609,'Revision Log'!$N$2:$N$609,$A76,'Revision Log'!$C$2:$C$609,1)</f>
        <v>7.9</v>
      </c>
      <c r="E76" s="19" t="n">
        <f aca="false">SUMIFS('Revision Log'!$M$2:$M$609,'Revision Log'!$N$2:$N$609,$A76,'Revision Log'!$C$2:$C$609,1)</f>
        <v>7.9</v>
      </c>
    </row>
    <row r="77" customFormat="false" ht="15" hidden="false" customHeight="false" outlineLevel="0" collapsed="false">
      <c r="A77" s="18" t="n">
        <v>1010</v>
      </c>
      <c r="B77" s="19" t="n">
        <f aca="false">SUMIFS('Revision Log'!$M$2:$M$609,'Revision Log'!$N$2:$N$609,$A77,'Revision Log'!$C$2:$C$609,0)</f>
        <v>8.1</v>
      </c>
      <c r="C77" s="19" t="n">
        <f aca="false">SUMIFS('Revision Log'!$M$2:$M$609,'Revision Log'!$N$2:$N$609,$A77,'Revision Log'!$C$2:$C$609,1)</f>
        <v>8.95</v>
      </c>
      <c r="D77" s="19" t="n">
        <f aca="false">SUMIFS('Revision Log'!$M$2:$M$609,'Revision Log'!$N$2:$N$609,$A77,'Revision Log'!$C$2:$C$609,1)</f>
        <v>8.95</v>
      </c>
      <c r="E77" s="19" t="n">
        <f aca="false">SUMIFS('Revision Log'!$M$2:$M$609,'Revision Log'!$N$2:$N$609,$A77,'Revision Log'!$C$2:$C$609,1)</f>
        <v>8.95</v>
      </c>
    </row>
    <row r="78" customFormat="false" ht="15" hidden="false" customHeight="false" outlineLevel="0" collapsed="false">
      <c r="A78" s="18" t="n">
        <v>1011</v>
      </c>
      <c r="B78" s="19" t="n">
        <f aca="false">SUMIFS('Revision Log'!$M$2:$M$609,'Revision Log'!$N$2:$N$609,$A78,'Revision Log'!$C$2:$C$609,0)</f>
        <v>8.75</v>
      </c>
      <c r="C78" s="19" t="n">
        <f aca="false">SUMIFS('Revision Log'!$M$2:$M$609,'Revision Log'!$N$2:$N$609,$A78,'Revision Log'!$C$2:$C$609,1)</f>
        <v>8.75</v>
      </c>
      <c r="D78" s="19" t="n">
        <f aca="false">SUMIFS('Revision Log'!$M$2:$M$609,'Revision Log'!$N$2:$N$609,$A78,'Revision Log'!$C$2:$C$609,1)</f>
        <v>8.75</v>
      </c>
      <c r="E78" s="19" t="n">
        <f aca="false">SUMIFS('Revision Log'!$M$2:$M$609,'Revision Log'!$N$2:$N$609,$A78,'Revision Log'!$C$2:$C$609,1)</f>
        <v>8.75</v>
      </c>
    </row>
    <row r="79" customFormat="false" ht="15" hidden="false" customHeight="false" outlineLevel="0" collapsed="false">
      <c r="A79" s="18" t="n">
        <v>1012</v>
      </c>
      <c r="B79" s="19" t="n">
        <f aca="false">SUMIFS('Revision Log'!$M$2:$M$609,'Revision Log'!$N$2:$N$609,$A79,'Revision Log'!$C$2:$C$609,0)</f>
        <v>8.25</v>
      </c>
      <c r="C79" s="19" t="n">
        <f aca="false">SUMIFS('Revision Log'!$M$2:$M$609,'Revision Log'!$N$2:$N$609,$A79,'Revision Log'!$C$2:$C$609,1)</f>
        <v>8.55</v>
      </c>
      <c r="D79" s="19" t="n">
        <f aca="false">SUMIFS('Revision Log'!$M$2:$M$609,'Revision Log'!$N$2:$N$609,$A79,'Revision Log'!$C$2:$C$609,1)</f>
        <v>8.55</v>
      </c>
      <c r="E79" s="19" t="n">
        <f aca="false">SUMIFS('Revision Log'!$M$2:$M$609,'Revision Log'!$N$2:$N$609,$A79,'Revision Log'!$C$2:$C$609,1)</f>
        <v>8.55</v>
      </c>
    </row>
    <row r="80" customFormat="false" ht="15" hidden="false" customHeight="false" outlineLevel="0" collapsed="false">
      <c r="A80" s="18" t="n">
        <v>1013</v>
      </c>
      <c r="B80" s="19" t="n">
        <f aca="false">SUMIFS('Revision Log'!$M$2:$M$609,'Revision Log'!$N$2:$N$609,$A80,'Revision Log'!$C$2:$C$609,0)</f>
        <v>8.5</v>
      </c>
      <c r="C80" s="19" t="n">
        <f aca="false">SUMIFS('Revision Log'!$M$2:$M$609,'Revision Log'!$N$2:$N$609,$A80,'Revision Log'!$C$2:$C$609,1)</f>
        <v>8</v>
      </c>
      <c r="D80" s="19" t="n">
        <f aca="false">SUMIFS('Revision Log'!$M$2:$M$609,'Revision Log'!$N$2:$N$609,$A80,'Revision Log'!$C$2:$C$609,1)</f>
        <v>8</v>
      </c>
      <c r="E80" s="19" t="n">
        <f aca="false">SUMIFS('Revision Log'!$M$2:$M$609,'Revision Log'!$N$2:$N$609,$A80,'Revision Log'!$C$2:$C$609,1)</f>
        <v>8</v>
      </c>
    </row>
    <row r="81" customFormat="false" ht="15" hidden="false" customHeight="false" outlineLevel="0" collapsed="false">
      <c r="A81" s="18" t="n">
        <v>1014</v>
      </c>
      <c r="B81" s="19" t="n">
        <f aca="false">SUMIFS('Revision Log'!$M$2:$M$609,'Revision Log'!$N$2:$N$609,$A81,'Revision Log'!$C$2:$C$609,0)</f>
        <v>7.7</v>
      </c>
      <c r="C81" s="19" t="n">
        <f aca="false">SUMIFS('Revision Log'!$M$2:$M$609,'Revision Log'!$N$2:$N$609,$A81,'Revision Log'!$C$2:$C$609,1)</f>
        <v>8.15</v>
      </c>
      <c r="D81" s="19" t="n">
        <f aca="false">SUMIFS('Revision Log'!$M$2:$M$609,'Revision Log'!$N$2:$N$609,$A81,'Revision Log'!$C$2:$C$609,1)</f>
        <v>8.15</v>
      </c>
      <c r="E81" s="19" t="n">
        <f aca="false">SUMIFS('Revision Log'!$M$2:$M$609,'Revision Log'!$N$2:$N$609,$A81,'Revision Log'!$C$2:$C$609,1)</f>
        <v>8.15</v>
      </c>
    </row>
    <row r="82" customFormat="false" ht="15" hidden="false" customHeight="false" outlineLevel="0" collapsed="false">
      <c r="A82" s="18" t="n">
        <v>1020</v>
      </c>
      <c r="B82" s="19" t="n">
        <f aca="false">SUMIFS('Revision Log'!$M$2:$M$609,'Revision Log'!$N$2:$N$609,$A82,'Revision Log'!$C$2:$C$609,0)</f>
        <v>8.5</v>
      </c>
      <c r="C82" s="19" t="n">
        <f aca="false">SUMIFS('Revision Log'!$M$2:$M$609,'Revision Log'!$N$2:$N$609,$A82,'Revision Log'!$C$2:$C$609,1)</f>
        <v>8.85</v>
      </c>
      <c r="D82" s="19" t="n">
        <f aca="false">SUMIFS('Revision Log'!$M$2:$M$609,'Revision Log'!$N$2:$N$609,$A82,'Revision Log'!$C$2:$C$609,1)</f>
        <v>8.85</v>
      </c>
      <c r="E82" s="19" t="n">
        <f aca="false">SUMIFS('Revision Log'!$M$2:$M$609,'Revision Log'!$N$2:$N$609,$A82,'Revision Log'!$C$2:$C$609,1)</f>
        <v>8.85</v>
      </c>
    </row>
    <row r="83" customFormat="false" ht="15" hidden="false" customHeight="false" outlineLevel="0" collapsed="false">
      <c r="A83" s="18" t="n">
        <v>1021</v>
      </c>
      <c r="B83" s="19" t="n">
        <f aca="false">SUMIFS('Revision Log'!$M$2:$M$609,'Revision Log'!$N$2:$N$609,$A83,'Revision Log'!$C$2:$C$609,0)</f>
        <v>8.35</v>
      </c>
      <c r="C83" s="19" t="n">
        <f aca="false">SUMIFS('Revision Log'!$M$2:$M$609,'Revision Log'!$N$2:$N$609,$A83,'Revision Log'!$C$2:$C$609,1)</f>
        <v>8.55</v>
      </c>
      <c r="D83" s="19" t="n">
        <f aca="false">SUMIFS('Revision Log'!$M$2:$M$609,'Revision Log'!$N$2:$N$609,$A83,'Revision Log'!$C$2:$C$609,1)</f>
        <v>8.55</v>
      </c>
      <c r="E83" s="19" t="n">
        <f aca="false">SUMIFS('Revision Log'!$M$2:$M$609,'Revision Log'!$N$2:$N$609,$A83,'Revision Log'!$C$2:$C$609,1)</f>
        <v>8.55</v>
      </c>
    </row>
    <row r="84" customFormat="false" ht="15" hidden="false" customHeight="false" outlineLevel="0" collapsed="false">
      <c r="A84" s="18" t="n">
        <v>1022</v>
      </c>
      <c r="B84" s="19" t="n">
        <f aca="false">SUMIFS('Revision Log'!$M$2:$M$609,'Revision Log'!$N$2:$N$609,$A84,'Revision Log'!$C$2:$C$609,0)</f>
        <v>8.5</v>
      </c>
      <c r="C84" s="19" t="n">
        <f aca="false">SUMIFS('Revision Log'!$M$2:$M$609,'Revision Log'!$N$2:$N$609,$A84,'Revision Log'!$C$2:$C$609,1)</f>
        <v>8.1</v>
      </c>
      <c r="D84" s="19" t="n">
        <f aca="false">SUMIFS('Revision Log'!$M$2:$M$609,'Revision Log'!$N$2:$N$609,$A84,'Revision Log'!$C$2:$C$609,1)</f>
        <v>8.1</v>
      </c>
      <c r="E84" s="19" t="n">
        <f aca="false">SUMIFS('Revision Log'!$M$2:$M$609,'Revision Log'!$N$2:$N$609,$A84,'Revision Log'!$C$2:$C$609,1)</f>
        <v>8.1</v>
      </c>
    </row>
    <row r="85" customFormat="false" ht="15" hidden="false" customHeight="false" outlineLevel="0" collapsed="false">
      <c r="A85" s="18" t="n">
        <v>1023</v>
      </c>
      <c r="B85" s="19" t="n">
        <f aca="false">SUMIFS('Revision Log'!$M$2:$M$609,'Revision Log'!$N$2:$N$609,$A85,'Revision Log'!$C$2:$C$609,0)</f>
        <v>7.3</v>
      </c>
      <c r="C85" s="19" t="n">
        <f aca="false">SUMIFS('Revision Log'!$M$2:$M$609,'Revision Log'!$N$2:$N$609,$A85,'Revision Log'!$C$2:$C$609,1)</f>
        <v>7.35</v>
      </c>
      <c r="D85" s="19" t="n">
        <f aca="false">SUMIFS('Revision Log'!$M$2:$M$609,'Revision Log'!$N$2:$N$609,$A85,'Revision Log'!$C$2:$C$609,2)</f>
        <v>9.15</v>
      </c>
      <c r="E85" s="19" t="n">
        <f aca="false">SUMIFS('Revision Log'!$M$2:$M$609,'Revision Log'!$N$2:$N$609,$A85,'Revision Log'!$C$2:$C$609,2)</f>
        <v>9.15</v>
      </c>
    </row>
    <row r="86" customFormat="false" ht="15" hidden="false" customHeight="false" outlineLevel="0" collapsed="false">
      <c r="A86" s="18" t="n">
        <v>1024</v>
      </c>
      <c r="B86" s="19" t="n">
        <f aca="false">SUMIFS('Revision Log'!$M$2:$M$609,'Revision Log'!$N$2:$N$609,$A86,'Revision Log'!$C$2:$C$609,0)</f>
        <v>8.6</v>
      </c>
      <c r="C86" s="19" t="n">
        <f aca="false">SUMIFS('Revision Log'!$M$2:$M$609,'Revision Log'!$N$2:$N$609,$A86,'Revision Log'!$C$2:$C$609,1)</f>
        <v>8.9</v>
      </c>
      <c r="D86" s="19" t="n">
        <f aca="false">SUMIFS('Revision Log'!$M$2:$M$609,'Revision Log'!$N$2:$N$609,$A86,'Revision Log'!$C$2:$C$609,1)</f>
        <v>8.9</v>
      </c>
      <c r="E86" s="19" t="n">
        <f aca="false">SUMIFS('Revision Log'!$M$2:$M$609,'Revision Log'!$N$2:$N$609,$A86,'Revision Log'!$C$2:$C$609,1)</f>
        <v>8.9</v>
      </c>
    </row>
    <row r="87" customFormat="false" ht="15" hidden="false" customHeight="false" outlineLevel="0" collapsed="false">
      <c r="A87" s="18" t="n">
        <v>1030</v>
      </c>
      <c r="B87" s="19" t="n">
        <f aca="false">SUMIFS('Revision Log'!$M$2:$M$609,'Revision Log'!$N$2:$N$609,$A87,'Revision Log'!$C$2:$C$609,0)</f>
        <v>8.1</v>
      </c>
      <c r="C87" s="19" t="n">
        <f aca="false">SUMIFS('Revision Log'!$M$2:$M$609,'Revision Log'!$N$2:$N$609,$A87,'Revision Log'!$C$2:$C$609,1)</f>
        <v>8.7</v>
      </c>
      <c r="D87" s="19" t="n">
        <f aca="false">SUMIFS('Revision Log'!$M$2:$M$609,'Revision Log'!$N$2:$N$609,$A87,'Revision Log'!$C$2:$C$609,1)</f>
        <v>8.7</v>
      </c>
      <c r="E87" s="19" t="n">
        <f aca="false">SUMIFS('Revision Log'!$M$2:$M$609,'Revision Log'!$N$2:$N$609,$A87,'Revision Log'!$C$2:$C$609,1)</f>
        <v>8.7</v>
      </c>
    </row>
    <row r="88" customFormat="false" ht="15" hidden="false" customHeight="false" outlineLevel="0" collapsed="false">
      <c r="A88" s="18" t="n">
        <v>1031</v>
      </c>
      <c r="B88" s="19" t="n">
        <f aca="false">SUMIFS('Revision Log'!$M$2:$M$609,'Revision Log'!$N$2:$N$609,$A88,'Revision Log'!$C$2:$C$609,0)</f>
        <v>7.6</v>
      </c>
      <c r="C88" s="19" t="n">
        <f aca="false">SUMIFS('Revision Log'!$M$2:$M$609,'Revision Log'!$N$2:$N$609,$A88,'Revision Log'!$C$2:$C$609,1)</f>
        <v>8.35</v>
      </c>
      <c r="D88" s="19" t="n">
        <f aca="false">SUMIFS('Revision Log'!$M$2:$M$609,'Revision Log'!$N$2:$N$609,$A88,'Revision Log'!$C$2:$C$609,1)</f>
        <v>8.35</v>
      </c>
      <c r="E88" s="19" t="n">
        <f aca="false">SUMIFS('Revision Log'!$M$2:$M$609,'Revision Log'!$N$2:$N$609,$A88,'Revision Log'!$C$2:$C$609,1)</f>
        <v>8.35</v>
      </c>
    </row>
    <row r="89" customFormat="false" ht="15" hidden="false" customHeight="false" outlineLevel="0" collapsed="false">
      <c r="A89" s="18" t="n">
        <v>1032</v>
      </c>
      <c r="B89" s="19" t="n">
        <f aca="false">SUMIFS('Revision Log'!$M$2:$M$609,'Revision Log'!$N$2:$N$609,$A89,'Revision Log'!$C$2:$C$609,0)</f>
        <v>8.5</v>
      </c>
      <c r="C89" s="19" t="n">
        <f aca="false">SUMIFS('Revision Log'!$M$2:$M$609,'Revision Log'!$N$2:$N$609,$A89,'Revision Log'!$C$2:$C$609,1)</f>
        <v>8.5</v>
      </c>
      <c r="D89" s="19" t="n">
        <f aca="false">SUMIFS('Revision Log'!$M$2:$M$609,'Revision Log'!$N$2:$N$609,$A89,'Revision Log'!$C$2:$C$609,1)</f>
        <v>8.5</v>
      </c>
      <c r="E89" s="19" t="n">
        <f aca="false">SUMIFS('Revision Log'!$M$2:$M$609,'Revision Log'!$N$2:$N$609,$A89,'Revision Log'!$C$2:$C$609,1)</f>
        <v>8.5</v>
      </c>
    </row>
    <row r="90" customFormat="false" ht="15" hidden="false" customHeight="false" outlineLevel="0" collapsed="false">
      <c r="A90" s="18" t="n">
        <v>1033</v>
      </c>
      <c r="B90" s="19" t="n">
        <f aca="false">SUMIFS('Revision Log'!$M$2:$M$609,'Revision Log'!$N$2:$N$609,$A90,'Revision Log'!$C$2:$C$609,0)</f>
        <v>8.1</v>
      </c>
      <c r="C90" s="19" t="n">
        <f aca="false">SUMIFS('Revision Log'!$M$2:$M$609,'Revision Log'!$N$2:$N$609,$A90,'Revision Log'!$C$2:$C$609,1)</f>
        <v>7.7</v>
      </c>
      <c r="D90" s="19" t="n">
        <f aca="false">SUMIFS('Revision Log'!$M$2:$M$609,'Revision Log'!$N$2:$N$609,$A90,'Revision Log'!$C$2:$C$609,1)</f>
        <v>7.7</v>
      </c>
      <c r="E90" s="19" t="n">
        <f aca="false">SUMIFS('Revision Log'!$M$2:$M$609,'Revision Log'!$N$2:$N$609,$A90,'Revision Log'!$C$2:$C$609,1)</f>
        <v>7.7</v>
      </c>
    </row>
    <row r="91" customFormat="false" ht="15" hidden="false" customHeight="false" outlineLevel="0" collapsed="false">
      <c r="A91" s="18" t="n">
        <v>1034</v>
      </c>
      <c r="B91" s="19" t="n">
        <f aca="false">SUMIFS('Revision Log'!$M$2:$M$609,'Revision Log'!$N$2:$N$609,$A91,'Revision Log'!$C$2:$C$609,0)</f>
        <v>6.6</v>
      </c>
      <c r="C91" s="19" t="n">
        <f aca="false">SUMIFS('Revision Log'!$M$2:$M$609,'Revision Log'!$N$2:$N$609,$A91,'Revision Log'!$C$2:$C$609,1)</f>
        <v>8.9</v>
      </c>
      <c r="D91" s="19" t="n">
        <f aca="false">SUMIFS('Revision Log'!$M$2:$M$609,'Revision Log'!$N$2:$N$609,$A91,'Revision Log'!$C$2:$C$609,1)</f>
        <v>8.9</v>
      </c>
      <c r="E91" s="19" t="n">
        <f aca="false">SUMIFS('Revision Log'!$M$2:$M$609,'Revision Log'!$N$2:$N$609,$A91,'Revision Log'!$C$2:$C$609,1)</f>
        <v>8.9</v>
      </c>
    </row>
    <row r="92" customFormat="false" ht="15" hidden="false" customHeight="false" outlineLevel="0" collapsed="false">
      <c r="A92" s="18" t="n">
        <v>1040</v>
      </c>
      <c r="B92" s="19" t="n">
        <f aca="false">SUMIFS('Revision Log'!$M$2:$M$609,'Revision Log'!$N$2:$N$609,$A92,'Revision Log'!$C$2:$C$609,0)</f>
        <v>7.45</v>
      </c>
      <c r="C92" s="19" t="n">
        <f aca="false">SUMIFS('Revision Log'!$M$2:$M$609,'Revision Log'!$N$2:$N$609,$A92,'Revision Log'!$C$2:$C$609,1)</f>
        <v>7.85</v>
      </c>
      <c r="D92" s="19" t="n">
        <f aca="false">SUMIFS('Revision Log'!$M$2:$M$609,'Revision Log'!$N$2:$N$609,$A92,'Revision Log'!$C$2:$C$609,1)</f>
        <v>7.85</v>
      </c>
      <c r="E92" s="19" t="n">
        <f aca="false">SUMIFS('Revision Log'!$M$2:$M$609,'Revision Log'!$N$2:$N$609,$A92,'Revision Log'!$C$2:$C$609,1)</f>
        <v>7.85</v>
      </c>
    </row>
    <row r="93" customFormat="false" ht="15" hidden="false" customHeight="false" outlineLevel="0" collapsed="false">
      <c r="A93" s="18" t="n">
        <v>1041</v>
      </c>
      <c r="B93" s="19" t="n">
        <f aca="false">SUMIFS('Revision Log'!$M$2:$M$609,'Revision Log'!$N$2:$N$609,$A93,'Revision Log'!$C$2:$C$609,0)</f>
        <v>7.7</v>
      </c>
      <c r="C93" s="19" t="n">
        <f aca="false">SUMIFS('Revision Log'!$M$2:$M$609,'Revision Log'!$N$2:$N$609,$A93,'Revision Log'!$C$2:$C$609,1)</f>
        <v>8.85</v>
      </c>
      <c r="D93" s="19" t="n">
        <f aca="false">SUMIFS('Revision Log'!$M$2:$M$609,'Revision Log'!$N$2:$N$609,$A93,'Revision Log'!$C$2:$C$609,1)</f>
        <v>8.85</v>
      </c>
      <c r="E93" s="19" t="n">
        <f aca="false">SUMIFS('Revision Log'!$M$2:$M$609,'Revision Log'!$N$2:$N$609,$A93,'Revision Log'!$C$2:$C$609,1)</f>
        <v>8.85</v>
      </c>
    </row>
    <row r="94" customFormat="false" ht="15" hidden="false" customHeight="false" outlineLevel="0" collapsed="false">
      <c r="A94" s="18" t="n">
        <v>1042</v>
      </c>
      <c r="B94" s="19" t="n">
        <f aca="false">SUMIFS('Revision Log'!$M$2:$M$609,'Revision Log'!$N$2:$N$609,$A94,'Revision Log'!$C$2:$C$609,0)</f>
        <v>8.75</v>
      </c>
      <c r="C94" s="19" t="n">
        <f aca="false">SUMIFS('Revision Log'!$M$2:$M$609,'Revision Log'!$N$2:$N$609,$A94,'Revision Log'!$C$2:$C$609,1)</f>
        <v>7.9</v>
      </c>
      <c r="D94" s="19" t="n">
        <f aca="false">SUMIFS('Revision Log'!$M$2:$M$609,'Revision Log'!$N$2:$N$609,$A94,'Revision Log'!$C$2:$C$609,1)</f>
        <v>7.9</v>
      </c>
      <c r="E94" s="19" t="n">
        <f aca="false">SUMIFS('Revision Log'!$M$2:$M$609,'Revision Log'!$N$2:$N$609,$A94,'Revision Log'!$C$2:$C$609,1)</f>
        <v>7.9</v>
      </c>
    </row>
    <row r="95" customFormat="false" ht="15" hidden="false" customHeight="false" outlineLevel="0" collapsed="false">
      <c r="A95" s="18" t="n">
        <v>1043</v>
      </c>
      <c r="B95" s="19" t="n">
        <f aca="false">SUMIFS('Revision Log'!$M$2:$M$609,'Revision Log'!$N$2:$N$609,$A95,'Revision Log'!$C$2:$C$609,0)</f>
        <v>6.55</v>
      </c>
      <c r="C95" s="19" t="n">
        <f aca="false">SUMIFS('Revision Log'!$M$2:$M$609,'Revision Log'!$N$2:$N$609,$A95,'Revision Log'!$C$2:$C$609,1)</f>
        <v>8.75</v>
      </c>
      <c r="D95" s="19" t="n">
        <f aca="false">SUMIFS('Revision Log'!$M$2:$M$609,'Revision Log'!$N$2:$N$609,$A95,'Revision Log'!$C$2:$C$609,1)</f>
        <v>8.75</v>
      </c>
      <c r="E95" s="19" t="n">
        <f aca="false">SUMIFS('Revision Log'!$M$2:$M$609,'Revision Log'!$N$2:$N$609,$A95,'Revision Log'!$C$2:$C$609,1)</f>
        <v>8.75</v>
      </c>
    </row>
    <row r="96" customFormat="false" ht="15" hidden="false" customHeight="false" outlineLevel="0" collapsed="false">
      <c r="A96" s="18" t="n">
        <v>1044</v>
      </c>
      <c r="B96" s="19" t="n">
        <f aca="false">SUMIFS('Revision Log'!$M$2:$M$609,'Revision Log'!$N$2:$N$609,$A96,'Revision Log'!$C$2:$C$609,0)</f>
        <v>8.1</v>
      </c>
      <c r="C96" s="19" t="n">
        <f aca="false">SUMIFS('Revision Log'!$M$2:$M$609,'Revision Log'!$N$2:$N$609,$A96,'Revision Log'!$C$2:$C$609,1)</f>
        <v>8.55</v>
      </c>
      <c r="D96" s="19" t="n">
        <f aca="false">SUMIFS('Revision Log'!$M$2:$M$609,'Revision Log'!$N$2:$N$609,$A96,'Revision Log'!$C$2:$C$609,1)</f>
        <v>8.55</v>
      </c>
      <c r="E96" s="19" t="n">
        <f aca="false">SUMIFS('Revision Log'!$M$2:$M$609,'Revision Log'!$N$2:$N$609,$A96,'Revision Log'!$C$2:$C$609,1)</f>
        <v>8.55</v>
      </c>
    </row>
    <row r="97" customFormat="false" ht="15" hidden="false" customHeight="false" outlineLevel="0" collapsed="false">
      <c r="A97" s="18" t="n">
        <v>1050</v>
      </c>
      <c r="B97" s="19" t="n">
        <f aca="false">SUMIFS('Revision Log'!$M$2:$M$609,'Revision Log'!$N$2:$N$609,$A97,'Revision Log'!$C$2:$C$609,0)</f>
        <v>7.15</v>
      </c>
      <c r="C97" s="19" t="n">
        <f aca="false">SUMIFS('Revision Log'!$M$2:$M$609,'Revision Log'!$N$2:$N$609,$A97,'Revision Log'!$C$2:$C$609,1)</f>
        <v>8.6</v>
      </c>
      <c r="D97" s="19" t="n">
        <f aca="false">SUMIFS('Revision Log'!$M$2:$M$609,'Revision Log'!$N$2:$N$609,$A97,'Revision Log'!$C$2:$C$609,1)</f>
        <v>8.6</v>
      </c>
      <c r="E97" s="19" t="n">
        <f aca="false">SUMIFS('Revision Log'!$M$2:$M$609,'Revision Log'!$N$2:$N$609,$A97,'Revision Log'!$C$2:$C$609,1)</f>
        <v>8.6</v>
      </c>
    </row>
    <row r="98" customFormat="false" ht="15" hidden="false" customHeight="false" outlineLevel="0" collapsed="false">
      <c r="A98" s="18" t="n">
        <v>1051</v>
      </c>
      <c r="B98" s="19" t="n">
        <f aca="false">SUMIFS('Revision Log'!$M$2:$M$609,'Revision Log'!$N$2:$N$609,$A98,'Revision Log'!$C$2:$C$609,0)</f>
        <v>7.2</v>
      </c>
      <c r="C98" s="19" t="n">
        <f aca="false">SUMIFS('Revision Log'!$M$2:$M$609,'Revision Log'!$N$2:$N$609,$A98,'Revision Log'!$C$2:$C$609,1)</f>
        <v>7.85</v>
      </c>
      <c r="D98" s="19" t="n">
        <f aca="false">SUMIFS('Revision Log'!$M$2:$M$609,'Revision Log'!$N$2:$N$609,$A98,'Revision Log'!$C$2:$C$609,1)</f>
        <v>7.85</v>
      </c>
      <c r="E98" s="19" t="n">
        <f aca="false">SUMIFS('Revision Log'!$M$2:$M$609,'Revision Log'!$N$2:$N$609,$A98,'Revision Log'!$C$2:$C$609,1)</f>
        <v>7.85</v>
      </c>
    </row>
    <row r="99" customFormat="false" ht="15" hidden="false" customHeight="false" outlineLevel="0" collapsed="false">
      <c r="A99" s="18" t="n">
        <v>1052</v>
      </c>
      <c r="B99" s="19" t="n">
        <f aca="false">SUMIFS('Revision Log'!$M$2:$M$609,'Revision Log'!$N$2:$N$609,$A99,'Revision Log'!$C$2:$C$609,0)</f>
        <v>7</v>
      </c>
      <c r="C99" s="19" t="n">
        <f aca="false">SUMIFS('Revision Log'!$M$2:$M$609,'Revision Log'!$N$2:$N$609,$A99,'Revision Log'!$C$2:$C$609,1)</f>
        <v>7.85</v>
      </c>
      <c r="D99" s="19" t="n">
        <f aca="false">SUMIFS('Revision Log'!$M$2:$M$609,'Revision Log'!$N$2:$N$609,$A99,'Revision Log'!$C$2:$C$609,1)</f>
        <v>7.85</v>
      </c>
      <c r="E99" s="19" t="n">
        <f aca="false">SUMIFS('Revision Log'!$M$2:$M$609,'Revision Log'!$N$2:$N$609,$A99,'Revision Log'!$C$2:$C$609,1)</f>
        <v>7.85</v>
      </c>
    </row>
    <row r="100" customFormat="false" ht="15" hidden="false" customHeight="false" outlineLevel="0" collapsed="false">
      <c r="A100" s="18" t="n">
        <v>1053</v>
      </c>
      <c r="B100" s="19" t="n">
        <f aca="false">SUMIFS('Revision Log'!$M$2:$M$609,'Revision Log'!$N$2:$N$609,$A100,'Revision Log'!$C$2:$C$609,0)</f>
        <v>7.1</v>
      </c>
      <c r="C100" s="19" t="n">
        <f aca="false">SUMIFS('Revision Log'!$M$2:$M$609,'Revision Log'!$N$2:$N$609,$A100,'Revision Log'!$C$2:$C$609,1)</f>
        <v>8.5</v>
      </c>
      <c r="D100" s="19" t="n">
        <f aca="false">SUMIFS('Revision Log'!$M$2:$M$609,'Revision Log'!$N$2:$N$609,$A100,'Revision Log'!$C$2:$C$609,1)</f>
        <v>8.5</v>
      </c>
      <c r="E100" s="19" t="n">
        <f aca="false">SUMIFS('Revision Log'!$M$2:$M$609,'Revision Log'!$N$2:$N$609,$A100,'Revision Log'!$C$2:$C$609,1)</f>
        <v>8.5</v>
      </c>
    </row>
    <row r="101" customFormat="false" ht="15" hidden="false" customHeight="false" outlineLevel="0" collapsed="false">
      <c r="A101" s="18" t="n">
        <v>1054</v>
      </c>
      <c r="B101" s="19" t="n">
        <f aca="false">SUMIFS('Revision Log'!$M$2:$M$609,'Revision Log'!$N$2:$N$609,$A101,'Revision Log'!$C$2:$C$609,0)</f>
        <v>7.1</v>
      </c>
      <c r="C101" s="19" t="n">
        <f aca="false">SUMIFS('Revision Log'!$M$2:$M$609,'Revision Log'!$N$2:$N$609,$A101,'Revision Log'!$C$2:$C$609,1)</f>
        <v>7.45</v>
      </c>
      <c r="D101" s="19" t="n">
        <f aca="false">SUMIFS('Revision Log'!$M$2:$M$609,'Revision Log'!$N$2:$N$609,$A101,'Revision Log'!$C$2:$C$609,1)</f>
        <v>7.45</v>
      </c>
      <c r="E101" s="19" t="n">
        <f aca="false">SUMIFS('Revision Log'!$M$2:$M$609,'Revision Log'!$N$2:$N$609,$A101,'Revision Log'!$C$2:$C$609,3)</f>
        <v>8.25</v>
      </c>
    </row>
    <row r="102" customFormat="false" ht="15" hidden="false" customHeight="false" outlineLevel="0" collapsed="false">
      <c r="A102" s="18" t="n">
        <v>1060</v>
      </c>
      <c r="B102" s="19" t="n">
        <f aca="false">SUMIFS('Revision Log'!$M$2:$M$609,'Revision Log'!$N$2:$N$609,$A102,'Revision Log'!$C$2:$C$609,0)</f>
        <v>7</v>
      </c>
      <c r="C102" s="19" t="n">
        <f aca="false">SUMIFS('Revision Log'!$M$2:$M$609,'Revision Log'!$N$2:$N$609,$A102,'Revision Log'!$C$2:$C$609,1)</f>
        <v>8.7</v>
      </c>
      <c r="D102" s="19" t="n">
        <f aca="false">SUMIFS('Revision Log'!$M$2:$M$609,'Revision Log'!$N$2:$N$609,$A102,'Revision Log'!$C$2:$C$609,1)</f>
        <v>8.7</v>
      </c>
      <c r="E102" s="19" t="n">
        <f aca="false">SUMIFS('Revision Log'!$M$2:$M$609,'Revision Log'!$N$2:$N$609,$A102,'Revision Log'!$C$2:$C$609,1)</f>
        <v>8.7</v>
      </c>
    </row>
    <row r="103" customFormat="false" ht="15" hidden="false" customHeight="false" outlineLevel="0" collapsed="false">
      <c r="A103" s="18" t="n">
        <v>1061</v>
      </c>
      <c r="B103" s="19" t="n">
        <f aca="false">SUMIFS('Revision Log'!$M$2:$M$609,'Revision Log'!$N$2:$N$609,$A103,'Revision Log'!$C$2:$C$609,0)</f>
        <v>7.4</v>
      </c>
      <c r="C103" s="19" t="n">
        <f aca="false">SUMIFS('Revision Log'!$M$2:$M$609,'Revision Log'!$N$2:$N$609,$A103,'Revision Log'!$C$2:$C$609,1)</f>
        <v>7.75</v>
      </c>
      <c r="D103" s="19" t="n">
        <f aca="false">SUMIFS('Revision Log'!$M$2:$M$609,'Revision Log'!$N$2:$N$609,$A103,'Revision Log'!$C$2:$C$609,1)</f>
        <v>7.75</v>
      </c>
      <c r="E103" s="19" t="n">
        <f aca="false">SUMIFS('Revision Log'!$M$2:$M$609,'Revision Log'!$N$2:$N$609,$A103,'Revision Log'!$C$2:$C$609,1)</f>
        <v>7.75</v>
      </c>
    </row>
    <row r="104" customFormat="false" ht="15" hidden="false" customHeight="false" outlineLevel="0" collapsed="false">
      <c r="A104" s="18" t="n">
        <v>1062</v>
      </c>
      <c r="B104" s="19" t="n">
        <f aca="false">SUMIFS('Revision Log'!$M$2:$M$609,'Revision Log'!$N$2:$N$609,$A104,'Revision Log'!$C$2:$C$609,0)</f>
        <v>7.15</v>
      </c>
      <c r="C104" s="19" t="n">
        <f aca="false">SUMIFS('Revision Log'!$M$2:$M$609,'Revision Log'!$N$2:$N$609,$A104,'Revision Log'!$C$2:$C$609,1)</f>
        <v>7.65</v>
      </c>
      <c r="D104" s="19" t="n">
        <f aca="false">SUMIFS('Revision Log'!$M$2:$M$609,'Revision Log'!$N$2:$N$609,$A104,'Revision Log'!$C$2:$C$609,1)</f>
        <v>7.65</v>
      </c>
      <c r="E104" s="19" t="n">
        <f aca="false">SUMIFS('Revision Log'!$M$2:$M$609,'Revision Log'!$N$2:$N$609,$A104,'Revision Log'!$C$2:$C$609,1)</f>
        <v>7.65</v>
      </c>
    </row>
    <row r="105" customFormat="false" ht="15" hidden="false" customHeight="false" outlineLevel="0" collapsed="false">
      <c r="A105" s="18" t="n">
        <v>1063</v>
      </c>
      <c r="B105" s="19" t="n">
        <f aca="false">SUMIFS('Revision Log'!$M$2:$M$609,'Revision Log'!$N$2:$N$609,$A105,'Revision Log'!$C$2:$C$609,0)</f>
        <v>7.05</v>
      </c>
      <c r="C105" s="19" t="n">
        <f aca="false">SUMIFS('Revision Log'!$M$2:$M$609,'Revision Log'!$N$2:$N$609,$A105,'Revision Log'!$C$2:$C$609,1)</f>
        <v>7.9</v>
      </c>
      <c r="D105" s="19" t="n">
        <f aca="false">SUMIFS('Revision Log'!$M$2:$M$609,'Revision Log'!$N$2:$N$609,$A105,'Revision Log'!$C$2:$C$609,1)</f>
        <v>7.9</v>
      </c>
      <c r="E105" s="19" t="n">
        <f aca="false">SUMIFS('Revision Log'!$M$2:$M$609,'Revision Log'!$N$2:$N$609,$A105,'Revision Log'!$C$2:$C$609,1)</f>
        <v>7.9</v>
      </c>
    </row>
    <row r="106" customFormat="false" ht="15" hidden="false" customHeight="false" outlineLevel="0" collapsed="false">
      <c r="A106" s="18" t="n">
        <v>1064</v>
      </c>
      <c r="B106" s="19" t="n">
        <f aca="false">SUMIFS('Revision Log'!$M$2:$M$609,'Revision Log'!$N$2:$N$609,$A106,'Revision Log'!$C$2:$C$609,0)</f>
        <v>8.1</v>
      </c>
      <c r="C106" s="19" t="n">
        <f aca="false">SUMIFS('Revision Log'!$M$2:$M$609,'Revision Log'!$N$2:$N$609,$A106,'Revision Log'!$C$2:$C$609,1)</f>
        <v>7.4</v>
      </c>
      <c r="D106" s="19" t="n">
        <f aca="false">SUMIFS('Revision Log'!$M$2:$M$609,'Revision Log'!$N$2:$N$609,$A106,'Revision Log'!$C$2:$C$609,1)</f>
        <v>7.4</v>
      </c>
      <c r="E106" s="19" t="n">
        <f aca="false">SUMIFS('Revision Log'!$M$2:$M$609,'Revision Log'!$N$2:$N$609,$A106,'Revision Log'!$C$2:$C$609,3)</f>
        <v>7.75</v>
      </c>
    </row>
    <row r="107" customFormat="false" ht="15" hidden="false" customHeight="false" outlineLevel="0" collapsed="false">
      <c r="A107" s="18" t="n">
        <v>1070</v>
      </c>
      <c r="B107" s="19" t="n">
        <f aca="false">SUMIFS('Revision Log'!$M$2:$M$609,'Revision Log'!$N$2:$N$609,$A107,'Revision Log'!$C$2:$C$609,0)</f>
        <v>8.5</v>
      </c>
      <c r="C107" s="19" t="n">
        <f aca="false">SUMIFS('Revision Log'!$M$2:$M$609,'Revision Log'!$N$2:$N$609,$A107,'Revision Log'!$C$2:$C$609,1)</f>
        <v>9.3</v>
      </c>
      <c r="D107" s="19" t="n">
        <f aca="false">SUMIFS('Revision Log'!$M$2:$M$609,'Revision Log'!$N$2:$N$609,$A107,'Revision Log'!$C$2:$C$609,1)</f>
        <v>9.3</v>
      </c>
      <c r="E107" s="19" t="n">
        <f aca="false">SUMIFS('Revision Log'!$M$2:$M$609,'Revision Log'!$N$2:$N$609,$A107,'Revision Log'!$C$2:$C$609,1)</f>
        <v>9.3</v>
      </c>
    </row>
    <row r="108" customFormat="false" ht="15" hidden="false" customHeight="false" outlineLevel="0" collapsed="false">
      <c r="A108" s="18" t="n">
        <v>1071</v>
      </c>
      <c r="B108" s="19" t="n">
        <f aca="false">SUMIFS('Revision Log'!$M$2:$M$609,'Revision Log'!$N$2:$N$609,$A108,'Revision Log'!$C$2:$C$609,0)</f>
        <v>8.35</v>
      </c>
      <c r="C108" s="19" t="n">
        <f aca="false">SUMIFS('Revision Log'!$M$2:$M$609,'Revision Log'!$N$2:$N$609,$A108,'Revision Log'!$C$2:$C$609,1)</f>
        <v>8.85</v>
      </c>
      <c r="D108" s="19" t="n">
        <f aca="false">SUMIFS('Revision Log'!$M$2:$M$609,'Revision Log'!$N$2:$N$609,$A108,'Revision Log'!$C$2:$C$609,1)</f>
        <v>8.85</v>
      </c>
      <c r="E108" s="19" t="n">
        <f aca="false">SUMIFS('Revision Log'!$M$2:$M$609,'Revision Log'!$N$2:$N$609,$A108,'Revision Log'!$C$2:$C$609,1)</f>
        <v>8.85</v>
      </c>
    </row>
    <row r="109" customFormat="false" ht="15" hidden="false" customHeight="false" outlineLevel="0" collapsed="false">
      <c r="A109" s="18" t="n">
        <v>1072</v>
      </c>
      <c r="B109" s="19" t="n">
        <f aca="false">SUMIFS('Revision Log'!$M$2:$M$609,'Revision Log'!$N$2:$N$609,$A109,'Revision Log'!$C$2:$C$609,0)</f>
        <v>7.7</v>
      </c>
      <c r="C109" s="19" t="n">
        <f aca="false">SUMIFS('Revision Log'!$M$2:$M$609,'Revision Log'!$N$2:$N$609,$A109,'Revision Log'!$C$2:$C$609,1)</f>
        <v>7.6</v>
      </c>
      <c r="D109" s="19" t="n">
        <f aca="false">SUMIFS('Revision Log'!$M$2:$M$609,'Revision Log'!$N$2:$N$609,$A109,'Revision Log'!$C$2:$C$609,1)</f>
        <v>7.6</v>
      </c>
      <c r="E109" s="19" t="n">
        <f aca="false">SUMIFS('Revision Log'!$M$2:$M$609,'Revision Log'!$N$2:$N$609,$A109,'Revision Log'!$C$2:$C$609,1)</f>
        <v>7.6</v>
      </c>
    </row>
    <row r="110" customFormat="false" ht="15" hidden="false" customHeight="false" outlineLevel="0" collapsed="false">
      <c r="A110" s="18" t="n">
        <v>1073</v>
      </c>
      <c r="B110" s="19" t="n">
        <f aca="false">SUMIFS('Revision Log'!$M$2:$M$609,'Revision Log'!$N$2:$N$609,$A110,'Revision Log'!$C$2:$C$609,0)</f>
        <v>7.3</v>
      </c>
      <c r="C110" s="19" t="n">
        <f aca="false">SUMIFS('Revision Log'!$M$2:$M$609,'Revision Log'!$N$2:$N$609,$A110,'Revision Log'!$C$2:$C$609,1)</f>
        <v>8.35</v>
      </c>
      <c r="D110" s="19" t="n">
        <f aca="false">SUMIFS('Revision Log'!$M$2:$M$609,'Revision Log'!$N$2:$N$609,$A110,'Revision Log'!$C$2:$C$609,1)</f>
        <v>8.35</v>
      </c>
      <c r="E110" s="19" t="n">
        <f aca="false">SUMIFS('Revision Log'!$M$2:$M$609,'Revision Log'!$N$2:$N$609,$A110,'Revision Log'!$C$2:$C$609,1)</f>
        <v>8.35</v>
      </c>
    </row>
    <row r="111" customFormat="false" ht="15" hidden="false" customHeight="false" outlineLevel="0" collapsed="false">
      <c r="A111" s="18" t="n">
        <v>1074</v>
      </c>
      <c r="B111" s="19" t="n">
        <f aca="false">SUMIFS('Revision Log'!$M$2:$M$609,'Revision Log'!$N$2:$N$609,$A111,'Revision Log'!$C$2:$C$609,0)</f>
        <v>7.8</v>
      </c>
      <c r="C111" s="19" t="n">
        <f aca="false">SUMIFS('Revision Log'!$M$2:$M$609,'Revision Log'!$N$2:$N$609,$A111,'Revision Log'!$C$2:$C$609,1)</f>
        <v>8.45</v>
      </c>
      <c r="D111" s="19" t="n">
        <f aca="false">SUMIFS('Revision Log'!$M$2:$M$609,'Revision Log'!$N$2:$N$609,$A111,'Revision Log'!$C$2:$C$609,1)</f>
        <v>8.45</v>
      </c>
      <c r="E111" s="19" t="n">
        <f aca="false">SUMIFS('Revision Log'!$M$2:$M$609,'Revision Log'!$N$2:$N$609,$A111,'Revision Log'!$C$2:$C$609,1)</f>
        <v>8.45</v>
      </c>
    </row>
    <row r="112" customFormat="false" ht="15" hidden="false" customHeight="false" outlineLevel="0" collapsed="false">
      <c r="A112" s="18" t="n">
        <v>1080</v>
      </c>
      <c r="B112" s="19" t="n">
        <f aca="false">SUMIFS('Revision Log'!$M$2:$M$609,'Revision Log'!$N$2:$N$609,$A112,'Revision Log'!$C$2:$C$609,0)</f>
        <v>8.1</v>
      </c>
      <c r="C112" s="19" t="n">
        <f aca="false">SUMIFS('Revision Log'!$M$2:$M$609,'Revision Log'!$N$2:$N$609,$A112,'Revision Log'!$C$2:$C$609,1)</f>
        <v>8.85</v>
      </c>
      <c r="D112" s="19" t="n">
        <f aca="false">SUMIFS('Revision Log'!$M$2:$M$609,'Revision Log'!$N$2:$N$609,$A112,'Revision Log'!$C$2:$C$609,1)</f>
        <v>8.85</v>
      </c>
      <c r="E112" s="19" t="n">
        <f aca="false">SUMIFS('Revision Log'!$M$2:$M$609,'Revision Log'!$N$2:$N$609,$A112,'Revision Log'!$C$2:$C$609,1)</f>
        <v>8.85</v>
      </c>
    </row>
    <row r="113" customFormat="false" ht="15" hidden="false" customHeight="false" outlineLevel="0" collapsed="false">
      <c r="A113" s="18" t="n">
        <v>1081</v>
      </c>
      <c r="B113" s="19" t="n">
        <f aca="false">SUMIFS('Revision Log'!$M$2:$M$609,'Revision Log'!$N$2:$N$609,$A113,'Revision Log'!$C$2:$C$609,0)</f>
        <v>8.35</v>
      </c>
      <c r="C113" s="19" t="n">
        <f aca="false">SUMIFS('Revision Log'!$M$2:$M$609,'Revision Log'!$N$2:$N$609,$A113,'Revision Log'!$C$2:$C$609,1)</f>
        <v>8.75</v>
      </c>
      <c r="D113" s="19" t="n">
        <f aca="false">SUMIFS('Revision Log'!$M$2:$M$609,'Revision Log'!$N$2:$N$609,$A113,'Revision Log'!$C$2:$C$609,1)</f>
        <v>8.75</v>
      </c>
      <c r="E113" s="19" t="n">
        <f aca="false">SUMIFS('Revision Log'!$M$2:$M$609,'Revision Log'!$N$2:$N$609,$A113,'Revision Log'!$C$2:$C$609,1)</f>
        <v>8.75</v>
      </c>
    </row>
    <row r="114" customFormat="false" ht="15" hidden="false" customHeight="false" outlineLevel="0" collapsed="false">
      <c r="A114" s="18" t="n">
        <v>1082</v>
      </c>
      <c r="B114" s="19" t="n">
        <f aca="false">SUMIFS('Revision Log'!$M$2:$M$609,'Revision Log'!$N$2:$N$609,$A114,'Revision Log'!$C$2:$C$609,0)</f>
        <v>7.85</v>
      </c>
      <c r="C114" s="19" t="n">
        <f aca="false">SUMIFS('Revision Log'!$M$2:$M$609,'Revision Log'!$N$2:$N$609,$A114,'Revision Log'!$C$2:$C$609,1)</f>
        <v>8.55</v>
      </c>
      <c r="D114" s="19" t="n">
        <f aca="false">SUMIFS('Revision Log'!$M$2:$M$609,'Revision Log'!$N$2:$N$609,$A114,'Revision Log'!$C$2:$C$609,1)</f>
        <v>8.55</v>
      </c>
      <c r="E114" s="19" t="n">
        <f aca="false">SUMIFS('Revision Log'!$M$2:$M$609,'Revision Log'!$N$2:$N$609,$A114,'Revision Log'!$C$2:$C$609,1)</f>
        <v>8.55</v>
      </c>
    </row>
    <row r="115" customFormat="false" ht="15" hidden="false" customHeight="false" outlineLevel="0" collapsed="false">
      <c r="A115" s="18" t="n">
        <v>1083</v>
      </c>
      <c r="B115" s="19" t="n">
        <f aca="false">SUMIFS('Revision Log'!$M$2:$M$609,'Revision Log'!$N$2:$N$609,$A115,'Revision Log'!$C$2:$C$609,0)</f>
        <v>7.3</v>
      </c>
      <c r="C115" s="19" t="n">
        <f aca="false">SUMIFS('Revision Log'!$M$2:$M$609,'Revision Log'!$N$2:$N$609,$A115,'Revision Log'!$C$2:$C$609,1)</f>
        <v>8.35</v>
      </c>
      <c r="D115" s="19" t="n">
        <f aca="false">SUMIFS('Revision Log'!$M$2:$M$609,'Revision Log'!$N$2:$N$609,$A115,'Revision Log'!$C$2:$C$609,1)</f>
        <v>8.35</v>
      </c>
      <c r="E115" s="19" t="n">
        <f aca="false">SUMIFS('Revision Log'!$M$2:$M$609,'Revision Log'!$N$2:$N$609,$A115,'Revision Log'!$C$2:$C$609,1)</f>
        <v>8.35</v>
      </c>
    </row>
    <row r="116" customFormat="false" ht="15" hidden="false" customHeight="false" outlineLevel="0" collapsed="false">
      <c r="A116" s="18" t="n">
        <v>1084</v>
      </c>
      <c r="B116" s="19" t="n">
        <f aca="false">SUMIFS('Revision Log'!$M$2:$M$609,'Revision Log'!$N$2:$N$609,$A116,'Revision Log'!$C$2:$C$609,0)</f>
        <v>7.7</v>
      </c>
      <c r="C116" s="19" t="n">
        <f aca="false">SUMIFS('Revision Log'!$M$2:$M$609,'Revision Log'!$N$2:$N$609,$A116,'Revision Log'!$C$2:$C$609,1)</f>
        <v>8.55</v>
      </c>
      <c r="D116" s="19" t="n">
        <f aca="false">SUMIFS('Revision Log'!$M$2:$M$609,'Revision Log'!$N$2:$N$609,$A116,'Revision Log'!$C$2:$C$609,1)</f>
        <v>8.55</v>
      </c>
      <c r="E116" s="19" t="n">
        <f aca="false">SUMIFS('Revision Log'!$M$2:$M$609,'Revision Log'!$N$2:$N$609,$A116,'Revision Log'!$C$2:$C$609,1)</f>
        <v>8.55</v>
      </c>
    </row>
    <row r="117" customFormat="false" ht="15" hidden="false" customHeight="false" outlineLevel="0" collapsed="false">
      <c r="A117" s="18" t="n">
        <v>1090</v>
      </c>
      <c r="B117" s="19" t="n">
        <f aca="false">SUMIFS('Revision Log'!$M$2:$M$609,'Revision Log'!$N$2:$N$609,$A117,'Revision Log'!$C$2:$C$609,0)</f>
        <v>7.6</v>
      </c>
      <c r="C117" s="19" t="n">
        <f aca="false">SUMIFS('Revision Log'!$M$2:$M$609,'Revision Log'!$N$2:$N$609,$A117,'Revision Log'!$C$2:$C$609,1)</f>
        <v>8.25</v>
      </c>
      <c r="D117" s="19" t="n">
        <f aca="false">SUMIFS('Revision Log'!$M$2:$M$609,'Revision Log'!$N$2:$N$609,$A117,'Revision Log'!$C$2:$C$609,1)</f>
        <v>8.25</v>
      </c>
      <c r="E117" s="19" t="n">
        <f aca="false">SUMIFS('Revision Log'!$M$2:$M$609,'Revision Log'!$N$2:$N$609,$A117,'Revision Log'!$C$2:$C$609,1)</f>
        <v>8.25</v>
      </c>
    </row>
    <row r="118" customFormat="false" ht="15" hidden="false" customHeight="false" outlineLevel="0" collapsed="false">
      <c r="A118" s="18" t="n">
        <v>1091</v>
      </c>
      <c r="B118" s="19" t="n">
        <f aca="false">SUMIFS('Revision Log'!$M$2:$M$609,'Revision Log'!$N$2:$N$609,$A118,'Revision Log'!$C$2:$C$609,0)</f>
        <v>7.9</v>
      </c>
      <c r="C118" s="19" t="n">
        <f aca="false">SUMIFS('Revision Log'!$M$2:$M$609,'Revision Log'!$N$2:$N$609,$A118,'Revision Log'!$C$2:$C$609,1)</f>
        <v>8.2</v>
      </c>
      <c r="D118" s="19" t="n">
        <f aca="false">SUMIFS('Revision Log'!$M$2:$M$609,'Revision Log'!$N$2:$N$609,$A118,'Revision Log'!$C$2:$C$609,1)</f>
        <v>8.2</v>
      </c>
      <c r="E118" s="19" t="n">
        <f aca="false">SUMIFS('Revision Log'!$M$2:$M$609,'Revision Log'!$N$2:$N$609,$A118,'Revision Log'!$C$2:$C$609,1)</f>
        <v>8.2</v>
      </c>
    </row>
    <row r="119" customFormat="false" ht="15" hidden="false" customHeight="false" outlineLevel="0" collapsed="false">
      <c r="A119" s="18" t="n">
        <v>1092</v>
      </c>
      <c r="B119" s="19" t="n">
        <f aca="false">SUMIFS('Revision Log'!$M$2:$M$609,'Revision Log'!$N$2:$N$609,$A119,'Revision Log'!$C$2:$C$609,0)</f>
        <v>7.05</v>
      </c>
      <c r="C119" s="19" t="n">
        <f aca="false">SUMIFS('Revision Log'!$M$2:$M$609,'Revision Log'!$N$2:$N$609,$A119,'Revision Log'!$C$2:$C$609,1)</f>
        <v>7.65</v>
      </c>
      <c r="D119" s="19" t="n">
        <f aca="false">SUMIFS('Revision Log'!$M$2:$M$609,'Revision Log'!$N$2:$N$609,$A119,'Revision Log'!$C$2:$C$609,1)</f>
        <v>7.65</v>
      </c>
      <c r="E119" s="19" t="n">
        <f aca="false">SUMIFS('Revision Log'!$M$2:$M$609,'Revision Log'!$N$2:$N$609,$A119,'Revision Log'!$C$2:$C$609,1)</f>
        <v>7.65</v>
      </c>
    </row>
    <row r="120" customFormat="false" ht="15" hidden="false" customHeight="false" outlineLevel="0" collapsed="false">
      <c r="A120" s="18" t="n">
        <v>1093</v>
      </c>
      <c r="B120" s="19" t="n">
        <f aca="false">SUMIFS('Revision Log'!$M$2:$M$609,'Revision Log'!$N$2:$N$609,$A120,'Revision Log'!$C$2:$C$609,0)</f>
        <v>7.95</v>
      </c>
      <c r="C120" s="19" t="n">
        <f aca="false">SUMIFS('Revision Log'!$M$2:$M$609,'Revision Log'!$N$2:$N$609,$A120,'Revision Log'!$C$2:$C$609,1)</f>
        <v>7.45</v>
      </c>
      <c r="D120" s="19" t="n">
        <f aca="false">SUMIFS('Revision Log'!$M$2:$M$609,'Revision Log'!$N$2:$N$609,$A120,'Revision Log'!$C$2:$C$609,1)</f>
        <v>7.45</v>
      </c>
      <c r="E120" s="19" t="n">
        <f aca="false">SUMIFS('Revision Log'!$M$2:$M$609,'Revision Log'!$N$2:$N$609,$A120,'Revision Log'!$C$2:$C$609,3)</f>
        <v>7.8</v>
      </c>
    </row>
    <row r="121" customFormat="false" ht="15" hidden="false" customHeight="false" outlineLevel="0" collapsed="false">
      <c r="A121" s="18" t="n">
        <v>1094</v>
      </c>
      <c r="B121" s="19" t="n">
        <f aca="false">SUMIFS('Revision Log'!$M$2:$M$609,'Revision Log'!$N$2:$N$609,$A121,'Revision Log'!$C$2:$C$609,0)</f>
        <v>6.9</v>
      </c>
      <c r="C121" s="19" t="n">
        <f aca="false">SUMIFS('Revision Log'!$M$2:$M$609,'Revision Log'!$N$2:$N$609,$A121,'Revision Log'!$C$2:$C$609,1)</f>
        <v>7.8</v>
      </c>
      <c r="D121" s="19" t="n">
        <f aca="false">SUMIFS('Revision Log'!$M$2:$M$609,'Revision Log'!$N$2:$N$609,$A121,'Revision Log'!$C$2:$C$609,1)</f>
        <v>7.8</v>
      </c>
      <c r="E121" s="19" t="n">
        <f aca="false">SUMIFS('Revision Log'!$M$2:$M$609,'Revision Log'!$N$2:$N$609,$A121,'Revision Log'!$C$2:$C$609,1)</f>
        <v>7.8</v>
      </c>
    </row>
    <row r="122" customFormat="false" ht="15" hidden="false" customHeight="false" outlineLevel="0" collapsed="false">
      <c r="A122" s="18" t="n">
        <v>1100</v>
      </c>
      <c r="B122" s="19" t="n">
        <f aca="false">SUMIFS('Revision Log'!$M$2:$M$609,'Revision Log'!$N$2:$N$609,$A122,'Revision Log'!$C$2:$C$609,0)</f>
        <v>7</v>
      </c>
      <c r="C122" s="19" t="n">
        <f aca="false">SUMIFS('Revision Log'!$M$2:$M$609,'Revision Log'!$N$2:$N$609,$A122,'Revision Log'!$C$2:$C$609,1)</f>
        <v>8.1</v>
      </c>
      <c r="D122" s="19" t="n">
        <f aca="false">SUMIFS('Revision Log'!$M$2:$M$609,'Revision Log'!$N$2:$N$609,$A122,'Revision Log'!$C$2:$C$609,1)</f>
        <v>8.1</v>
      </c>
      <c r="E122" s="19" t="n">
        <f aca="false">SUMIFS('Revision Log'!$M$2:$M$609,'Revision Log'!$N$2:$N$609,$A122,'Revision Log'!$C$2:$C$609,1)</f>
        <v>8.1</v>
      </c>
    </row>
    <row r="123" customFormat="false" ht="15" hidden="false" customHeight="false" outlineLevel="0" collapsed="false">
      <c r="A123" s="18" t="n">
        <v>1101</v>
      </c>
      <c r="B123" s="19" t="n">
        <f aca="false">SUMIFS('Revision Log'!$M$2:$M$609,'Revision Log'!$N$2:$N$609,$A123,'Revision Log'!$C$2:$C$609,0)</f>
        <v>7.4</v>
      </c>
      <c r="C123" s="19" t="n">
        <f aca="false">SUMIFS('Revision Log'!$M$2:$M$609,'Revision Log'!$N$2:$N$609,$A123,'Revision Log'!$C$2:$C$609,1)</f>
        <v>7.85</v>
      </c>
      <c r="D123" s="19" t="n">
        <f aca="false">SUMIFS('Revision Log'!$M$2:$M$609,'Revision Log'!$N$2:$N$609,$A123,'Revision Log'!$C$2:$C$609,1)</f>
        <v>7.85</v>
      </c>
      <c r="E123" s="19" t="n">
        <f aca="false">SUMIFS('Revision Log'!$M$2:$M$609,'Revision Log'!$N$2:$N$609,$A123,'Revision Log'!$C$2:$C$609,1)</f>
        <v>7.85</v>
      </c>
    </row>
    <row r="124" customFormat="false" ht="15" hidden="false" customHeight="false" outlineLevel="0" collapsed="false">
      <c r="A124" s="18" t="n">
        <v>1102</v>
      </c>
      <c r="B124" s="19" t="n">
        <f aca="false">SUMIFS('Revision Log'!$M$2:$M$609,'Revision Log'!$N$2:$N$609,$A124,'Revision Log'!$C$2:$C$609,0)</f>
        <v>6.75</v>
      </c>
      <c r="C124" s="19" t="n">
        <f aca="false">SUMIFS('Revision Log'!$M$2:$M$609,'Revision Log'!$N$2:$N$609,$A124,'Revision Log'!$C$2:$C$609,1)</f>
        <v>7.8</v>
      </c>
      <c r="D124" s="19" t="n">
        <f aca="false">SUMIFS('Revision Log'!$M$2:$M$609,'Revision Log'!$N$2:$N$609,$A124,'Revision Log'!$C$2:$C$609,1)</f>
        <v>7.8</v>
      </c>
      <c r="E124" s="19" t="n">
        <f aca="false">SUMIFS('Revision Log'!$M$2:$M$609,'Revision Log'!$N$2:$N$609,$A124,'Revision Log'!$C$2:$C$609,1)</f>
        <v>7.8</v>
      </c>
    </row>
    <row r="125" customFormat="false" ht="15" hidden="false" customHeight="false" outlineLevel="0" collapsed="false">
      <c r="A125" s="18" t="n">
        <v>1103</v>
      </c>
      <c r="B125" s="19" t="n">
        <f aca="false">SUMIFS('Revision Log'!$M$2:$M$609,'Revision Log'!$N$2:$N$609,$A125,'Revision Log'!$C$2:$C$609,0)</f>
        <v>6.65</v>
      </c>
      <c r="C125" s="19" t="n">
        <f aca="false">SUMIFS('Revision Log'!$M$2:$M$609,'Revision Log'!$N$2:$N$609,$A125,'Revision Log'!$C$2:$C$609,1)</f>
        <v>7.85</v>
      </c>
      <c r="D125" s="19" t="n">
        <f aca="false">SUMIFS('Revision Log'!$M$2:$M$609,'Revision Log'!$N$2:$N$609,$A125,'Revision Log'!$C$2:$C$609,1)</f>
        <v>7.85</v>
      </c>
      <c r="E125" s="19" t="n">
        <f aca="false">SUMIFS('Revision Log'!$M$2:$M$609,'Revision Log'!$N$2:$N$609,$A125,'Revision Log'!$C$2:$C$609,1)</f>
        <v>7.85</v>
      </c>
    </row>
    <row r="126" customFormat="false" ht="15" hidden="false" customHeight="false" outlineLevel="0" collapsed="false">
      <c r="A126" s="18" t="n">
        <v>1104</v>
      </c>
      <c r="B126" s="19" t="n">
        <f aca="false">SUMIFS('Revision Log'!$M$2:$M$609,'Revision Log'!$N$2:$N$609,$A126,'Revision Log'!$C$2:$C$609,0)</f>
        <v>7.3</v>
      </c>
      <c r="C126" s="19" t="n">
        <f aca="false">SUMIFS('Revision Log'!$M$2:$M$609,'Revision Log'!$N$2:$N$609,$A126,'Revision Log'!$C$2:$C$609,1)</f>
        <v>7.25</v>
      </c>
      <c r="D126" s="19" t="n">
        <f aca="false">SUMIFS('Revision Log'!$M$2:$M$609,'Revision Log'!$N$2:$N$609,$A126,'Revision Log'!$C$2:$C$609,1)</f>
        <v>7.25</v>
      </c>
      <c r="E126" s="19" t="n">
        <f aca="false">SUMIFS('Revision Log'!$M$2:$M$609,'Revision Log'!$N$2:$N$609,$A126,'Revision Log'!$C$2:$C$609,3)</f>
        <v>7.8</v>
      </c>
    </row>
    <row r="127" customFormat="false" ht="15" hidden="false" customHeight="false" outlineLevel="0" collapsed="false">
      <c r="A127" s="18" t="n">
        <v>1110</v>
      </c>
      <c r="B127" s="19" t="n">
        <f aca="false">SUMIFS('Revision Log'!$M$2:$M$609,'Revision Log'!$N$2:$N$609,$A127,'Revision Log'!$C$2:$C$609,0)</f>
        <v>6.25</v>
      </c>
      <c r="C127" s="19" t="n">
        <f aca="false">SUMIFS('Revision Log'!$M$2:$M$609,'Revision Log'!$N$2:$N$609,$A127,'Revision Log'!$C$2:$C$609,1)</f>
        <v>7.35</v>
      </c>
      <c r="D127" s="19" t="n">
        <f aca="false">SUMIFS('Revision Log'!$M$2:$M$609,'Revision Log'!$N$2:$N$609,$A127,'Revision Log'!$C$2:$C$609,2)</f>
        <v>7.4</v>
      </c>
      <c r="E127" s="19" t="n">
        <f aca="false">SUMIFS('Revision Log'!$M$2:$M$609,'Revision Log'!$N$2:$N$609,$A127,'Revision Log'!$C$2:$C$609,2)</f>
        <v>7.4</v>
      </c>
    </row>
    <row r="128" customFormat="false" ht="15" hidden="false" customHeight="false" outlineLevel="0" collapsed="false">
      <c r="A128" s="18" t="n">
        <v>1111</v>
      </c>
      <c r="B128" s="19" t="n">
        <f aca="false">SUMIFS('Revision Log'!$M$2:$M$609,'Revision Log'!$N$2:$N$609,$A128,'Revision Log'!$C$2:$C$609,0)</f>
        <v>6.6</v>
      </c>
      <c r="C128" s="19" t="n">
        <f aca="false">SUMIFS('Revision Log'!$M$2:$M$609,'Revision Log'!$N$2:$N$609,$A128,'Revision Log'!$C$2:$C$609,1)</f>
        <v>7.8</v>
      </c>
      <c r="D128" s="19" t="n">
        <f aca="false">SUMIFS('Revision Log'!$M$2:$M$609,'Revision Log'!$N$2:$N$609,$A128,'Revision Log'!$C$2:$C$609,1)</f>
        <v>7.8</v>
      </c>
      <c r="E128" s="19" t="n">
        <f aca="false">SUMIFS('Revision Log'!$M$2:$M$609,'Revision Log'!$N$2:$N$609,$A128,'Revision Log'!$C$2:$C$609,1)</f>
        <v>7.8</v>
      </c>
    </row>
    <row r="129" customFormat="false" ht="15" hidden="false" customHeight="false" outlineLevel="0" collapsed="false">
      <c r="A129" s="18" t="n">
        <v>1112</v>
      </c>
      <c r="B129" s="19" t="n">
        <f aca="false">SUMIFS('Revision Log'!$M$2:$M$609,'Revision Log'!$N$2:$N$609,$A129,'Revision Log'!$C$2:$C$609,0)</f>
        <v>6.4</v>
      </c>
      <c r="C129" s="19" t="n">
        <f aca="false">SUMIFS('Revision Log'!$M$2:$M$609,'Revision Log'!$N$2:$N$609,$A129,'Revision Log'!$C$2:$C$609,1)</f>
        <v>7.9</v>
      </c>
      <c r="D129" s="19" t="n">
        <f aca="false">SUMIFS('Revision Log'!$M$2:$M$609,'Revision Log'!$N$2:$N$609,$A129,'Revision Log'!$C$2:$C$609,1)</f>
        <v>7.9</v>
      </c>
      <c r="E129" s="19" t="n">
        <f aca="false">SUMIFS('Revision Log'!$M$2:$M$609,'Revision Log'!$N$2:$N$609,$A129,'Revision Log'!$C$2:$C$609,1)</f>
        <v>7.9</v>
      </c>
    </row>
    <row r="130" customFormat="false" ht="15" hidden="false" customHeight="false" outlineLevel="0" collapsed="false">
      <c r="A130" s="18" t="n">
        <v>1113</v>
      </c>
      <c r="B130" s="19" t="n">
        <f aca="false">SUMIFS('Revision Log'!$M$2:$M$609,'Revision Log'!$N$2:$N$609,$A130,'Revision Log'!$C$2:$C$609,0)</f>
        <v>6.15</v>
      </c>
      <c r="C130" s="19" t="n">
        <f aca="false">SUMIFS('Revision Log'!$M$2:$M$609,'Revision Log'!$N$2:$N$609,$A130,'Revision Log'!$C$2:$C$609,1)</f>
        <v>6.8</v>
      </c>
      <c r="D130" s="19" t="n">
        <f aca="false">SUMIFS('Revision Log'!$M$2:$M$609,'Revision Log'!$N$2:$N$609,$A130,'Revision Log'!$C$2:$C$609,2)</f>
        <v>7.45</v>
      </c>
      <c r="E130" s="19" t="n">
        <f aca="false">SUMIFS('Revision Log'!$M$2:$M$609,'Revision Log'!$N$2:$N$609,$A130,'Revision Log'!$C$2:$C$609,2)</f>
        <v>7.45</v>
      </c>
    </row>
    <row r="131" customFormat="false" ht="15" hidden="false" customHeight="false" outlineLevel="0" collapsed="false">
      <c r="A131" s="18" t="n">
        <v>1114</v>
      </c>
      <c r="B131" s="19" t="n">
        <f aca="false">SUMIFS('Revision Log'!$M$2:$M$609,'Revision Log'!$N$2:$N$609,$A131,'Revision Log'!$C$2:$C$609,0)</f>
        <v>6.5</v>
      </c>
      <c r="C131" s="19" t="n">
        <f aca="false">SUMIFS('Revision Log'!$M$2:$M$609,'Revision Log'!$N$2:$N$609,$A131,'Revision Log'!$C$2:$C$609,1)</f>
        <v>8.1</v>
      </c>
      <c r="D131" s="19" t="n">
        <f aca="false">SUMIFS('Revision Log'!$M$2:$M$609,'Revision Log'!$N$2:$N$609,$A131,'Revision Log'!$C$2:$C$609,1)</f>
        <v>8.1</v>
      </c>
      <c r="E131" s="19" t="n">
        <f aca="false">SUMIFS('Revision Log'!$M$2:$M$609,'Revision Log'!$N$2:$N$609,$A131,'Revision Log'!$C$2:$C$609,1)</f>
        <v>8.1</v>
      </c>
    </row>
    <row r="132" customFormat="false" ht="15" hidden="false" customHeight="false" outlineLevel="0" collapsed="false">
      <c r="A132" s="18" t="n">
        <v>1120</v>
      </c>
      <c r="B132" s="19" t="n">
        <f aca="false">SUMIFS('Revision Log'!$M$2:$M$609,'Revision Log'!$N$2:$N$609,$A132,'Revision Log'!$C$2:$C$609,0)</f>
        <v>6.75</v>
      </c>
      <c r="C132" s="19" t="n">
        <f aca="false">SUMIFS('Revision Log'!$M$2:$M$609,'Revision Log'!$N$2:$N$609,$A132,'Revision Log'!$C$2:$C$609,1)</f>
        <v>7.85</v>
      </c>
      <c r="D132" s="19" t="n">
        <f aca="false">SUMIFS('Revision Log'!$M$2:$M$609,'Revision Log'!$N$2:$N$609,$A132,'Revision Log'!$C$2:$C$609,1)</f>
        <v>7.85</v>
      </c>
      <c r="E132" s="19" t="n">
        <f aca="false">SUMIFS('Revision Log'!$M$2:$M$609,'Revision Log'!$N$2:$N$609,$A132,'Revision Log'!$C$2:$C$609,1)</f>
        <v>7.85</v>
      </c>
    </row>
    <row r="133" customFormat="false" ht="15" hidden="false" customHeight="false" outlineLevel="0" collapsed="false">
      <c r="A133" s="18" t="n">
        <v>1121</v>
      </c>
      <c r="B133" s="19" t="n">
        <f aca="false">SUMIFS('Revision Log'!$M$2:$M$609,'Revision Log'!$N$2:$N$609,$A133,'Revision Log'!$C$2:$C$609,0)</f>
        <v>6.8</v>
      </c>
      <c r="C133" s="19" t="n">
        <f aca="false">SUMIFS('Revision Log'!$M$2:$M$609,'Revision Log'!$N$2:$N$609,$A133,'Revision Log'!$C$2:$C$609,1)</f>
        <v>7.9</v>
      </c>
      <c r="D133" s="19" t="n">
        <f aca="false">SUMIFS('Revision Log'!$M$2:$M$609,'Revision Log'!$N$2:$N$609,$A133,'Revision Log'!$C$2:$C$609,1)</f>
        <v>7.9</v>
      </c>
      <c r="E133" s="19" t="n">
        <f aca="false">SUMIFS('Revision Log'!$M$2:$M$609,'Revision Log'!$N$2:$N$609,$A133,'Revision Log'!$C$2:$C$609,1)</f>
        <v>7.9</v>
      </c>
    </row>
    <row r="134" customFormat="false" ht="15" hidden="false" customHeight="false" outlineLevel="0" collapsed="false">
      <c r="A134" s="18" t="n">
        <v>1122</v>
      </c>
      <c r="B134" s="19" t="n">
        <f aca="false">SUMIFS('Revision Log'!$M$2:$M$609,'Revision Log'!$N$2:$N$609,$A134,'Revision Log'!$C$2:$C$609,0)</f>
        <v>6.6</v>
      </c>
      <c r="C134" s="19" t="n">
        <f aca="false">SUMIFS('Revision Log'!$M$2:$M$609,'Revision Log'!$N$2:$N$609,$A134,'Revision Log'!$C$2:$C$609,1)</f>
        <v>7.75</v>
      </c>
      <c r="D134" s="19" t="n">
        <f aca="false">SUMIFS('Revision Log'!$M$2:$M$609,'Revision Log'!$N$2:$N$609,$A134,'Revision Log'!$C$2:$C$609,1)</f>
        <v>7.75</v>
      </c>
      <c r="E134" s="19" t="n">
        <f aca="false">SUMIFS('Revision Log'!$M$2:$M$609,'Revision Log'!$N$2:$N$609,$A134,'Revision Log'!$C$2:$C$609,1)</f>
        <v>7.75</v>
      </c>
    </row>
    <row r="135" customFormat="false" ht="15" hidden="false" customHeight="false" outlineLevel="0" collapsed="false">
      <c r="A135" s="18" t="n">
        <v>1123</v>
      </c>
      <c r="B135" s="19" t="n">
        <f aca="false">SUMIFS('Revision Log'!$M$2:$M$609,'Revision Log'!$N$2:$N$609,$A135,'Revision Log'!$C$2:$C$609,0)</f>
        <v>6.7</v>
      </c>
      <c r="C135" s="19" t="n">
        <f aca="false">SUMIFS('Revision Log'!$M$2:$M$609,'Revision Log'!$N$2:$N$609,$A135,'Revision Log'!$C$2:$C$609,1)</f>
        <v>7.15</v>
      </c>
      <c r="D135" s="19" t="n">
        <f aca="false">SUMIFS('Revision Log'!$M$2:$M$609,'Revision Log'!$N$2:$N$609,$A135,'Revision Log'!$C$2:$C$609,1)</f>
        <v>7.15</v>
      </c>
      <c r="E135" s="19" t="n">
        <f aca="false">SUMIFS('Revision Log'!$M$2:$M$609,'Revision Log'!$N$2:$N$609,$A135,'Revision Log'!$C$2:$C$609,3)</f>
        <v>7.5</v>
      </c>
    </row>
    <row r="136" customFormat="false" ht="15" hidden="false" customHeight="false" outlineLevel="0" collapsed="false">
      <c r="A136" s="18" t="n">
        <v>1124</v>
      </c>
      <c r="B136" s="19" t="n">
        <f aca="false">SUMIFS('Revision Log'!$M$2:$M$609,'Revision Log'!$N$2:$N$609,$A136,'Revision Log'!$C$2:$C$609,0)</f>
        <v>6.7</v>
      </c>
      <c r="C136" s="19" t="n">
        <f aca="false">SUMIFS('Revision Log'!$M$2:$M$609,'Revision Log'!$N$2:$N$609,$A136,'Revision Log'!$C$2:$C$609,1)</f>
        <v>7.85</v>
      </c>
      <c r="D136" s="19" t="n">
        <f aca="false">SUMIFS('Revision Log'!$M$2:$M$609,'Revision Log'!$N$2:$N$609,$A136,'Revision Log'!$C$2:$C$609,1)</f>
        <v>7.85</v>
      </c>
      <c r="E136" s="19" t="n">
        <f aca="false">SUMIFS('Revision Log'!$M$2:$M$609,'Revision Log'!$N$2:$N$609,$A136,'Revision Log'!$C$2:$C$609,1)</f>
        <v>7.85</v>
      </c>
    </row>
    <row r="137" customFormat="false" ht="15" hidden="false" customHeight="false" outlineLevel="0" collapsed="false">
      <c r="A137" s="18" t="n">
        <v>1130</v>
      </c>
      <c r="B137" s="19" t="n">
        <f aca="false">SUMIFS('Revision Log'!$M$2:$M$609,'Revision Log'!$N$2:$N$609,$A137,'Revision Log'!$C$2:$C$609,0)</f>
        <v>7.8</v>
      </c>
      <c r="C137" s="19" t="n">
        <f aca="false">SUMIFS('Revision Log'!$M$2:$M$609,'Revision Log'!$N$2:$N$609,$A137,'Revision Log'!$C$2:$C$609,1)</f>
        <v>7.75</v>
      </c>
      <c r="D137" s="19" t="n">
        <f aca="false">SUMIFS('Revision Log'!$M$2:$M$609,'Revision Log'!$N$2:$N$609,$A137,'Revision Log'!$C$2:$C$609,1)</f>
        <v>7.75</v>
      </c>
      <c r="E137" s="19" t="n">
        <f aca="false">SUMIFS('Revision Log'!$M$2:$M$609,'Revision Log'!$N$2:$N$609,$A137,'Revision Log'!$C$2:$C$609,1)</f>
        <v>7.75</v>
      </c>
    </row>
    <row r="138" customFormat="false" ht="15" hidden="false" customHeight="false" outlineLevel="0" collapsed="false">
      <c r="A138" s="18" t="n">
        <v>1131</v>
      </c>
      <c r="B138" s="19" t="n">
        <f aca="false">SUMIFS('Revision Log'!$M$2:$M$609,'Revision Log'!$N$2:$N$609,$A138,'Revision Log'!$C$2:$C$609,0)</f>
        <v>7.9</v>
      </c>
      <c r="C138" s="19" t="n">
        <f aca="false">SUMIFS('Revision Log'!$M$2:$M$609,'Revision Log'!$N$2:$N$609,$A138,'Revision Log'!$C$2:$C$609,1)</f>
        <v>8.2</v>
      </c>
      <c r="D138" s="19" t="n">
        <f aca="false">SUMIFS('Revision Log'!$M$2:$M$609,'Revision Log'!$N$2:$N$609,$A138,'Revision Log'!$C$2:$C$609,1)</f>
        <v>8.2</v>
      </c>
      <c r="E138" s="19" t="n">
        <f aca="false">SUMIFS('Revision Log'!$M$2:$M$609,'Revision Log'!$N$2:$N$609,$A138,'Revision Log'!$C$2:$C$609,1)</f>
        <v>8.2</v>
      </c>
    </row>
    <row r="139" customFormat="false" ht="15" hidden="false" customHeight="false" outlineLevel="0" collapsed="false">
      <c r="A139" s="18" t="n">
        <v>1132</v>
      </c>
      <c r="B139" s="19" t="n">
        <f aca="false">SUMIFS('Revision Log'!$M$2:$M$609,'Revision Log'!$N$2:$N$609,$A139,'Revision Log'!$C$2:$C$609,0)</f>
        <v>6.75</v>
      </c>
      <c r="C139" s="19" t="n">
        <f aca="false">SUMIFS('Revision Log'!$M$2:$M$609,'Revision Log'!$N$2:$N$609,$A139,'Revision Log'!$C$2:$C$609,1)</f>
        <v>7.65</v>
      </c>
      <c r="D139" s="19" t="n">
        <f aca="false">SUMIFS('Revision Log'!$M$2:$M$609,'Revision Log'!$N$2:$N$609,$A139,'Revision Log'!$C$2:$C$609,1)</f>
        <v>7.65</v>
      </c>
      <c r="E139" s="19" t="n">
        <f aca="false">SUMIFS('Revision Log'!$M$2:$M$609,'Revision Log'!$N$2:$N$609,$A139,'Revision Log'!$C$2:$C$609,1)</f>
        <v>7.65</v>
      </c>
    </row>
    <row r="140" customFormat="false" ht="15" hidden="false" customHeight="false" outlineLevel="0" collapsed="false">
      <c r="A140" s="18" t="n">
        <v>1133</v>
      </c>
      <c r="B140" s="19" t="n">
        <f aca="false">SUMIFS('Revision Log'!$M$2:$M$609,'Revision Log'!$N$2:$N$609,$A140,'Revision Log'!$C$2:$C$609,0)</f>
        <v>6.95</v>
      </c>
      <c r="C140" s="19" t="n">
        <f aca="false">SUMIFS('Revision Log'!$M$2:$M$609,'Revision Log'!$N$2:$N$609,$A140,'Revision Log'!$C$2:$C$609,1)</f>
        <v>7.7</v>
      </c>
      <c r="D140" s="19" t="n">
        <f aca="false">SUMIFS('Revision Log'!$M$2:$M$609,'Revision Log'!$N$2:$N$609,$A140,'Revision Log'!$C$2:$C$609,1)</f>
        <v>7.7</v>
      </c>
      <c r="E140" s="19" t="n">
        <f aca="false">SUMIFS('Revision Log'!$M$2:$M$609,'Revision Log'!$N$2:$N$609,$A140,'Revision Log'!$C$2:$C$609,1)</f>
        <v>7.7</v>
      </c>
    </row>
    <row r="141" customFormat="false" ht="15" hidden="false" customHeight="false" outlineLevel="0" collapsed="false">
      <c r="A141" s="18" t="n">
        <v>1134</v>
      </c>
      <c r="B141" s="19" t="n">
        <f aca="false">SUMIFS('Revision Log'!$M$2:$M$609,'Revision Log'!$N$2:$N$609,$A141,'Revision Log'!$C$2:$C$609,0)</f>
        <v>7</v>
      </c>
      <c r="C141" s="19" t="n">
        <f aca="false">SUMIFS('Revision Log'!$M$2:$M$609,'Revision Log'!$N$2:$N$609,$A141,'Revision Log'!$C$2:$C$609,1)</f>
        <v>7.75</v>
      </c>
      <c r="D141" s="19" t="n">
        <f aca="false">SUMIFS('Revision Log'!$M$2:$M$609,'Revision Log'!$N$2:$N$609,$A141,'Revision Log'!$C$2:$C$609,1)</f>
        <v>7.75</v>
      </c>
      <c r="E141" s="19" t="n">
        <f aca="false">SUMIFS('Revision Log'!$M$2:$M$609,'Revision Log'!$N$2:$N$609,$A141,'Revision Log'!$C$2:$C$609,1)</f>
        <v>7.75</v>
      </c>
    </row>
    <row r="142" customFormat="false" ht="15" hidden="false" customHeight="false" outlineLevel="0" collapsed="false">
      <c r="A142" s="18" t="n">
        <v>1140</v>
      </c>
      <c r="B142" s="19" t="n">
        <f aca="false">SUMIFS('Revision Log'!$M$2:$M$609,'Revision Log'!$N$2:$N$609,$A142,'Revision Log'!$C$2:$C$609,0)</f>
        <v>7.55</v>
      </c>
      <c r="C142" s="19" t="n">
        <f aca="false">SUMIFS('Revision Log'!$M$2:$M$609,'Revision Log'!$N$2:$N$609,$A142,'Revision Log'!$C$2:$C$609,1)</f>
        <v>8.25</v>
      </c>
      <c r="D142" s="19" t="n">
        <f aca="false">SUMIFS('Revision Log'!$M$2:$M$609,'Revision Log'!$N$2:$N$609,$A142,'Revision Log'!$C$2:$C$609,1)</f>
        <v>8.25</v>
      </c>
      <c r="E142" s="19" t="n">
        <f aca="false">SUMIFS('Revision Log'!$M$2:$M$609,'Revision Log'!$N$2:$N$609,$A142,'Revision Log'!$C$2:$C$609,1)</f>
        <v>8.25</v>
      </c>
    </row>
    <row r="143" customFormat="false" ht="15" hidden="false" customHeight="false" outlineLevel="0" collapsed="false">
      <c r="A143" s="18" t="n">
        <v>1141</v>
      </c>
      <c r="B143" s="19" t="n">
        <f aca="false">SUMIFS('Revision Log'!$M$2:$M$609,'Revision Log'!$N$2:$N$609,$A143,'Revision Log'!$C$2:$C$609,0)</f>
        <v>7.85</v>
      </c>
      <c r="C143" s="19" t="n">
        <f aca="false">SUMIFS('Revision Log'!$M$2:$M$609,'Revision Log'!$N$2:$N$609,$A143,'Revision Log'!$C$2:$C$609,1)</f>
        <v>8.15</v>
      </c>
      <c r="D143" s="19" t="n">
        <f aca="false">SUMIFS('Revision Log'!$M$2:$M$609,'Revision Log'!$N$2:$N$609,$A143,'Revision Log'!$C$2:$C$609,1)</f>
        <v>8.15</v>
      </c>
      <c r="E143" s="19" t="n">
        <f aca="false">SUMIFS('Revision Log'!$M$2:$M$609,'Revision Log'!$N$2:$N$609,$A143,'Revision Log'!$C$2:$C$609,1)</f>
        <v>8.15</v>
      </c>
    </row>
    <row r="144" customFormat="false" ht="15" hidden="false" customHeight="false" outlineLevel="0" collapsed="false">
      <c r="A144" s="18" t="n">
        <v>1142</v>
      </c>
      <c r="B144" s="19" t="n">
        <f aca="false">SUMIFS('Revision Log'!$M$2:$M$609,'Revision Log'!$N$2:$N$609,$A144,'Revision Log'!$C$2:$C$609,0)</f>
        <v>7.85</v>
      </c>
      <c r="C144" s="19" t="n">
        <f aca="false">SUMIFS('Revision Log'!$M$2:$M$609,'Revision Log'!$N$2:$N$609,$A144,'Revision Log'!$C$2:$C$609,1)</f>
        <v>6.4</v>
      </c>
      <c r="D144" s="19" t="n">
        <f aca="false">SUMIFS('Revision Log'!$M$2:$M$609,'Revision Log'!$N$2:$N$609,$A144,'Revision Log'!$C$2:$C$609,2)</f>
        <v>7.75</v>
      </c>
      <c r="E144" s="19" t="n">
        <f aca="false">SUMIFS('Revision Log'!$M$2:$M$609,'Revision Log'!$N$2:$N$609,$A144,'Revision Log'!$C$2:$C$609,2)</f>
        <v>7.75</v>
      </c>
    </row>
    <row r="145" customFormat="false" ht="15" hidden="false" customHeight="false" outlineLevel="0" collapsed="false">
      <c r="A145" s="18" t="n">
        <v>1143</v>
      </c>
      <c r="B145" s="19" t="n">
        <f aca="false">SUMIFS('Revision Log'!$M$2:$M$609,'Revision Log'!$N$2:$N$609,$A145,'Revision Log'!$C$2:$C$609,0)</f>
        <v>7.55</v>
      </c>
      <c r="C145" s="19" t="n">
        <f aca="false">SUMIFS('Revision Log'!$M$2:$M$609,'Revision Log'!$N$2:$N$609,$A145,'Revision Log'!$C$2:$C$609,1)</f>
        <v>7.85</v>
      </c>
      <c r="D145" s="19" t="n">
        <f aca="false">SUMIFS('Revision Log'!$M$2:$M$609,'Revision Log'!$N$2:$N$609,$A145,'Revision Log'!$C$2:$C$609,1)</f>
        <v>7.85</v>
      </c>
      <c r="E145" s="19" t="n">
        <f aca="false">SUMIFS('Revision Log'!$M$2:$M$609,'Revision Log'!$N$2:$N$609,$A145,'Revision Log'!$C$2:$C$609,1)</f>
        <v>7.85</v>
      </c>
    </row>
    <row r="146" customFormat="false" ht="15" hidden="false" customHeight="false" outlineLevel="0" collapsed="false">
      <c r="A146" s="18" t="n">
        <v>1144</v>
      </c>
      <c r="B146" s="19" t="n">
        <f aca="false">SUMIFS('Revision Log'!$M$2:$M$609,'Revision Log'!$N$2:$N$609,$A146,'Revision Log'!$C$2:$C$609,0)</f>
        <v>7.15</v>
      </c>
      <c r="C146" s="19" t="n">
        <f aca="false">SUMIFS('Revision Log'!$M$2:$M$609,'Revision Log'!$N$2:$N$609,$A146,'Revision Log'!$C$2:$C$609,1)</f>
        <v>7.8</v>
      </c>
      <c r="D146" s="19" t="n">
        <f aca="false">SUMIFS('Revision Log'!$M$2:$M$609,'Revision Log'!$N$2:$N$609,$A146,'Revision Log'!$C$2:$C$609,1)</f>
        <v>7.8</v>
      </c>
      <c r="E146" s="19" t="n">
        <f aca="false">SUMIFS('Revision Log'!$M$2:$M$609,'Revision Log'!$N$2:$N$609,$A146,'Revision Log'!$C$2:$C$609,1)</f>
        <v>7.8</v>
      </c>
    </row>
    <row r="147" customFormat="false" ht="15" hidden="false" customHeight="false" outlineLevel="0" collapsed="false">
      <c r="A147" s="18" t="n">
        <v>1150</v>
      </c>
      <c r="B147" s="19" t="n">
        <f aca="false">SUMIFS('Revision Log'!$M$2:$M$609,'Revision Log'!$N$2:$N$609,$A147,'Revision Log'!$C$2:$C$609,0)</f>
        <v>7.1</v>
      </c>
      <c r="C147" s="19" t="n">
        <f aca="false">SUMIFS('Revision Log'!$M$2:$M$609,'Revision Log'!$N$2:$N$609,$A147,'Revision Log'!$C$2:$C$609,1)</f>
        <v>8.15</v>
      </c>
      <c r="D147" s="19" t="n">
        <f aca="false">SUMIFS('Revision Log'!$M$2:$M$609,'Revision Log'!$N$2:$N$609,$A147,'Revision Log'!$C$2:$C$609,1)</f>
        <v>8.15</v>
      </c>
      <c r="E147" s="19" t="n">
        <f aca="false">SUMIFS('Revision Log'!$M$2:$M$609,'Revision Log'!$N$2:$N$609,$A147,'Revision Log'!$C$2:$C$609,1)</f>
        <v>8.15</v>
      </c>
    </row>
    <row r="148" customFormat="false" ht="15" hidden="false" customHeight="false" outlineLevel="0" collapsed="false">
      <c r="A148" s="18" t="n">
        <v>1151</v>
      </c>
      <c r="B148" s="19" t="n">
        <f aca="false">SUMIFS('Revision Log'!$M$2:$M$609,'Revision Log'!$N$2:$N$609,$A148,'Revision Log'!$C$2:$C$609,0)</f>
        <v>7.1</v>
      </c>
      <c r="C148" s="19" t="n">
        <f aca="false">SUMIFS('Revision Log'!$M$2:$M$609,'Revision Log'!$N$2:$N$609,$A148,'Revision Log'!$C$2:$C$609,1)</f>
        <v>7.85</v>
      </c>
      <c r="D148" s="19" t="n">
        <f aca="false">SUMIFS('Revision Log'!$M$2:$M$609,'Revision Log'!$N$2:$N$609,$A148,'Revision Log'!$C$2:$C$609,1)</f>
        <v>7.85</v>
      </c>
      <c r="E148" s="19" t="n">
        <f aca="false">SUMIFS('Revision Log'!$M$2:$M$609,'Revision Log'!$N$2:$N$609,$A148,'Revision Log'!$C$2:$C$609,1)</f>
        <v>7.85</v>
      </c>
    </row>
    <row r="149" customFormat="false" ht="15" hidden="false" customHeight="false" outlineLevel="0" collapsed="false">
      <c r="A149" s="18" t="n">
        <v>1152</v>
      </c>
      <c r="B149" s="19" t="n">
        <f aca="false">SUMIFS('Revision Log'!$M$2:$M$609,'Revision Log'!$N$2:$N$609,$A149,'Revision Log'!$C$2:$C$609,0)</f>
        <v>6.6</v>
      </c>
      <c r="C149" s="19" t="n">
        <f aca="false">SUMIFS('Revision Log'!$M$2:$M$609,'Revision Log'!$N$2:$N$609,$A149,'Revision Log'!$C$2:$C$609,1)</f>
        <v>7.55</v>
      </c>
      <c r="D149" s="19" t="n">
        <f aca="false">SUMIFS('Revision Log'!$M$2:$M$609,'Revision Log'!$N$2:$N$609,$A149,'Revision Log'!$C$2:$C$609,1)</f>
        <v>7.55</v>
      </c>
      <c r="E149" s="19" t="n">
        <f aca="false">SUMIFS('Revision Log'!$M$2:$M$609,'Revision Log'!$N$2:$N$609,$A149,'Revision Log'!$C$2:$C$609,1)</f>
        <v>7.55</v>
      </c>
    </row>
    <row r="150" customFormat="false" ht="15" hidden="false" customHeight="false" outlineLevel="0" collapsed="false">
      <c r="A150" s="18" t="n">
        <v>1153</v>
      </c>
      <c r="B150" s="19" t="n">
        <f aca="false">SUMIFS('Revision Log'!$M$2:$M$609,'Revision Log'!$N$2:$N$609,$A150,'Revision Log'!$C$2:$C$609,0)</f>
        <v>6.45</v>
      </c>
      <c r="C150" s="19" t="n">
        <f aca="false">SUMIFS('Revision Log'!$M$2:$M$609,'Revision Log'!$N$2:$N$609,$A150,'Revision Log'!$C$2:$C$609,1)</f>
        <v>7.2</v>
      </c>
      <c r="D150" s="19" t="n">
        <f aca="false">SUMIFS('Revision Log'!$M$2:$M$609,'Revision Log'!$N$2:$N$609,$A150,'Revision Log'!$C$2:$C$609,2)</f>
        <v>7.6</v>
      </c>
      <c r="E150" s="19" t="n">
        <f aca="false">SUMIFS('Revision Log'!$M$2:$M$609,'Revision Log'!$N$2:$N$609,$A150,'Revision Log'!$C$2:$C$609,2)</f>
        <v>7.6</v>
      </c>
    </row>
    <row r="151" customFormat="false" ht="15" hidden="false" customHeight="false" outlineLevel="0" collapsed="false">
      <c r="A151" s="18" t="n">
        <v>1154</v>
      </c>
      <c r="B151" s="19" t="n">
        <f aca="false">SUMIFS('Revision Log'!$M$2:$M$609,'Revision Log'!$N$2:$N$609,$A151,'Revision Log'!$C$2:$C$609,0)</f>
        <v>5.9</v>
      </c>
      <c r="C151" s="19" t="n">
        <f aca="false">SUMIFS('Revision Log'!$M$2:$M$609,'Revision Log'!$N$2:$N$609,$A151,'Revision Log'!$C$2:$C$609,1)</f>
        <v>7.45</v>
      </c>
      <c r="D151" s="19" t="n">
        <f aca="false">SUMIFS('Revision Log'!$M$2:$M$609,'Revision Log'!$N$2:$N$609,$A151,'Revision Log'!$C$2:$C$609,1)</f>
        <v>7.45</v>
      </c>
      <c r="E151" s="19" t="n">
        <f aca="false">SUMIFS('Revision Log'!$M$2:$M$609,'Revision Log'!$N$2:$N$609,$A151,'Revision Log'!$C$2:$C$609,3)</f>
        <v>8</v>
      </c>
    </row>
    <row r="152" customFormat="false" ht="15" hidden="false" customHeight="false" outlineLevel="0" collapsed="false">
      <c r="A152" s="18" t="n">
        <v>1160</v>
      </c>
      <c r="B152" s="19" t="n">
        <f aca="false">SUMIFS('Revision Log'!$M$2:$M$609,'Revision Log'!$N$2:$N$609,$A152,'Revision Log'!$C$2:$C$609,0)</f>
        <v>8.3</v>
      </c>
      <c r="C152" s="19" t="n">
        <f aca="false">SUMIFS('Revision Log'!$M$2:$M$609,'Revision Log'!$N$2:$N$609,$A152,'Revision Log'!$C$2:$C$609,1)</f>
        <v>8.3</v>
      </c>
      <c r="D152" s="19" t="n">
        <f aca="false">SUMIFS('Revision Log'!$M$2:$M$609,'Revision Log'!$N$2:$N$609,$A152,'Revision Log'!$C$2:$C$609,1)</f>
        <v>8.3</v>
      </c>
      <c r="E152" s="19" t="n">
        <f aca="false">SUMIFS('Revision Log'!$M$2:$M$609,'Revision Log'!$N$2:$N$609,$A152,'Revision Log'!$C$2:$C$609,1)</f>
        <v>8.3</v>
      </c>
    </row>
    <row r="153" customFormat="false" ht="15" hidden="false" customHeight="false" outlineLevel="0" collapsed="false">
      <c r="A153" s="18" t="n">
        <v>1161</v>
      </c>
      <c r="B153" s="19" t="n">
        <f aca="false">SUMIFS('Revision Log'!$M$2:$M$609,'Revision Log'!$N$2:$N$609,$A153,'Revision Log'!$C$2:$C$609,0)</f>
        <v>8.1</v>
      </c>
      <c r="C153" s="19" t="n">
        <f aca="false">SUMIFS('Revision Log'!$M$2:$M$609,'Revision Log'!$N$2:$N$609,$A153,'Revision Log'!$C$2:$C$609,1)</f>
        <v>8.8</v>
      </c>
      <c r="D153" s="19" t="n">
        <f aca="false">SUMIFS('Revision Log'!$M$2:$M$609,'Revision Log'!$N$2:$N$609,$A153,'Revision Log'!$C$2:$C$609,1)</f>
        <v>8.8</v>
      </c>
      <c r="E153" s="19" t="n">
        <f aca="false">SUMIFS('Revision Log'!$M$2:$M$609,'Revision Log'!$N$2:$N$609,$A153,'Revision Log'!$C$2:$C$609,1)</f>
        <v>8.8</v>
      </c>
    </row>
    <row r="154" customFormat="false" ht="15" hidden="false" customHeight="false" outlineLevel="0" collapsed="false">
      <c r="A154" s="18" t="n">
        <v>1162</v>
      </c>
      <c r="B154" s="19" t="n">
        <f aca="false">SUMIFS('Revision Log'!$M$2:$M$609,'Revision Log'!$N$2:$N$609,$A154,'Revision Log'!$C$2:$C$609,0)</f>
        <v>7</v>
      </c>
      <c r="C154" s="19" t="n">
        <f aca="false">SUMIFS('Revision Log'!$M$2:$M$609,'Revision Log'!$N$2:$N$609,$A154,'Revision Log'!$C$2:$C$609,1)</f>
        <v>8.95</v>
      </c>
      <c r="D154" s="19" t="n">
        <f aca="false">SUMIFS('Revision Log'!$M$2:$M$609,'Revision Log'!$N$2:$N$609,$A154,'Revision Log'!$C$2:$C$609,1)</f>
        <v>8.95</v>
      </c>
      <c r="E154" s="19" t="n">
        <f aca="false">SUMIFS('Revision Log'!$M$2:$M$609,'Revision Log'!$N$2:$N$609,$A154,'Revision Log'!$C$2:$C$609,1)</f>
        <v>8.95</v>
      </c>
    </row>
    <row r="155" customFormat="false" ht="15" hidden="false" customHeight="false" outlineLevel="0" collapsed="false">
      <c r="A155" s="18" t="n">
        <v>1163</v>
      </c>
      <c r="B155" s="19" t="n">
        <f aca="false">SUMIFS('Revision Log'!$M$2:$M$609,'Revision Log'!$N$2:$N$609,$A155,'Revision Log'!$C$2:$C$609,0)</f>
        <v>6.55</v>
      </c>
      <c r="C155" s="19" t="n">
        <f aca="false">SUMIFS('Revision Log'!$M$2:$M$609,'Revision Log'!$N$2:$N$609,$A155,'Revision Log'!$C$2:$C$609,1)</f>
        <v>7.45</v>
      </c>
      <c r="D155" s="19" t="n">
        <f aca="false">SUMIFS('Revision Log'!$M$2:$M$609,'Revision Log'!$N$2:$N$609,$A155,'Revision Log'!$C$2:$C$609,1)</f>
        <v>7.45</v>
      </c>
      <c r="E155" s="19" t="n">
        <f aca="false">SUMIFS('Revision Log'!$M$2:$M$609,'Revision Log'!$N$2:$N$609,$A155,'Revision Log'!$C$2:$C$609,3)</f>
        <v>7.9</v>
      </c>
    </row>
    <row r="156" customFormat="false" ht="15" hidden="false" customHeight="false" outlineLevel="0" collapsed="false">
      <c r="A156" s="18" t="n">
        <v>1164</v>
      </c>
      <c r="B156" s="19" t="n">
        <f aca="false">SUMIFS('Revision Log'!$M$2:$M$609,'Revision Log'!$N$2:$N$609,$A156,'Revision Log'!$C$2:$C$609,0)</f>
        <v>7.8</v>
      </c>
      <c r="C156" s="19" t="n">
        <f aca="false">SUMIFS('Revision Log'!$M$2:$M$609,'Revision Log'!$N$2:$N$609,$A156,'Revision Log'!$C$2:$C$609,1)</f>
        <v>7.8</v>
      </c>
      <c r="D156" s="19" t="n">
        <f aca="false">SUMIFS('Revision Log'!$M$2:$M$609,'Revision Log'!$N$2:$N$609,$A156,'Revision Log'!$C$2:$C$609,1)</f>
        <v>7.8</v>
      </c>
      <c r="E156" s="19" t="n">
        <f aca="false">SUMIFS('Revision Log'!$M$2:$M$609,'Revision Log'!$N$2:$N$609,$A156,'Revision Log'!$C$2:$C$609,1)</f>
        <v>7.8</v>
      </c>
    </row>
    <row r="157" customFormat="false" ht="15" hidden="false" customHeight="false" outlineLevel="0" collapsed="false">
      <c r="A157" s="18" t="n">
        <v>1170</v>
      </c>
      <c r="B157" s="19" t="n">
        <f aca="false">SUMIFS('Revision Log'!$M$2:$M$609,'Revision Log'!$N$2:$N$609,$A157,'Revision Log'!$C$2:$C$609,0)</f>
        <v>6.75</v>
      </c>
      <c r="C157" s="19" t="n">
        <f aca="false">SUMIFS('Revision Log'!$M$2:$M$609,'Revision Log'!$N$2:$N$609,$A157,'Revision Log'!$C$2:$C$609,1)</f>
        <v>7.4</v>
      </c>
      <c r="D157" s="19" t="n">
        <f aca="false">SUMIFS('Revision Log'!$M$2:$M$609,'Revision Log'!$N$2:$N$609,$A157,'Revision Log'!$C$2:$C$609,1)</f>
        <v>7.4</v>
      </c>
      <c r="E157" s="19" t="n">
        <f aca="false">SUMIFS('Revision Log'!$M$2:$M$609,'Revision Log'!$N$2:$N$609,$A157,'Revision Log'!$C$2:$C$609,3)</f>
        <v>7.5</v>
      </c>
    </row>
    <row r="158" customFormat="false" ht="15" hidden="false" customHeight="false" outlineLevel="0" collapsed="false">
      <c r="A158" s="18" t="n">
        <v>1171</v>
      </c>
      <c r="B158" s="19" t="n">
        <f aca="false">SUMIFS('Revision Log'!$M$2:$M$609,'Revision Log'!$N$2:$N$609,$A158,'Revision Log'!$C$2:$C$609,0)</f>
        <v>7.1</v>
      </c>
      <c r="C158" s="19" t="n">
        <f aca="false">SUMIFS('Revision Log'!$M$2:$M$609,'Revision Log'!$N$2:$N$609,$A158,'Revision Log'!$C$2:$C$609,1)</f>
        <v>7.8</v>
      </c>
      <c r="D158" s="19" t="n">
        <f aca="false">SUMIFS('Revision Log'!$M$2:$M$609,'Revision Log'!$N$2:$N$609,$A158,'Revision Log'!$C$2:$C$609,1)</f>
        <v>7.8</v>
      </c>
      <c r="E158" s="19" t="n">
        <f aca="false">SUMIFS('Revision Log'!$M$2:$M$609,'Revision Log'!$N$2:$N$609,$A158,'Revision Log'!$C$2:$C$609,1)</f>
        <v>7.8</v>
      </c>
    </row>
    <row r="159" customFormat="false" ht="15" hidden="false" customHeight="false" outlineLevel="0" collapsed="false">
      <c r="A159" s="18" t="n">
        <v>1172</v>
      </c>
      <c r="B159" s="19" t="n">
        <f aca="false">SUMIFS('Revision Log'!$M$2:$M$609,'Revision Log'!$N$2:$N$609,$A159,'Revision Log'!$C$2:$C$609,0)</f>
        <v>6.6</v>
      </c>
      <c r="C159" s="19" t="n">
        <f aca="false">SUMIFS('Revision Log'!$M$2:$M$609,'Revision Log'!$N$2:$N$609,$A159,'Revision Log'!$C$2:$C$609,1)</f>
        <v>7.5</v>
      </c>
      <c r="D159" s="19" t="n">
        <f aca="false">SUMIFS('Revision Log'!$M$2:$M$609,'Revision Log'!$N$2:$N$609,$A159,'Revision Log'!$C$2:$C$609,1)</f>
        <v>7.5</v>
      </c>
      <c r="E159" s="19" t="n">
        <f aca="false">SUMIFS('Revision Log'!$M$2:$M$609,'Revision Log'!$N$2:$N$609,$A159,'Revision Log'!$C$2:$C$609,1)</f>
        <v>7.5</v>
      </c>
    </row>
    <row r="160" customFormat="false" ht="15" hidden="false" customHeight="false" outlineLevel="0" collapsed="false">
      <c r="A160" s="18" t="n">
        <v>1173</v>
      </c>
      <c r="B160" s="19" t="n">
        <f aca="false">SUMIFS('Revision Log'!$M$2:$M$609,'Revision Log'!$N$2:$N$609,$A160,'Revision Log'!$C$2:$C$609,0)</f>
        <v>6.75</v>
      </c>
      <c r="C160" s="19" t="n">
        <f aca="false">SUMIFS('Revision Log'!$M$2:$M$609,'Revision Log'!$N$2:$N$609,$A160,'Revision Log'!$C$2:$C$609,1)</f>
        <v>7.4</v>
      </c>
      <c r="D160" s="19" t="n">
        <f aca="false">SUMIFS('Revision Log'!$M$2:$M$609,'Revision Log'!$N$2:$N$609,$A160,'Revision Log'!$C$2:$C$609,1)</f>
        <v>7.4</v>
      </c>
      <c r="E160" s="19" t="n">
        <f aca="false">SUMIFS('Revision Log'!$M$2:$M$609,'Revision Log'!$N$2:$N$609,$A160,'Revision Log'!$C$2:$C$609,1)</f>
        <v>7.4</v>
      </c>
    </row>
    <row r="161" customFormat="false" ht="15" hidden="false" customHeight="false" outlineLevel="0" collapsed="false">
      <c r="A161" s="18" t="n">
        <v>1174</v>
      </c>
      <c r="B161" s="19" t="n">
        <f aca="false">SUMIFS('Revision Log'!$M$2:$M$609,'Revision Log'!$N$2:$N$609,$A161,'Revision Log'!$C$2:$C$609,0)</f>
        <v>6.6</v>
      </c>
      <c r="C161" s="19" t="n">
        <f aca="false">SUMIFS('Revision Log'!$M$2:$M$609,'Revision Log'!$N$2:$N$609,$A161,'Revision Log'!$C$2:$C$609,1)</f>
        <v>7.5</v>
      </c>
      <c r="D161" s="19" t="n">
        <f aca="false">SUMIFS('Revision Log'!$M$2:$M$609,'Revision Log'!$N$2:$N$609,$A161,'Revision Log'!$C$2:$C$609,2)</f>
        <v>7.95</v>
      </c>
      <c r="E161" s="19" t="n">
        <f aca="false">SUMIFS('Revision Log'!$M$2:$M$609,'Revision Log'!$N$2:$N$609,$A161,'Revision Log'!$C$2:$C$609,2)</f>
        <v>7.95</v>
      </c>
    </row>
    <row r="162" customFormat="false" ht="15" hidden="false" customHeight="false" outlineLevel="0" collapsed="false">
      <c r="A162" s="18" t="n">
        <v>1180</v>
      </c>
      <c r="B162" s="19" t="n">
        <f aca="false">SUMIFS('Revision Log'!$M$2:$M$609,'Revision Log'!$N$2:$N$609,$A162,'Revision Log'!$C$2:$C$609,0)</f>
        <v>6.3</v>
      </c>
      <c r="C162" s="19" t="n">
        <f aca="false">SUMIFS('Revision Log'!$M$2:$M$609,'Revision Log'!$N$2:$N$609,$A162,'Revision Log'!$C$2:$C$609,1)</f>
        <v>7.55</v>
      </c>
      <c r="D162" s="19" t="n">
        <f aca="false">SUMIFS('Revision Log'!$M$2:$M$609,'Revision Log'!$N$2:$N$609,$A162,'Revision Log'!$C$2:$C$609,1)</f>
        <v>7.55</v>
      </c>
      <c r="E162" s="19" t="n">
        <f aca="false">SUMIFS('Revision Log'!$M$2:$M$609,'Revision Log'!$N$2:$N$609,$A162,'Revision Log'!$C$2:$C$609,1)</f>
        <v>7.55</v>
      </c>
    </row>
    <row r="163" customFormat="false" ht="15" hidden="false" customHeight="false" outlineLevel="0" collapsed="false">
      <c r="A163" s="18" t="n">
        <v>1181</v>
      </c>
      <c r="B163" s="19" t="n">
        <f aca="false">SUMIFS('Revision Log'!$M$2:$M$609,'Revision Log'!$N$2:$N$609,$A163,'Revision Log'!$C$2:$C$609,0)</f>
        <v>6.7</v>
      </c>
      <c r="C163" s="19" t="n">
        <f aca="false">SUMIFS('Revision Log'!$M$2:$M$609,'Revision Log'!$N$2:$N$609,$A163,'Revision Log'!$C$2:$C$609,1)</f>
        <v>7.8</v>
      </c>
      <c r="D163" s="19" t="n">
        <f aca="false">SUMIFS('Revision Log'!$M$2:$M$609,'Revision Log'!$N$2:$N$609,$A163,'Revision Log'!$C$2:$C$609,1)</f>
        <v>7.8</v>
      </c>
      <c r="E163" s="19" t="n">
        <f aca="false">SUMIFS('Revision Log'!$M$2:$M$609,'Revision Log'!$N$2:$N$609,$A163,'Revision Log'!$C$2:$C$609,1)</f>
        <v>7.8</v>
      </c>
    </row>
    <row r="164" customFormat="false" ht="15" hidden="false" customHeight="false" outlineLevel="0" collapsed="false">
      <c r="A164" s="18" t="n">
        <v>1182</v>
      </c>
      <c r="B164" s="19" t="n">
        <f aca="false">SUMIFS('Revision Log'!$M$2:$M$609,'Revision Log'!$N$2:$N$609,$A164,'Revision Log'!$C$2:$C$609,0)</f>
        <v>6.2</v>
      </c>
      <c r="C164" s="19" t="n">
        <f aca="false">SUMIFS('Revision Log'!$M$2:$M$609,'Revision Log'!$N$2:$N$609,$A164,'Revision Log'!$C$2:$C$609,1)</f>
        <v>7.5</v>
      </c>
      <c r="D164" s="19" t="n">
        <f aca="false">SUMIFS('Revision Log'!$M$2:$M$609,'Revision Log'!$N$2:$N$609,$A164,'Revision Log'!$C$2:$C$609,1)</f>
        <v>7.5</v>
      </c>
      <c r="E164" s="19" t="n">
        <f aca="false">SUMIFS('Revision Log'!$M$2:$M$609,'Revision Log'!$N$2:$N$609,$A164,'Revision Log'!$C$2:$C$609,1)</f>
        <v>7.5</v>
      </c>
    </row>
    <row r="165" customFormat="false" ht="15" hidden="false" customHeight="false" outlineLevel="0" collapsed="false">
      <c r="A165" s="18" t="n">
        <v>1183</v>
      </c>
      <c r="B165" s="19" t="n">
        <f aca="false">SUMIFS('Revision Log'!$M$2:$M$609,'Revision Log'!$N$2:$N$609,$A165,'Revision Log'!$C$2:$C$609,0)</f>
        <v>6.05</v>
      </c>
      <c r="C165" s="19" t="n">
        <f aca="false">SUMIFS('Revision Log'!$M$2:$M$609,'Revision Log'!$N$2:$N$609,$A165,'Revision Log'!$C$2:$C$609,1)</f>
        <v>8.05</v>
      </c>
      <c r="D165" s="19" t="n">
        <f aca="false">SUMIFS('Revision Log'!$M$2:$M$609,'Revision Log'!$N$2:$N$609,$A165,'Revision Log'!$C$2:$C$609,1)</f>
        <v>8.05</v>
      </c>
      <c r="E165" s="19" t="n">
        <f aca="false">SUMIFS('Revision Log'!$M$2:$M$609,'Revision Log'!$N$2:$N$609,$A165,'Revision Log'!$C$2:$C$609,1)</f>
        <v>8.05</v>
      </c>
    </row>
    <row r="166" customFormat="false" ht="15" hidden="false" customHeight="false" outlineLevel="0" collapsed="false">
      <c r="A166" s="18" t="n">
        <v>1184</v>
      </c>
      <c r="B166" s="19" t="n">
        <f aca="false">SUMIFS('Revision Log'!$M$2:$M$609,'Revision Log'!$N$2:$N$609,$A166,'Revision Log'!$C$2:$C$609,0)</f>
        <v>5.9</v>
      </c>
      <c r="C166" s="19" t="n">
        <f aca="false">SUMIFS('Revision Log'!$M$2:$M$609,'Revision Log'!$N$2:$N$609,$A166,'Revision Log'!$C$2:$C$609,1)</f>
        <v>7.65</v>
      </c>
      <c r="D166" s="19" t="n">
        <f aca="false">SUMIFS('Revision Log'!$M$2:$M$609,'Revision Log'!$N$2:$N$609,$A166,'Revision Log'!$C$2:$C$609,1)</f>
        <v>7.65</v>
      </c>
      <c r="E166" s="19" t="n">
        <f aca="false">SUMIFS('Revision Log'!$M$2:$M$609,'Revision Log'!$N$2:$N$609,$A166,'Revision Log'!$C$2:$C$609,1)</f>
        <v>7.65</v>
      </c>
    </row>
    <row r="167" customFormat="false" ht="15" hidden="false" customHeight="false" outlineLevel="0" collapsed="false">
      <c r="A167" s="18" t="n">
        <v>1190</v>
      </c>
      <c r="B167" s="19" t="n">
        <f aca="false">SUMIFS('Revision Log'!$M$2:$M$609,'Revision Log'!$N$2:$N$609,$A167,'Revision Log'!$C$2:$C$609,0)</f>
        <v>6.65</v>
      </c>
      <c r="C167" s="19" t="n">
        <f aca="false">SUMIFS('Revision Log'!$M$2:$M$609,'Revision Log'!$N$2:$N$609,$A167,'Revision Log'!$C$2:$C$609,1)</f>
        <v>7.8</v>
      </c>
      <c r="D167" s="19" t="n">
        <f aca="false">SUMIFS('Revision Log'!$M$2:$M$609,'Revision Log'!$N$2:$N$609,$A167,'Revision Log'!$C$2:$C$609,1)</f>
        <v>7.8</v>
      </c>
      <c r="E167" s="19" t="n">
        <f aca="false">SUMIFS('Revision Log'!$M$2:$M$609,'Revision Log'!$N$2:$N$609,$A167,'Revision Log'!$C$2:$C$609,1)</f>
        <v>7.8</v>
      </c>
    </row>
    <row r="168" customFormat="false" ht="15" hidden="false" customHeight="false" outlineLevel="0" collapsed="false">
      <c r="A168" s="18" t="n">
        <v>1191</v>
      </c>
      <c r="B168" s="19" t="n">
        <f aca="false">SUMIFS('Revision Log'!$M$2:$M$609,'Revision Log'!$N$2:$N$609,$A168,'Revision Log'!$C$2:$C$609,0)</f>
        <v>7</v>
      </c>
      <c r="C168" s="19" t="n">
        <f aca="false">SUMIFS('Revision Log'!$M$2:$M$609,'Revision Log'!$N$2:$N$609,$A168,'Revision Log'!$C$2:$C$609,1)</f>
        <v>7.55</v>
      </c>
      <c r="D168" s="19" t="n">
        <f aca="false">SUMIFS('Revision Log'!$M$2:$M$609,'Revision Log'!$N$2:$N$609,$A168,'Revision Log'!$C$2:$C$609,1)</f>
        <v>7.55</v>
      </c>
      <c r="E168" s="19" t="n">
        <f aca="false">SUMIFS('Revision Log'!$M$2:$M$609,'Revision Log'!$N$2:$N$609,$A168,'Revision Log'!$C$2:$C$609,1)</f>
        <v>7.55</v>
      </c>
    </row>
    <row r="169" customFormat="false" ht="15" hidden="false" customHeight="false" outlineLevel="0" collapsed="false">
      <c r="A169" s="18" t="n">
        <v>1192</v>
      </c>
      <c r="B169" s="19" t="n">
        <f aca="false">SUMIFS('Revision Log'!$M$2:$M$609,'Revision Log'!$N$2:$N$609,$A169,'Revision Log'!$C$2:$C$609,0)</f>
        <v>6.8</v>
      </c>
      <c r="C169" s="19" t="n">
        <f aca="false">SUMIFS('Revision Log'!$M$2:$M$609,'Revision Log'!$N$2:$N$609,$A169,'Revision Log'!$C$2:$C$609,1)</f>
        <v>7.7</v>
      </c>
      <c r="D169" s="19" t="n">
        <f aca="false">SUMIFS('Revision Log'!$M$2:$M$609,'Revision Log'!$N$2:$N$609,$A169,'Revision Log'!$C$2:$C$609,1)</f>
        <v>7.7</v>
      </c>
      <c r="E169" s="19" t="n">
        <f aca="false">SUMIFS('Revision Log'!$M$2:$M$609,'Revision Log'!$N$2:$N$609,$A169,'Revision Log'!$C$2:$C$609,1)</f>
        <v>7.7</v>
      </c>
    </row>
    <row r="170" customFormat="false" ht="15" hidden="false" customHeight="false" outlineLevel="0" collapsed="false">
      <c r="A170" s="18" t="n">
        <v>1193</v>
      </c>
      <c r="B170" s="19" t="n">
        <f aca="false">SUMIFS('Revision Log'!$M$2:$M$609,'Revision Log'!$N$2:$N$609,$A170,'Revision Log'!$C$2:$C$609,0)</f>
        <v>6.15</v>
      </c>
      <c r="C170" s="19" t="n">
        <f aca="false">SUMIFS('Revision Log'!$M$2:$M$609,'Revision Log'!$N$2:$N$609,$A170,'Revision Log'!$C$2:$C$609,1)</f>
        <v>7.8</v>
      </c>
      <c r="D170" s="19" t="n">
        <f aca="false">SUMIFS('Revision Log'!$M$2:$M$609,'Revision Log'!$N$2:$N$609,$A170,'Revision Log'!$C$2:$C$609,1)</f>
        <v>7.8</v>
      </c>
      <c r="E170" s="19" t="n">
        <f aca="false">SUMIFS('Revision Log'!$M$2:$M$609,'Revision Log'!$N$2:$N$609,$A170,'Revision Log'!$C$2:$C$609,1)</f>
        <v>7.8</v>
      </c>
    </row>
    <row r="171" customFormat="false" ht="15" hidden="false" customHeight="false" outlineLevel="0" collapsed="false">
      <c r="A171" s="18" t="n">
        <v>1194</v>
      </c>
      <c r="B171" s="19" t="n">
        <f aca="false">SUMIFS('Revision Log'!$M$2:$M$609,'Revision Log'!$N$2:$N$609,$A171,'Revision Log'!$C$2:$C$609,0)</f>
        <v>6.9</v>
      </c>
      <c r="C171" s="19" t="n">
        <f aca="false">SUMIFS('Revision Log'!$M$2:$M$609,'Revision Log'!$N$2:$N$609,$A171,'Revision Log'!$C$2:$C$609,1)</f>
        <v>7.05</v>
      </c>
      <c r="D171" s="19" t="n">
        <f aca="false">SUMIFS('Revision Log'!$M$2:$M$609,'Revision Log'!$N$2:$N$609,$A171,'Revision Log'!$C$2:$C$609,2)</f>
        <v>7.65</v>
      </c>
      <c r="E171" s="19" t="n">
        <f aca="false">SUMIFS('Revision Log'!$M$2:$M$609,'Revision Log'!$N$2:$N$609,$A171,'Revision Log'!$C$2:$C$609,2)</f>
        <v>7.65</v>
      </c>
    </row>
    <row r="172" customFormat="false" ht="15" hidden="false" customHeight="false" outlineLevel="0" collapsed="false">
      <c r="A172" s="18" t="n">
        <v>1200</v>
      </c>
      <c r="B172" s="19" t="n">
        <f aca="false">SUMIFS('Revision Log'!$M$2:$M$609,'Revision Log'!$N$2:$N$609,$A172,'Revision Log'!$C$2:$C$609,0)</f>
        <v>5.95</v>
      </c>
      <c r="C172" s="19" t="n">
        <f aca="false">SUMIFS('Revision Log'!$M$2:$M$609,'Revision Log'!$N$2:$N$609,$A172,'Revision Log'!$C$2:$C$609,1)</f>
        <v>7.35</v>
      </c>
      <c r="D172" s="19" t="n">
        <f aca="false">SUMIFS('Revision Log'!$M$2:$M$609,'Revision Log'!$N$2:$N$609,$A172,'Revision Log'!$C$2:$C$609,2)</f>
        <v>7.35</v>
      </c>
      <c r="E172" s="19" t="n">
        <f aca="false">SUMIFS('Revision Log'!$M$2:$M$609,'Revision Log'!$N$2:$N$609,$A172,'Revision Log'!$C$2:$C$609,2)</f>
        <v>7.35</v>
      </c>
    </row>
    <row r="173" customFormat="false" ht="15" hidden="false" customHeight="false" outlineLevel="0" collapsed="false">
      <c r="A173" s="18" t="n">
        <v>1201</v>
      </c>
      <c r="B173" s="19" t="n">
        <f aca="false">SUMIFS('Revision Log'!$M$2:$M$609,'Revision Log'!$N$2:$N$609,$A173,'Revision Log'!$C$2:$C$609,0)</f>
        <v>6.2</v>
      </c>
      <c r="C173" s="19" t="n">
        <f aca="false">SUMIFS('Revision Log'!$M$2:$M$609,'Revision Log'!$N$2:$N$609,$A173,'Revision Log'!$C$2:$C$609,1)</f>
        <v>7.5</v>
      </c>
      <c r="D173" s="19" t="n">
        <f aca="false">SUMIFS('Revision Log'!$M$2:$M$609,'Revision Log'!$N$2:$N$609,$A173,'Revision Log'!$C$2:$C$609,1)</f>
        <v>7.5</v>
      </c>
      <c r="E173" s="19" t="n">
        <f aca="false">SUMIFS('Revision Log'!$M$2:$M$609,'Revision Log'!$N$2:$N$609,$A173,'Revision Log'!$C$2:$C$609,1)</f>
        <v>7.5</v>
      </c>
    </row>
    <row r="174" customFormat="false" ht="15" hidden="false" customHeight="false" outlineLevel="0" collapsed="false">
      <c r="A174" s="18" t="n">
        <v>1202</v>
      </c>
      <c r="B174" s="19" t="n">
        <f aca="false">SUMIFS('Revision Log'!$M$2:$M$609,'Revision Log'!$N$2:$N$609,$A174,'Revision Log'!$C$2:$C$609,0)</f>
        <v>6.2</v>
      </c>
      <c r="C174" s="19" t="n">
        <f aca="false">SUMIFS('Revision Log'!$M$2:$M$609,'Revision Log'!$N$2:$N$609,$A174,'Revision Log'!$C$2:$C$609,1)</f>
        <v>7.45</v>
      </c>
      <c r="D174" s="19" t="n">
        <f aca="false">SUMIFS('Revision Log'!$M$2:$M$609,'Revision Log'!$N$2:$N$609,$A174,'Revision Log'!$C$2:$C$609,2)</f>
        <v>8.1</v>
      </c>
      <c r="E174" s="19" t="n">
        <f aca="false">SUMIFS('Revision Log'!$M$2:$M$609,'Revision Log'!$N$2:$N$609,$A174,'Revision Log'!$C$2:$C$609,2)</f>
        <v>8.1</v>
      </c>
    </row>
    <row r="175" customFormat="false" ht="15" hidden="false" customHeight="false" outlineLevel="0" collapsed="false">
      <c r="A175" s="18" t="n">
        <v>1203</v>
      </c>
      <c r="B175" s="19" t="n">
        <f aca="false">SUMIFS('Revision Log'!$M$2:$M$609,'Revision Log'!$N$2:$N$609,$A175,'Revision Log'!$C$2:$C$609,0)</f>
        <v>6.3</v>
      </c>
      <c r="C175" s="19" t="n">
        <f aca="false">SUMIFS('Revision Log'!$M$2:$M$609,'Revision Log'!$N$2:$N$609,$A175,'Revision Log'!$C$2:$C$609,1)</f>
        <v>7.4</v>
      </c>
      <c r="D175" s="19" t="n">
        <f aca="false">SUMIFS('Revision Log'!$M$2:$M$609,'Revision Log'!$N$2:$N$609,$A175,'Revision Log'!$C$2:$C$609,1)</f>
        <v>7.4</v>
      </c>
      <c r="E175" s="19" t="n">
        <f aca="false">SUMIFS('Revision Log'!$M$2:$M$609,'Revision Log'!$N$2:$N$609,$A175,'Revision Log'!$C$2:$C$609,3)</f>
        <v>7.4</v>
      </c>
    </row>
    <row r="176" customFormat="false" ht="15" hidden="false" customHeight="false" outlineLevel="0" collapsed="false">
      <c r="A176" s="18" t="n">
        <v>1204</v>
      </c>
      <c r="B176" s="19" t="n">
        <f aca="false">SUMIFS('Revision Log'!$M$2:$M$609,'Revision Log'!$N$2:$N$609,$A176,'Revision Log'!$C$2:$C$609,0)</f>
        <v>6.6</v>
      </c>
      <c r="C176" s="19" t="n">
        <f aca="false">SUMIFS('Revision Log'!$M$2:$M$609,'Revision Log'!$N$2:$N$609,$A176,'Revision Log'!$C$2:$C$609,1)</f>
        <v>7.4</v>
      </c>
      <c r="D176" s="19" t="n">
        <f aca="false">SUMIFS('Revision Log'!$M$2:$M$609,'Revision Log'!$N$2:$N$609,$A176,'Revision Log'!$C$2:$C$609,2)</f>
        <v>7.85</v>
      </c>
      <c r="E176" s="19" t="n">
        <f aca="false">SUMIFS('Revision Log'!$M$2:$M$609,'Revision Log'!$N$2:$N$609,$A176,'Revision Log'!$C$2:$C$609,2)</f>
        <v>7.85</v>
      </c>
    </row>
    <row r="177" customFormat="false" ht="15" hidden="false" customHeight="false" outlineLevel="0" collapsed="false">
      <c r="A177" s="18" t="n">
        <v>1210</v>
      </c>
      <c r="B177" s="19" t="n">
        <f aca="false">SUMIFS('Revision Log'!$M$2:$M$609,'Revision Log'!$N$2:$N$609,$A177,'Revision Log'!$C$2:$C$609,0)</f>
        <v>5.95</v>
      </c>
      <c r="C177" s="19" t="n">
        <f aca="false">SUMIFS('Revision Log'!$M$2:$M$609,'Revision Log'!$N$2:$N$609,$A177,'Revision Log'!$C$2:$C$609,1)</f>
        <v>7.35</v>
      </c>
      <c r="D177" s="19" t="n">
        <f aca="false">SUMIFS('Revision Log'!$M$2:$M$609,'Revision Log'!$N$2:$N$609,$A177,'Revision Log'!$C$2:$C$609,2)</f>
        <v>7.35</v>
      </c>
      <c r="E177" s="19" t="n">
        <f aca="false">SUMIFS('Revision Log'!$M$2:$M$609,'Revision Log'!$N$2:$N$609,$A177,'Revision Log'!$C$2:$C$609,2)</f>
        <v>7.35</v>
      </c>
    </row>
    <row r="178" customFormat="false" ht="15" hidden="false" customHeight="false" outlineLevel="0" collapsed="false">
      <c r="A178" s="18" t="n">
        <v>1211</v>
      </c>
      <c r="B178" s="19" t="n">
        <f aca="false">SUMIFS('Revision Log'!$M$2:$M$609,'Revision Log'!$N$2:$N$609,$A178,'Revision Log'!$C$2:$C$609,0)</f>
        <v>6.2</v>
      </c>
      <c r="C178" s="19" t="n">
        <f aca="false">SUMIFS('Revision Log'!$M$2:$M$609,'Revision Log'!$N$2:$N$609,$A178,'Revision Log'!$C$2:$C$609,1)</f>
        <v>7.5</v>
      </c>
      <c r="D178" s="19" t="n">
        <f aca="false">SUMIFS('Revision Log'!$M$2:$M$609,'Revision Log'!$N$2:$N$609,$A178,'Revision Log'!$C$2:$C$609,1)</f>
        <v>7.5</v>
      </c>
      <c r="E178" s="19" t="n">
        <f aca="false">SUMIFS('Revision Log'!$M$2:$M$609,'Revision Log'!$N$2:$N$609,$A178,'Revision Log'!$C$2:$C$609,1)</f>
        <v>7.5</v>
      </c>
    </row>
    <row r="179" customFormat="false" ht="15" hidden="false" customHeight="false" outlineLevel="0" collapsed="false">
      <c r="A179" s="18" t="n">
        <v>1212</v>
      </c>
      <c r="B179" s="19" t="n">
        <f aca="false">SUMIFS('Revision Log'!$M$2:$M$609,'Revision Log'!$N$2:$N$609,$A179,'Revision Log'!$C$2:$C$609,0)</f>
        <v>6.2</v>
      </c>
      <c r="C179" s="19" t="n">
        <f aca="false">SUMIFS('Revision Log'!$M$2:$M$609,'Revision Log'!$N$2:$N$609,$A179,'Revision Log'!$C$2:$C$609,1)</f>
        <v>7.45</v>
      </c>
      <c r="D179" s="19" t="n">
        <f aca="false">SUMIFS('Revision Log'!$M$2:$M$609,'Revision Log'!$N$2:$N$609,$A179,'Revision Log'!$C$2:$C$609,2)</f>
        <v>8.1</v>
      </c>
      <c r="E179" s="19" t="n">
        <f aca="false">SUMIFS('Revision Log'!$M$2:$M$609,'Revision Log'!$N$2:$N$609,$A179,'Revision Log'!$C$2:$C$609,2)</f>
        <v>8.1</v>
      </c>
    </row>
    <row r="180" customFormat="false" ht="15" hidden="false" customHeight="false" outlineLevel="0" collapsed="false">
      <c r="A180" s="18" t="n">
        <v>1213</v>
      </c>
      <c r="B180" s="19" t="n">
        <f aca="false">SUMIFS('Revision Log'!$M$2:$M$609,'Revision Log'!$N$2:$N$609,$A180,'Revision Log'!$C$2:$C$609,0)</f>
        <v>6.3</v>
      </c>
      <c r="C180" s="19" t="n">
        <f aca="false">SUMIFS('Revision Log'!$M$2:$M$609,'Revision Log'!$N$2:$N$609,$A180,'Revision Log'!$C$2:$C$609,1)</f>
        <v>7.4</v>
      </c>
      <c r="D180" s="19" t="n">
        <f aca="false">SUMIFS('Revision Log'!$M$2:$M$609,'Revision Log'!$N$2:$N$609,$A180,'Revision Log'!$C$2:$C$609,1)</f>
        <v>7.4</v>
      </c>
      <c r="E180" s="19" t="n">
        <f aca="false">SUMIFS('Revision Log'!$M$2:$M$609,'Revision Log'!$N$2:$N$609,$A180,'Revision Log'!$C$2:$C$609,3)</f>
        <v>7.4</v>
      </c>
    </row>
    <row r="181" customFormat="false" ht="15" hidden="false" customHeight="false" outlineLevel="0" collapsed="false">
      <c r="A181" s="18" t="n">
        <v>1214</v>
      </c>
      <c r="B181" s="19" t="n">
        <f aca="false">SUMIFS('Revision Log'!$M$2:$M$609,'Revision Log'!$N$2:$N$609,$A181,'Revision Log'!$C$2:$C$609,0)</f>
        <v>6.6</v>
      </c>
      <c r="C181" s="19" t="n">
        <f aca="false">SUMIFS('Revision Log'!$M$2:$M$609,'Revision Log'!$N$2:$N$609,$A181,'Revision Log'!$C$2:$C$609,1)</f>
        <v>7.4</v>
      </c>
      <c r="D181" s="19" t="n">
        <f aca="false">SUMIFS('Revision Log'!$M$2:$M$609,'Revision Log'!$N$2:$N$609,$A181,'Revision Log'!$C$2:$C$609,2)</f>
        <v>7.85</v>
      </c>
      <c r="E181" s="19" t="n">
        <f aca="false">SUMIFS('Revision Log'!$M$2:$M$609,'Revision Log'!$N$2:$N$609,$A181,'Revision Log'!$C$2:$C$609,2)</f>
        <v>7.85</v>
      </c>
    </row>
    <row r="182" customFormat="false" ht="15" hidden="false" customHeight="false" outlineLevel="0" collapsed="false">
      <c r="A182" s="18" t="n">
        <v>1220</v>
      </c>
      <c r="B182" s="19" t="n">
        <f aca="false">SUMIFS('Revision Log'!$M$2:$M$609,'Revision Log'!$N$2:$N$609,$A182,'Revision Log'!$C$2:$C$609,0)</f>
        <v>7.5</v>
      </c>
      <c r="C182" s="19" t="n">
        <f aca="false">SUMIFS('Revision Log'!$M$2:$M$609,'Revision Log'!$N$2:$N$609,$A182,'Revision Log'!$C$2:$C$609,1)</f>
        <v>8.55</v>
      </c>
      <c r="D182" s="19" t="n">
        <f aca="false">SUMIFS('Revision Log'!$M$2:$M$609,'Revision Log'!$N$2:$N$609,$A182,'Revision Log'!$C$2:$C$609,1)</f>
        <v>8.55</v>
      </c>
      <c r="E182" s="19" t="n">
        <f aca="false">SUMIFS('Revision Log'!$M$2:$M$609,'Revision Log'!$N$2:$N$609,$A182,'Revision Log'!$C$2:$C$609,1)</f>
        <v>8.55</v>
      </c>
    </row>
    <row r="183" customFormat="false" ht="15" hidden="false" customHeight="false" outlineLevel="0" collapsed="false">
      <c r="A183" s="18" t="n">
        <v>1221</v>
      </c>
      <c r="B183" s="19" t="n">
        <f aca="false">SUMIFS('Revision Log'!$M$2:$M$609,'Revision Log'!$N$2:$N$609,$A183,'Revision Log'!$C$2:$C$609,0)</f>
        <v>7.55</v>
      </c>
      <c r="C183" s="19" t="n">
        <f aca="false">SUMIFS('Revision Log'!$M$2:$M$609,'Revision Log'!$N$2:$N$609,$A183,'Revision Log'!$C$2:$C$609,1)</f>
        <v>7.8</v>
      </c>
      <c r="D183" s="19" t="n">
        <f aca="false">SUMIFS('Revision Log'!$M$2:$M$609,'Revision Log'!$N$2:$N$609,$A183,'Revision Log'!$C$2:$C$609,1)</f>
        <v>7.8</v>
      </c>
      <c r="E183" s="19" t="n">
        <f aca="false">SUMIFS('Revision Log'!$M$2:$M$609,'Revision Log'!$N$2:$N$609,$A183,'Revision Log'!$C$2:$C$609,1)</f>
        <v>7.8</v>
      </c>
    </row>
    <row r="184" customFormat="false" ht="15" hidden="false" customHeight="false" outlineLevel="0" collapsed="false">
      <c r="A184" s="18" t="n">
        <v>1222</v>
      </c>
      <c r="B184" s="19" t="n">
        <f aca="false">SUMIFS('Revision Log'!$M$2:$M$609,'Revision Log'!$N$2:$N$609,$A184,'Revision Log'!$C$2:$C$609,0)</f>
        <v>7.6</v>
      </c>
      <c r="C184" s="19" t="n">
        <f aca="false">SUMIFS('Revision Log'!$M$2:$M$609,'Revision Log'!$N$2:$N$609,$A184,'Revision Log'!$C$2:$C$609,1)</f>
        <v>7.9</v>
      </c>
      <c r="D184" s="19" t="n">
        <f aca="false">SUMIFS('Revision Log'!$M$2:$M$609,'Revision Log'!$N$2:$N$609,$A184,'Revision Log'!$C$2:$C$609,1)</f>
        <v>7.9</v>
      </c>
      <c r="E184" s="19" t="n">
        <f aca="false">SUMIFS('Revision Log'!$M$2:$M$609,'Revision Log'!$N$2:$N$609,$A184,'Revision Log'!$C$2:$C$609,1)</f>
        <v>7.9</v>
      </c>
    </row>
    <row r="185" customFormat="false" ht="15" hidden="false" customHeight="false" outlineLevel="0" collapsed="false">
      <c r="A185" s="18" t="n">
        <v>1223</v>
      </c>
      <c r="B185" s="19" t="n">
        <f aca="false">SUMIFS('Revision Log'!$M$2:$M$609,'Revision Log'!$N$2:$N$609,$A185,'Revision Log'!$C$2:$C$609,0)</f>
        <v>7.5</v>
      </c>
      <c r="C185" s="19" t="n">
        <f aca="false">SUMIFS('Revision Log'!$M$2:$M$609,'Revision Log'!$N$2:$N$609,$A185,'Revision Log'!$C$2:$C$609,1)</f>
        <v>7.4</v>
      </c>
      <c r="D185" s="19" t="n">
        <f aca="false">SUMIFS('Revision Log'!$M$2:$M$609,'Revision Log'!$N$2:$N$609,$A185,'Revision Log'!$C$2:$C$609,1)</f>
        <v>7.4</v>
      </c>
      <c r="E185" s="19" t="n">
        <f aca="false">SUMIFS('Revision Log'!$M$2:$M$609,'Revision Log'!$N$2:$N$609,$A185,'Revision Log'!$C$2:$C$609,3)</f>
        <v>8.35</v>
      </c>
    </row>
    <row r="186" customFormat="false" ht="15" hidden="false" customHeight="false" outlineLevel="0" collapsed="false">
      <c r="A186" s="18" t="n">
        <v>1224</v>
      </c>
      <c r="B186" s="19" t="n">
        <f aca="false">SUMIFS('Revision Log'!$M$2:$M$609,'Revision Log'!$N$2:$N$609,$A186,'Revision Log'!$C$2:$C$609,0)</f>
        <v>6.6</v>
      </c>
      <c r="C186" s="19" t="n">
        <f aca="false">SUMIFS('Revision Log'!$M$2:$M$609,'Revision Log'!$N$2:$N$609,$A186,'Revision Log'!$C$2:$C$609,1)</f>
        <v>8.1</v>
      </c>
      <c r="D186" s="19" t="n">
        <f aca="false">SUMIFS('Revision Log'!$M$2:$M$609,'Revision Log'!$N$2:$N$609,$A186,'Revision Log'!$C$2:$C$609,1)</f>
        <v>8.1</v>
      </c>
      <c r="E186" s="19" t="n">
        <f aca="false">SUMIFS('Revision Log'!$M$2:$M$609,'Revision Log'!$N$2:$N$609,$A186,'Revision Log'!$C$2:$C$609,1)</f>
        <v>8.1</v>
      </c>
    </row>
    <row r="187" customFormat="false" ht="15" hidden="false" customHeight="false" outlineLevel="0" collapsed="false">
      <c r="A187" s="18" t="n">
        <v>1230</v>
      </c>
      <c r="B187" s="19" t="n">
        <f aca="false">SUMIFS('Revision Log'!$M$2:$M$609,'Revision Log'!$N$2:$N$609,$A187,'Revision Log'!$C$2:$C$609,0)</f>
        <v>7.55</v>
      </c>
      <c r="C187" s="19" t="n">
        <f aca="false">SUMIFS('Revision Log'!$M$2:$M$609,'Revision Log'!$N$2:$N$609,$A187,'Revision Log'!$C$2:$C$609,1)</f>
        <v>8.55</v>
      </c>
      <c r="D187" s="19" t="n">
        <f aca="false">SUMIFS('Revision Log'!$M$2:$M$609,'Revision Log'!$N$2:$N$609,$A187,'Revision Log'!$C$2:$C$609,1)</f>
        <v>8.55</v>
      </c>
      <c r="E187" s="19" t="n">
        <f aca="false">SUMIFS('Revision Log'!$M$2:$M$609,'Revision Log'!$N$2:$N$609,$A187,'Revision Log'!$C$2:$C$609,1)</f>
        <v>8.55</v>
      </c>
    </row>
    <row r="188" customFormat="false" ht="15" hidden="false" customHeight="false" outlineLevel="0" collapsed="false">
      <c r="A188" s="18" t="n">
        <v>1231</v>
      </c>
      <c r="B188" s="19" t="n">
        <f aca="false">SUMIFS('Revision Log'!$M$2:$M$609,'Revision Log'!$N$2:$N$609,$A188,'Revision Log'!$C$2:$C$609,0)</f>
        <v>7.1</v>
      </c>
      <c r="C188" s="19" t="n">
        <f aca="false">SUMIFS('Revision Log'!$M$2:$M$609,'Revision Log'!$N$2:$N$609,$A188,'Revision Log'!$C$2:$C$609,1)</f>
        <v>7.75</v>
      </c>
      <c r="D188" s="19" t="n">
        <f aca="false">SUMIFS('Revision Log'!$M$2:$M$609,'Revision Log'!$N$2:$N$609,$A188,'Revision Log'!$C$2:$C$609,1)</f>
        <v>7.75</v>
      </c>
      <c r="E188" s="19" t="n">
        <f aca="false">SUMIFS('Revision Log'!$M$2:$M$609,'Revision Log'!$N$2:$N$609,$A188,'Revision Log'!$C$2:$C$609,1)</f>
        <v>7.75</v>
      </c>
    </row>
    <row r="189" customFormat="false" ht="15" hidden="false" customHeight="false" outlineLevel="0" collapsed="false">
      <c r="A189" s="18" t="n">
        <v>1232</v>
      </c>
      <c r="B189" s="19" t="n">
        <f aca="false">SUMIFS('Revision Log'!$M$2:$M$609,'Revision Log'!$N$2:$N$609,$A189,'Revision Log'!$C$2:$C$609,0)</f>
        <v>6.6</v>
      </c>
      <c r="C189" s="19" t="n">
        <f aca="false">SUMIFS('Revision Log'!$M$2:$M$609,'Revision Log'!$N$2:$N$609,$A189,'Revision Log'!$C$2:$C$609,1)</f>
        <v>7.8</v>
      </c>
      <c r="D189" s="19" t="n">
        <f aca="false">SUMIFS('Revision Log'!$M$2:$M$609,'Revision Log'!$N$2:$N$609,$A189,'Revision Log'!$C$2:$C$609,1)</f>
        <v>7.8</v>
      </c>
      <c r="E189" s="19" t="n">
        <f aca="false">SUMIFS('Revision Log'!$M$2:$M$609,'Revision Log'!$N$2:$N$609,$A189,'Revision Log'!$C$2:$C$609,1)</f>
        <v>7.8</v>
      </c>
    </row>
    <row r="190" customFormat="false" ht="15" hidden="false" customHeight="false" outlineLevel="0" collapsed="false">
      <c r="A190" s="18" t="n">
        <v>1233</v>
      </c>
      <c r="B190" s="19" t="n">
        <f aca="false">SUMIFS('Revision Log'!$M$2:$M$609,'Revision Log'!$N$2:$N$609,$A190,'Revision Log'!$C$2:$C$609,0)</f>
        <v>6.75</v>
      </c>
      <c r="C190" s="19" t="n">
        <f aca="false">SUMIFS('Revision Log'!$M$2:$M$609,'Revision Log'!$N$2:$N$609,$A190,'Revision Log'!$C$2:$C$609,1)</f>
        <v>8.1</v>
      </c>
      <c r="D190" s="19" t="n">
        <f aca="false">SUMIFS('Revision Log'!$M$2:$M$609,'Revision Log'!$N$2:$N$609,$A190,'Revision Log'!$C$2:$C$609,1)</f>
        <v>8.1</v>
      </c>
      <c r="E190" s="19" t="n">
        <f aca="false">SUMIFS('Revision Log'!$M$2:$M$609,'Revision Log'!$N$2:$N$609,$A190,'Revision Log'!$C$2:$C$609,1)</f>
        <v>8.1</v>
      </c>
    </row>
    <row r="191" customFormat="false" ht="15" hidden="false" customHeight="false" outlineLevel="0" collapsed="false">
      <c r="A191" s="18" t="n">
        <v>1234</v>
      </c>
      <c r="B191" s="19" t="n">
        <f aca="false">SUMIFS('Revision Log'!$M$2:$M$609,'Revision Log'!$N$2:$N$609,$A191,'Revision Log'!$C$2:$C$609,0)</f>
        <v>7</v>
      </c>
      <c r="C191" s="19" t="n">
        <f aca="false">SUMIFS('Revision Log'!$M$2:$M$609,'Revision Log'!$N$2:$N$609,$A191,'Revision Log'!$C$2:$C$609,1)</f>
        <v>7.4</v>
      </c>
      <c r="D191" s="19" t="n">
        <f aca="false">SUMIFS('Revision Log'!$M$2:$M$609,'Revision Log'!$N$2:$N$609,$A191,'Revision Log'!$C$2:$C$609,1)</f>
        <v>7.4</v>
      </c>
      <c r="E191" s="19" t="n">
        <f aca="false">SUMIFS('Revision Log'!$M$2:$M$609,'Revision Log'!$N$2:$N$609,$A191,'Revision Log'!$C$2:$C$609,3)</f>
        <v>7.85</v>
      </c>
    </row>
    <row r="192" customFormat="false" ht="15" hidden="false" customHeight="false" outlineLevel="0" collapsed="false">
      <c r="A192" s="18" t="n">
        <v>1240</v>
      </c>
      <c r="B192" s="19" t="n">
        <f aca="false">SUMIFS('Revision Log'!$M$2:$M$609,'Revision Log'!$N$2:$N$609,$A192,'Revision Log'!$C$2:$C$609,0)</f>
        <v>6.8</v>
      </c>
      <c r="C192" s="19" t="n">
        <f aca="false">SUMIFS('Revision Log'!$M$2:$M$609,'Revision Log'!$N$2:$N$609,$A192,'Revision Log'!$C$2:$C$609,1)</f>
        <v>8.15</v>
      </c>
      <c r="D192" s="19" t="n">
        <f aca="false">SUMIFS('Revision Log'!$M$2:$M$609,'Revision Log'!$N$2:$N$609,$A192,'Revision Log'!$C$2:$C$609,1)</f>
        <v>8.15</v>
      </c>
      <c r="E192" s="19" t="n">
        <f aca="false">SUMIFS('Revision Log'!$M$2:$M$609,'Revision Log'!$N$2:$N$609,$A192,'Revision Log'!$C$2:$C$609,1)</f>
        <v>8.15</v>
      </c>
    </row>
    <row r="193" customFormat="false" ht="15" hidden="false" customHeight="false" outlineLevel="0" collapsed="false">
      <c r="A193" s="18" t="n">
        <v>1241</v>
      </c>
      <c r="B193" s="19" t="n">
        <f aca="false">SUMIFS('Revision Log'!$M$2:$M$609,'Revision Log'!$N$2:$N$609,$A193,'Revision Log'!$C$2:$C$609,0)</f>
        <v>7.1</v>
      </c>
      <c r="C193" s="19" t="n">
        <f aca="false">SUMIFS('Revision Log'!$M$2:$M$609,'Revision Log'!$N$2:$N$609,$A193,'Revision Log'!$C$2:$C$609,1)</f>
        <v>7.6</v>
      </c>
      <c r="D193" s="19" t="n">
        <f aca="false">SUMIFS('Revision Log'!$M$2:$M$609,'Revision Log'!$N$2:$N$609,$A193,'Revision Log'!$C$2:$C$609,1)</f>
        <v>7.6</v>
      </c>
      <c r="E193" s="19" t="n">
        <f aca="false">SUMIFS('Revision Log'!$M$2:$M$609,'Revision Log'!$N$2:$N$609,$A193,'Revision Log'!$C$2:$C$609,1)</f>
        <v>7.6</v>
      </c>
    </row>
    <row r="194" customFormat="false" ht="15" hidden="false" customHeight="false" outlineLevel="0" collapsed="false">
      <c r="A194" s="18" t="n">
        <v>1242</v>
      </c>
      <c r="B194" s="19" t="n">
        <f aca="false">SUMIFS('Revision Log'!$M$2:$M$609,'Revision Log'!$N$2:$N$609,$A194,'Revision Log'!$C$2:$C$609,0)</f>
        <v>6.65</v>
      </c>
      <c r="C194" s="19" t="n">
        <f aca="false">SUMIFS('Revision Log'!$M$2:$M$609,'Revision Log'!$N$2:$N$609,$A194,'Revision Log'!$C$2:$C$609,1)</f>
        <v>7.9</v>
      </c>
      <c r="D194" s="19" t="n">
        <f aca="false">SUMIFS('Revision Log'!$M$2:$M$609,'Revision Log'!$N$2:$N$609,$A194,'Revision Log'!$C$2:$C$609,1)</f>
        <v>7.9</v>
      </c>
      <c r="E194" s="19" t="n">
        <f aca="false">SUMIFS('Revision Log'!$M$2:$M$609,'Revision Log'!$N$2:$N$609,$A194,'Revision Log'!$C$2:$C$609,1)</f>
        <v>7.9</v>
      </c>
    </row>
    <row r="195" customFormat="false" ht="15" hidden="false" customHeight="false" outlineLevel="0" collapsed="false">
      <c r="A195" s="18" t="n">
        <v>1243</v>
      </c>
      <c r="B195" s="19" t="n">
        <f aca="false">SUMIFS('Revision Log'!$M$2:$M$609,'Revision Log'!$N$2:$N$609,$A195,'Revision Log'!$C$2:$C$609,0)</f>
        <v>6.75</v>
      </c>
      <c r="C195" s="19" t="n">
        <f aca="false">SUMIFS('Revision Log'!$M$2:$M$609,'Revision Log'!$N$2:$N$609,$A195,'Revision Log'!$C$2:$C$609,1)</f>
        <v>7.5</v>
      </c>
      <c r="D195" s="19" t="n">
        <f aca="false">SUMIFS('Revision Log'!$M$2:$M$609,'Revision Log'!$N$2:$N$609,$A195,'Revision Log'!$C$2:$C$609,1)</f>
        <v>7.5</v>
      </c>
      <c r="E195" s="19" t="n">
        <f aca="false">SUMIFS('Revision Log'!$M$2:$M$609,'Revision Log'!$N$2:$N$609,$A195,'Revision Log'!$C$2:$C$609,1)</f>
        <v>7.5</v>
      </c>
    </row>
    <row r="196" customFormat="false" ht="15" hidden="false" customHeight="false" outlineLevel="0" collapsed="false">
      <c r="A196" s="18" t="n">
        <v>1244</v>
      </c>
      <c r="B196" s="19" t="n">
        <f aca="false">SUMIFS('Revision Log'!$M$2:$M$609,'Revision Log'!$N$2:$N$609,$A196,'Revision Log'!$C$2:$C$609,0)</f>
        <v>6.5</v>
      </c>
      <c r="C196" s="19" t="n">
        <f aca="false">SUMIFS('Revision Log'!$M$2:$M$609,'Revision Log'!$N$2:$N$609,$A196,'Revision Log'!$C$2:$C$609,1)</f>
        <v>7.45</v>
      </c>
      <c r="D196" s="19" t="n">
        <f aca="false">SUMIFS('Revision Log'!$M$2:$M$609,'Revision Log'!$N$2:$N$609,$A196,'Revision Log'!$C$2:$C$609,1)</f>
        <v>7.45</v>
      </c>
      <c r="E196" s="19" t="n">
        <f aca="false">SUMIFS('Revision Log'!$M$2:$M$609,'Revision Log'!$N$2:$N$609,$A196,'Revision Log'!$C$2:$C$609,1)</f>
        <v>7.45</v>
      </c>
    </row>
    <row r="197" customFormat="false" ht="15" hidden="false" customHeight="false" outlineLevel="0" collapsed="false">
      <c r="A197" s="18" t="n">
        <v>1250</v>
      </c>
      <c r="B197" s="19" t="n">
        <f aca="false">SUMIFS('Revision Log'!$M$2:$M$609,'Revision Log'!$N$2:$N$609,$A197,'Revision Log'!$C$2:$C$609,0)</f>
        <v>6.6</v>
      </c>
      <c r="C197" s="19" t="n">
        <f aca="false">SUMIFS('Revision Log'!$M$2:$M$609,'Revision Log'!$N$2:$N$609,$A197,'Revision Log'!$C$2:$C$609,1)</f>
        <v>7.8</v>
      </c>
      <c r="D197" s="19" t="n">
        <f aca="false">SUMIFS('Revision Log'!$M$2:$M$609,'Revision Log'!$N$2:$N$609,$A197,'Revision Log'!$C$2:$C$609,1)</f>
        <v>7.8</v>
      </c>
      <c r="E197" s="19" t="n">
        <f aca="false">SUMIFS('Revision Log'!$M$2:$M$609,'Revision Log'!$N$2:$N$609,$A197,'Revision Log'!$C$2:$C$609,1)</f>
        <v>7.8</v>
      </c>
    </row>
    <row r="198" customFormat="false" ht="15" hidden="false" customHeight="false" outlineLevel="0" collapsed="false">
      <c r="A198" s="18" t="n">
        <v>1251</v>
      </c>
      <c r="B198" s="19" t="n">
        <f aca="false">SUMIFS('Revision Log'!$M$2:$M$609,'Revision Log'!$N$2:$N$609,$A198,'Revision Log'!$C$2:$C$609,0)</f>
        <v>7</v>
      </c>
      <c r="C198" s="19" t="n">
        <f aca="false">SUMIFS('Revision Log'!$M$2:$M$609,'Revision Log'!$N$2:$N$609,$A198,'Revision Log'!$C$2:$C$609,1)</f>
        <v>7.8</v>
      </c>
      <c r="D198" s="19" t="n">
        <f aca="false">SUMIFS('Revision Log'!$M$2:$M$609,'Revision Log'!$N$2:$N$609,$A198,'Revision Log'!$C$2:$C$609,1)</f>
        <v>7.8</v>
      </c>
      <c r="E198" s="19" t="n">
        <f aca="false">SUMIFS('Revision Log'!$M$2:$M$609,'Revision Log'!$N$2:$N$609,$A198,'Revision Log'!$C$2:$C$609,1)</f>
        <v>7.8</v>
      </c>
    </row>
    <row r="199" customFormat="false" ht="15" hidden="false" customHeight="false" outlineLevel="0" collapsed="false">
      <c r="A199" s="18" t="n">
        <v>1252</v>
      </c>
      <c r="B199" s="19" t="n">
        <f aca="false">SUMIFS('Revision Log'!$M$2:$M$609,'Revision Log'!$N$2:$N$609,$A199,'Revision Log'!$C$2:$C$609,0)</f>
        <v>6.75</v>
      </c>
      <c r="C199" s="19" t="n">
        <f aca="false">SUMIFS('Revision Log'!$M$2:$M$609,'Revision Log'!$N$2:$N$609,$A199,'Revision Log'!$C$2:$C$609,1)</f>
        <v>7.9</v>
      </c>
      <c r="D199" s="19" t="n">
        <f aca="false">SUMIFS('Revision Log'!$M$2:$M$609,'Revision Log'!$N$2:$N$609,$A199,'Revision Log'!$C$2:$C$609,1)</f>
        <v>7.9</v>
      </c>
      <c r="E199" s="19" t="n">
        <f aca="false">SUMIFS('Revision Log'!$M$2:$M$609,'Revision Log'!$N$2:$N$609,$A199,'Revision Log'!$C$2:$C$609,1)</f>
        <v>7.9</v>
      </c>
    </row>
    <row r="200" customFormat="false" ht="15" hidden="false" customHeight="false" outlineLevel="0" collapsed="false">
      <c r="A200" s="18" t="n">
        <v>1253</v>
      </c>
      <c r="B200" s="19" t="n">
        <f aca="false">SUMIFS('Revision Log'!$M$2:$M$609,'Revision Log'!$N$2:$N$609,$A200,'Revision Log'!$C$2:$C$609,0)</f>
        <v>6.65</v>
      </c>
      <c r="C200" s="19" t="n">
        <f aca="false">SUMIFS('Revision Log'!$M$2:$M$609,'Revision Log'!$N$2:$N$609,$A200,'Revision Log'!$C$2:$C$609,1)</f>
        <v>7.85</v>
      </c>
      <c r="D200" s="19" t="n">
        <f aca="false">SUMIFS('Revision Log'!$M$2:$M$609,'Revision Log'!$N$2:$N$609,$A200,'Revision Log'!$C$2:$C$609,1)</f>
        <v>7.85</v>
      </c>
      <c r="E200" s="19" t="n">
        <f aca="false">SUMIFS('Revision Log'!$M$2:$M$609,'Revision Log'!$N$2:$N$609,$A200,'Revision Log'!$C$2:$C$609,1)</f>
        <v>7.85</v>
      </c>
    </row>
    <row r="201" customFormat="false" ht="15" hidden="false" customHeight="false" outlineLevel="0" collapsed="false">
      <c r="A201" s="18" t="n">
        <v>1254</v>
      </c>
      <c r="B201" s="19" t="n">
        <f aca="false">SUMIFS('Revision Log'!$M$2:$M$609,'Revision Log'!$N$2:$N$609,$A201,'Revision Log'!$C$2:$C$609,0)</f>
        <v>7.3</v>
      </c>
      <c r="C201" s="19" t="n">
        <f aca="false">SUMIFS('Revision Log'!$M$2:$M$609,'Revision Log'!$N$2:$N$609,$A201,'Revision Log'!$C$2:$C$609,1)</f>
        <v>8.1</v>
      </c>
      <c r="D201" s="19" t="n">
        <f aca="false">SUMIFS('Revision Log'!$M$2:$M$609,'Revision Log'!$N$2:$N$609,$A201,'Revision Log'!$C$2:$C$609,1)</f>
        <v>8.1</v>
      </c>
      <c r="E201" s="19" t="n">
        <f aca="false">SUMIFS('Revision Log'!$M$2:$M$609,'Revision Log'!$N$2:$N$609,$A201,'Revision Log'!$C$2:$C$609,1)</f>
        <v>8.1</v>
      </c>
    </row>
    <row r="202" customFormat="false" ht="15" hidden="false" customHeight="false" outlineLevel="0" collapsed="false">
      <c r="A202" s="18" t="n">
        <v>1260</v>
      </c>
      <c r="B202" s="19" t="n">
        <f aca="false">SUMIFS('Revision Log'!$M$2:$M$609,'Revision Log'!$N$2:$N$609,$A202,'Revision Log'!$C$2:$C$609,0)</f>
        <v>7.7</v>
      </c>
      <c r="C202" s="19" t="n">
        <f aca="false">SUMIFS('Revision Log'!$M$2:$M$609,'Revision Log'!$N$2:$N$609,$A202,'Revision Log'!$C$2:$C$609,1)</f>
        <v>8.55</v>
      </c>
      <c r="D202" s="19" t="n">
        <f aca="false">SUMIFS('Revision Log'!$M$2:$M$609,'Revision Log'!$N$2:$N$609,$A202,'Revision Log'!$C$2:$C$609,1)</f>
        <v>8.55</v>
      </c>
      <c r="E202" s="19" t="n">
        <f aca="false">SUMIFS('Revision Log'!$M$2:$M$609,'Revision Log'!$N$2:$N$609,$A202,'Revision Log'!$C$2:$C$609,1)</f>
        <v>8.55</v>
      </c>
    </row>
    <row r="203" customFormat="false" ht="15" hidden="false" customHeight="false" outlineLevel="0" collapsed="false">
      <c r="A203" s="18" t="n">
        <v>1261</v>
      </c>
      <c r="B203" s="19" t="n">
        <f aca="false">SUMIFS('Revision Log'!$M$2:$M$609,'Revision Log'!$N$2:$N$609,$A203,'Revision Log'!$C$2:$C$609,0)</f>
        <v>7.6</v>
      </c>
      <c r="C203" s="19" t="n">
        <f aca="false">SUMIFS('Revision Log'!$M$2:$M$609,'Revision Log'!$N$2:$N$609,$A203,'Revision Log'!$C$2:$C$609,1)</f>
        <v>8.7</v>
      </c>
      <c r="D203" s="19" t="n">
        <f aca="false">SUMIFS('Revision Log'!$M$2:$M$609,'Revision Log'!$N$2:$N$609,$A203,'Revision Log'!$C$2:$C$609,1)</f>
        <v>8.7</v>
      </c>
      <c r="E203" s="19" t="n">
        <f aca="false">SUMIFS('Revision Log'!$M$2:$M$609,'Revision Log'!$N$2:$N$609,$A203,'Revision Log'!$C$2:$C$609,1)</f>
        <v>8.7</v>
      </c>
    </row>
    <row r="204" customFormat="false" ht="15" hidden="false" customHeight="false" outlineLevel="0" collapsed="false">
      <c r="A204" s="18" t="n">
        <v>1262</v>
      </c>
      <c r="B204" s="19" t="n">
        <f aca="false">SUMIFS('Revision Log'!$M$2:$M$609,'Revision Log'!$N$2:$N$609,$A204,'Revision Log'!$C$2:$C$609,0)</f>
        <v>8.5</v>
      </c>
      <c r="C204" s="19" t="n">
        <f aca="false">SUMIFS('Revision Log'!$M$2:$M$609,'Revision Log'!$N$2:$N$609,$A204,'Revision Log'!$C$2:$C$609,1)</f>
        <v>8.95</v>
      </c>
      <c r="D204" s="19" t="n">
        <f aca="false">SUMIFS('Revision Log'!$M$2:$M$609,'Revision Log'!$N$2:$N$609,$A204,'Revision Log'!$C$2:$C$609,1)</f>
        <v>8.95</v>
      </c>
      <c r="E204" s="19" t="n">
        <f aca="false">SUMIFS('Revision Log'!$M$2:$M$609,'Revision Log'!$N$2:$N$609,$A204,'Revision Log'!$C$2:$C$609,1)</f>
        <v>8.95</v>
      </c>
    </row>
    <row r="205" customFormat="false" ht="15" hidden="false" customHeight="false" outlineLevel="0" collapsed="false">
      <c r="A205" s="18" t="n">
        <v>1263</v>
      </c>
      <c r="B205" s="19" t="n">
        <f aca="false">SUMIFS('Revision Log'!$M$2:$M$609,'Revision Log'!$N$2:$N$609,$A205,'Revision Log'!$C$2:$C$609,0)</f>
        <v>7.3</v>
      </c>
      <c r="C205" s="19" t="n">
        <f aca="false">SUMIFS('Revision Log'!$M$2:$M$609,'Revision Log'!$N$2:$N$609,$A205,'Revision Log'!$C$2:$C$609,1)</f>
        <v>8.75</v>
      </c>
      <c r="D205" s="19" t="n">
        <f aca="false">SUMIFS('Revision Log'!$M$2:$M$609,'Revision Log'!$N$2:$N$609,$A205,'Revision Log'!$C$2:$C$609,1)</f>
        <v>8.75</v>
      </c>
      <c r="E205" s="19" t="n">
        <f aca="false">SUMIFS('Revision Log'!$M$2:$M$609,'Revision Log'!$N$2:$N$609,$A205,'Revision Log'!$C$2:$C$609,1)</f>
        <v>8.75</v>
      </c>
    </row>
    <row r="206" customFormat="false" ht="15" hidden="false" customHeight="false" outlineLevel="0" collapsed="false">
      <c r="A206" s="18" t="n">
        <v>1264</v>
      </c>
      <c r="B206" s="19" t="n">
        <f aca="false">SUMIFS('Revision Log'!$M$2:$M$609,'Revision Log'!$N$2:$N$609,$A206,'Revision Log'!$C$2:$C$609,0)</f>
        <v>6.6</v>
      </c>
      <c r="C206" s="19" t="n">
        <f aca="false">SUMIFS('Revision Log'!$M$2:$M$609,'Revision Log'!$N$2:$N$609,$A206,'Revision Log'!$C$2:$C$609,1)</f>
        <v>7.45</v>
      </c>
      <c r="D206" s="19" t="n">
        <f aca="false">SUMIFS('Revision Log'!$M$2:$M$609,'Revision Log'!$N$2:$N$609,$A206,'Revision Log'!$C$2:$C$609,1)</f>
        <v>7.45</v>
      </c>
      <c r="E206" s="19" t="n">
        <f aca="false">SUMIFS('Revision Log'!$M$2:$M$609,'Revision Log'!$N$2:$N$609,$A206,'Revision Log'!$C$2:$C$609,1)</f>
        <v>7.45</v>
      </c>
    </row>
    <row r="207" customFormat="false" ht="15" hidden="false" customHeight="false" outlineLevel="0" collapsed="false">
      <c r="A207" s="18" t="n">
        <v>1270</v>
      </c>
      <c r="B207" s="19" t="n">
        <f aca="false">SUMIFS('Revision Log'!$M$2:$M$609,'Revision Log'!$N$2:$N$609,$A207,'Revision Log'!$C$2:$C$609,0)</f>
        <v>7</v>
      </c>
      <c r="C207" s="19" t="n">
        <f aca="false">SUMIFS('Revision Log'!$M$2:$M$609,'Revision Log'!$N$2:$N$609,$A207,'Revision Log'!$C$2:$C$609,1)</f>
        <v>7.8</v>
      </c>
      <c r="D207" s="19" t="n">
        <f aca="false">SUMIFS('Revision Log'!$M$2:$M$609,'Revision Log'!$N$2:$N$609,$A207,'Revision Log'!$C$2:$C$609,1)</f>
        <v>7.8</v>
      </c>
      <c r="E207" s="19" t="n">
        <f aca="false">SUMIFS('Revision Log'!$M$2:$M$609,'Revision Log'!$N$2:$N$609,$A207,'Revision Log'!$C$2:$C$609,1)</f>
        <v>7.8</v>
      </c>
    </row>
    <row r="208" customFormat="false" ht="15" hidden="false" customHeight="false" outlineLevel="0" collapsed="false">
      <c r="A208" s="18" t="n">
        <v>1271</v>
      </c>
      <c r="B208" s="19" t="n">
        <f aca="false">SUMIFS('Revision Log'!$M$2:$M$609,'Revision Log'!$N$2:$N$609,$A208,'Revision Log'!$C$2:$C$609,0)</f>
        <v>8.1</v>
      </c>
      <c r="C208" s="19" t="n">
        <f aca="false">SUMIFS('Revision Log'!$M$2:$M$609,'Revision Log'!$N$2:$N$609,$A208,'Revision Log'!$C$2:$C$609,1)</f>
        <v>8.95</v>
      </c>
      <c r="D208" s="19" t="n">
        <f aca="false">SUMIFS('Revision Log'!$M$2:$M$609,'Revision Log'!$N$2:$N$609,$A208,'Revision Log'!$C$2:$C$609,1)</f>
        <v>8.95</v>
      </c>
      <c r="E208" s="19" t="n">
        <f aca="false">SUMIFS('Revision Log'!$M$2:$M$609,'Revision Log'!$N$2:$N$609,$A208,'Revision Log'!$C$2:$C$609,1)</f>
        <v>8.95</v>
      </c>
    </row>
    <row r="209" customFormat="false" ht="15" hidden="false" customHeight="false" outlineLevel="0" collapsed="false">
      <c r="A209" s="18" t="n">
        <v>1272</v>
      </c>
      <c r="B209" s="19" t="n">
        <f aca="false">SUMIFS('Revision Log'!$M$2:$M$609,'Revision Log'!$N$2:$N$609,$A209,'Revision Log'!$C$2:$C$609,0)</f>
        <v>8.75</v>
      </c>
      <c r="C209" s="19" t="n">
        <f aca="false">SUMIFS('Revision Log'!$M$2:$M$609,'Revision Log'!$N$2:$N$609,$A209,'Revision Log'!$C$2:$C$609,1)</f>
        <v>9.15</v>
      </c>
      <c r="D209" s="19" t="n">
        <f aca="false">SUMIFS('Revision Log'!$M$2:$M$609,'Revision Log'!$N$2:$N$609,$A209,'Revision Log'!$C$2:$C$609,1)</f>
        <v>9.15</v>
      </c>
      <c r="E209" s="19" t="n">
        <f aca="false">SUMIFS('Revision Log'!$M$2:$M$609,'Revision Log'!$N$2:$N$609,$A209,'Revision Log'!$C$2:$C$609,1)</f>
        <v>9.15</v>
      </c>
    </row>
    <row r="210" customFormat="false" ht="15" hidden="false" customHeight="false" outlineLevel="0" collapsed="false">
      <c r="A210" s="18" t="n">
        <v>1273</v>
      </c>
      <c r="B210" s="19" t="n">
        <f aca="false">SUMIFS('Revision Log'!$M$2:$M$609,'Revision Log'!$N$2:$N$609,$A210,'Revision Log'!$C$2:$C$609,0)</f>
        <v>7.7</v>
      </c>
      <c r="C210" s="19" t="n">
        <f aca="false">SUMIFS('Revision Log'!$M$2:$M$609,'Revision Log'!$N$2:$N$609,$A210,'Revision Log'!$C$2:$C$609,1)</f>
        <v>8.4</v>
      </c>
      <c r="D210" s="19" t="n">
        <f aca="false">SUMIFS('Revision Log'!$M$2:$M$609,'Revision Log'!$N$2:$N$609,$A210,'Revision Log'!$C$2:$C$609,1)</f>
        <v>8.4</v>
      </c>
      <c r="E210" s="19" t="n">
        <f aca="false">SUMIFS('Revision Log'!$M$2:$M$609,'Revision Log'!$N$2:$N$609,$A210,'Revision Log'!$C$2:$C$609,1)</f>
        <v>8.4</v>
      </c>
    </row>
    <row r="211" customFormat="false" ht="15" hidden="false" customHeight="false" outlineLevel="0" collapsed="false">
      <c r="A211" s="18" t="n">
        <v>1274</v>
      </c>
      <c r="B211" s="19" t="n">
        <f aca="false">SUMIFS('Revision Log'!$M$2:$M$609,'Revision Log'!$N$2:$N$609,$A211,'Revision Log'!$C$2:$C$609,0)</f>
        <v>7.4</v>
      </c>
      <c r="C211" s="19" t="n">
        <f aca="false">SUMIFS('Revision Log'!$M$2:$M$609,'Revision Log'!$N$2:$N$609,$A211,'Revision Log'!$C$2:$C$609,1)</f>
        <v>7.8</v>
      </c>
      <c r="D211" s="19" t="n">
        <f aca="false">SUMIFS('Revision Log'!$M$2:$M$609,'Revision Log'!$N$2:$N$609,$A211,'Revision Log'!$C$2:$C$609,1)</f>
        <v>7.8</v>
      </c>
      <c r="E211" s="19" t="n">
        <f aca="false">SUMIFS('Revision Log'!$M$2:$M$609,'Revision Log'!$N$2:$N$609,$A211,'Revision Log'!$C$2:$C$609,1)</f>
        <v>7.8</v>
      </c>
    </row>
    <row r="212" customFormat="false" ht="15" hidden="false" customHeight="false" outlineLevel="0" collapsed="false">
      <c r="A212" s="18" t="n">
        <v>1280</v>
      </c>
      <c r="B212" s="19" t="n">
        <f aca="false">SUMIFS('Revision Log'!$M$2:$M$609,'Revision Log'!$N$2:$N$609,$A212,'Revision Log'!$C$2:$C$609,0)</f>
        <v>7.55</v>
      </c>
      <c r="C212" s="19" t="n">
        <f aca="false">SUMIFS('Revision Log'!$M$2:$M$609,'Revision Log'!$N$2:$N$609,$A212,'Revision Log'!$C$2:$C$609,1)</f>
        <v>7.75</v>
      </c>
      <c r="D212" s="19" t="n">
        <f aca="false">SUMIFS('Revision Log'!$M$2:$M$609,'Revision Log'!$N$2:$N$609,$A212,'Revision Log'!$C$2:$C$609,1)</f>
        <v>7.75</v>
      </c>
      <c r="E212" s="19" t="n">
        <f aca="false">SUMIFS('Revision Log'!$M$2:$M$609,'Revision Log'!$N$2:$N$609,$A212,'Revision Log'!$C$2:$C$609,1)</f>
        <v>7.75</v>
      </c>
    </row>
    <row r="213" customFormat="false" ht="15" hidden="false" customHeight="false" outlineLevel="0" collapsed="false">
      <c r="A213" s="18" t="n">
        <v>1281</v>
      </c>
      <c r="B213" s="19" t="n">
        <f aca="false">SUMIFS('Revision Log'!$M$2:$M$609,'Revision Log'!$N$2:$N$609,$A213,'Revision Log'!$C$2:$C$609,0)</f>
        <v>7.9</v>
      </c>
      <c r="C213" s="19" t="n">
        <f aca="false">SUMIFS('Revision Log'!$M$2:$M$609,'Revision Log'!$N$2:$N$609,$A213,'Revision Log'!$C$2:$C$609,1)</f>
        <v>8.15</v>
      </c>
      <c r="D213" s="19" t="n">
        <f aca="false">SUMIFS('Revision Log'!$M$2:$M$609,'Revision Log'!$N$2:$N$609,$A213,'Revision Log'!$C$2:$C$609,1)</f>
        <v>8.15</v>
      </c>
      <c r="E213" s="19" t="n">
        <f aca="false">SUMIFS('Revision Log'!$M$2:$M$609,'Revision Log'!$N$2:$N$609,$A213,'Revision Log'!$C$2:$C$609,1)</f>
        <v>8.15</v>
      </c>
    </row>
    <row r="214" customFormat="false" ht="15" hidden="false" customHeight="false" outlineLevel="0" collapsed="false">
      <c r="A214" s="18" t="n">
        <v>1282</v>
      </c>
      <c r="B214" s="19" t="n">
        <f aca="false">SUMIFS('Revision Log'!$M$2:$M$609,'Revision Log'!$N$2:$N$609,$A214,'Revision Log'!$C$2:$C$609,0)</f>
        <v>7.4</v>
      </c>
      <c r="C214" s="19" t="n">
        <f aca="false">SUMIFS('Revision Log'!$M$2:$M$609,'Revision Log'!$N$2:$N$609,$A214,'Revision Log'!$C$2:$C$609,1)</f>
        <v>7.5</v>
      </c>
      <c r="D214" s="19" t="n">
        <f aca="false">SUMIFS('Revision Log'!$M$2:$M$609,'Revision Log'!$N$2:$N$609,$A214,'Revision Log'!$C$2:$C$609,1)</f>
        <v>7.5</v>
      </c>
      <c r="E214" s="19" t="n">
        <f aca="false">SUMIFS('Revision Log'!$M$2:$M$609,'Revision Log'!$N$2:$N$609,$A214,'Revision Log'!$C$2:$C$609,1)</f>
        <v>7.5</v>
      </c>
    </row>
    <row r="215" customFormat="false" ht="15" hidden="false" customHeight="false" outlineLevel="0" collapsed="false">
      <c r="A215" s="18" t="n">
        <v>1283</v>
      </c>
      <c r="B215" s="19" t="n">
        <f aca="false">SUMIFS('Revision Log'!$M$2:$M$609,'Revision Log'!$N$2:$N$609,$A215,'Revision Log'!$C$2:$C$609,0)</f>
        <v>7.55</v>
      </c>
      <c r="C215" s="19" t="n">
        <f aca="false">SUMIFS('Revision Log'!$M$2:$M$609,'Revision Log'!$N$2:$N$609,$A215,'Revision Log'!$C$2:$C$609,1)</f>
        <v>7.8</v>
      </c>
      <c r="D215" s="19" t="n">
        <f aca="false">SUMIFS('Revision Log'!$M$2:$M$609,'Revision Log'!$N$2:$N$609,$A215,'Revision Log'!$C$2:$C$609,1)</f>
        <v>7.8</v>
      </c>
      <c r="E215" s="19" t="n">
        <f aca="false">SUMIFS('Revision Log'!$M$2:$M$609,'Revision Log'!$N$2:$N$609,$A215,'Revision Log'!$C$2:$C$609,1)</f>
        <v>7.8</v>
      </c>
    </row>
    <row r="216" customFormat="false" ht="15" hidden="false" customHeight="false" outlineLevel="0" collapsed="false">
      <c r="A216" s="18" t="n">
        <v>1284</v>
      </c>
      <c r="B216" s="19" t="n">
        <f aca="false">SUMIFS('Revision Log'!$M$2:$M$609,'Revision Log'!$N$2:$N$609,$A216,'Revision Log'!$C$2:$C$609,0)</f>
        <v>7.4</v>
      </c>
      <c r="C216" s="19" t="n">
        <f aca="false">SUMIFS('Revision Log'!$M$2:$M$609,'Revision Log'!$N$2:$N$609,$A216,'Revision Log'!$C$2:$C$609,1)</f>
        <v>7.8</v>
      </c>
      <c r="D216" s="19" t="n">
        <f aca="false">SUMIFS('Revision Log'!$M$2:$M$609,'Revision Log'!$N$2:$N$609,$A216,'Revision Log'!$C$2:$C$609,1)</f>
        <v>7.8</v>
      </c>
      <c r="E216" s="19" t="n">
        <f aca="false">SUMIFS('Revision Log'!$M$2:$M$609,'Revision Log'!$N$2:$N$609,$A216,'Revision Log'!$C$2:$C$609,1)</f>
        <v>7.8</v>
      </c>
    </row>
    <row r="217" customFormat="false" ht="15" hidden="false" customHeight="false" outlineLevel="0" collapsed="false">
      <c r="A217" s="18" t="n">
        <v>1290</v>
      </c>
      <c r="B217" s="19" t="n">
        <f aca="false">SUMIFS('Revision Log'!$M$2:$M$609,'Revision Log'!$N$2:$N$609,$A217,'Revision Log'!$C$2:$C$609,0)</f>
        <v>6.65</v>
      </c>
      <c r="C217" s="19" t="n">
        <f aca="false">SUMIFS('Revision Log'!$M$2:$M$609,'Revision Log'!$N$2:$N$609,$A217,'Revision Log'!$C$2:$C$609,1)</f>
        <v>7.85</v>
      </c>
      <c r="D217" s="19" t="n">
        <f aca="false">SUMIFS('Revision Log'!$M$2:$M$609,'Revision Log'!$N$2:$N$609,$A217,'Revision Log'!$C$2:$C$609,1)</f>
        <v>7.85</v>
      </c>
      <c r="E217" s="19" t="n">
        <f aca="false">SUMIFS('Revision Log'!$M$2:$M$609,'Revision Log'!$N$2:$N$609,$A217,'Revision Log'!$C$2:$C$609,1)</f>
        <v>7.85</v>
      </c>
    </row>
    <row r="218" customFormat="false" ht="15" hidden="false" customHeight="false" outlineLevel="0" collapsed="false">
      <c r="A218" s="18" t="n">
        <v>1291</v>
      </c>
      <c r="B218" s="19" t="n">
        <f aca="false">SUMIFS('Revision Log'!$M$2:$M$609,'Revision Log'!$N$2:$N$609,$A218,'Revision Log'!$C$2:$C$609,0)</f>
        <v>7.4</v>
      </c>
      <c r="C218" s="19" t="n">
        <f aca="false">SUMIFS('Revision Log'!$M$2:$M$609,'Revision Log'!$N$2:$N$609,$A218,'Revision Log'!$C$2:$C$609,1)</f>
        <v>8.2</v>
      </c>
      <c r="D218" s="19" t="n">
        <f aca="false">SUMIFS('Revision Log'!$M$2:$M$609,'Revision Log'!$N$2:$N$609,$A218,'Revision Log'!$C$2:$C$609,1)</f>
        <v>8.2</v>
      </c>
      <c r="E218" s="19" t="n">
        <f aca="false">SUMIFS('Revision Log'!$M$2:$M$609,'Revision Log'!$N$2:$N$609,$A218,'Revision Log'!$C$2:$C$609,1)</f>
        <v>8.2</v>
      </c>
    </row>
    <row r="219" customFormat="false" ht="15" hidden="false" customHeight="false" outlineLevel="0" collapsed="false">
      <c r="A219" s="18" t="n">
        <v>1292</v>
      </c>
      <c r="B219" s="19" t="n">
        <f aca="false">SUMIFS('Revision Log'!$M$2:$M$609,'Revision Log'!$N$2:$N$609,$A219,'Revision Log'!$C$2:$C$609,0)</f>
        <v>7.2</v>
      </c>
      <c r="C219" s="19" t="n">
        <f aca="false">SUMIFS('Revision Log'!$M$2:$M$609,'Revision Log'!$N$2:$N$609,$A219,'Revision Log'!$C$2:$C$609,1)</f>
        <v>7.9</v>
      </c>
      <c r="D219" s="19" t="n">
        <f aca="false">SUMIFS('Revision Log'!$M$2:$M$609,'Revision Log'!$N$2:$N$609,$A219,'Revision Log'!$C$2:$C$609,1)</f>
        <v>7.9</v>
      </c>
      <c r="E219" s="19" t="n">
        <f aca="false">SUMIFS('Revision Log'!$M$2:$M$609,'Revision Log'!$N$2:$N$609,$A219,'Revision Log'!$C$2:$C$609,1)</f>
        <v>7.9</v>
      </c>
    </row>
    <row r="220" customFormat="false" ht="15" hidden="false" customHeight="false" outlineLevel="0" collapsed="false">
      <c r="A220" s="18" t="n">
        <v>1293</v>
      </c>
      <c r="B220" s="19" t="n">
        <f aca="false">SUMIFS('Revision Log'!$M$2:$M$609,'Revision Log'!$N$2:$N$609,$A220,'Revision Log'!$C$2:$C$609,0)</f>
        <v>6.55</v>
      </c>
      <c r="C220" s="19" t="n">
        <f aca="false">SUMIFS('Revision Log'!$M$2:$M$609,'Revision Log'!$N$2:$N$609,$A220,'Revision Log'!$C$2:$C$609,1)</f>
        <v>7.15</v>
      </c>
      <c r="D220" s="19" t="n">
        <f aca="false">SUMIFS('Revision Log'!$M$2:$M$609,'Revision Log'!$N$2:$N$609,$A220,'Revision Log'!$C$2:$C$609,2)</f>
        <v>7.5</v>
      </c>
      <c r="E220" s="19" t="n">
        <f aca="false">SUMIFS('Revision Log'!$M$2:$M$609,'Revision Log'!$N$2:$N$609,$A220,'Revision Log'!$C$2:$C$609,2)</f>
        <v>7.5</v>
      </c>
    </row>
    <row r="221" customFormat="false" ht="15" hidden="false" customHeight="false" outlineLevel="0" collapsed="false">
      <c r="A221" s="18" t="n">
        <v>1294</v>
      </c>
      <c r="B221" s="19" t="n">
        <f aca="false">SUMIFS('Revision Log'!$M$2:$M$609,'Revision Log'!$N$2:$N$609,$A221,'Revision Log'!$C$2:$C$609,0)</f>
        <v>7.3</v>
      </c>
      <c r="C221" s="19" t="n">
        <f aca="false">SUMIFS('Revision Log'!$M$2:$M$609,'Revision Log'!$N$2:$N$609,$A221,'Revision Log'!$C$2:$C$609,1)</f>
        <v>7.7</v>
      </c>
      <c r="D221" s="19" t="n">
        <f aca="false">SUMIFS('Revision Log'!$M$2:$M$609,'Revision Log'!$N$2:$N$609,$A221,'Revision Log'!$C$2:$C$609,1)</f>
        <v>7.7</v>
      </c>
      <c r="E221" s="19" t="n">
        <f aca="false">SUMIFS('Revision Log'!$M$2:$M$609,'Revision Log'!$N$2:$N$609,$A221,'Revision Log'!$C$2:$C$609,1)</f>
        <v>7.7</v>
      </c>
    </row>
    <row r="222" customFormat="false" ht="15" hidden="false" customHeight="false" outlineLevel="0" collapsed="false">
      <c r="A222" s="18" t="n">
        <v>1300</v>
      </c>
      <c r="B222" s="19" t="n">
        <f aca="false">SUMIFS('Revision Log'!$M$2:$M$609,'Revision Log'!$N$2:$N$609,$A222,'Revision Log'!$C$2:$C$609,0)</f>
        <v>7.5</v>
      </c>
      <c r="C222" s="19" t="n">
        <f aca="false">SUMIFS('Revision Log'!$M$2:$M$609,'Revision Log'!$N$2:$N$609,$A222,'Revision Log'!$C$2:$C$609,1)</f>
        <v>7.9</v>
      </c>
      <c r="D222" s="19" t="n">
        <f aca="false">SUMIFS('Revision Log'!$M$2:$M$609,'Revision Log'!$N$2:$N$609,$A222,'Revision Log'!$C$2:$C$609,1)</f>
        <v>7.9</v>
      </c>
      <c r="E222" s="19" t="n">
        <f aca="false">SUMIFS('Revision Log'!$M$2:$M$609,'Revision Log'!$N$2:$N$609,$A222,'Revision Log'!$C$2:$C$609,1)</f>
        <v>7.9</v>
      </c>
    </row>
    <row r="223" customFormat="false" ht="15" hidden="false" customHeight="false" outlineLevel="0" collapsed="false">
      <c r="A223" s="18" t="n">
        <v>1301</v>
      </c>
      <c r="B223" s="19" t="n">
        <f aca="false">SUMIFS('Revision Log'!$M$2:$M$609,'Revision Log'!$N$2:$N$609,$A223,'Revision Log'!$C$2:$C$609,0)</f>
        <v>7.5</v>
      </c>
      <c r="C223" s="19" t="n">
        <f aca="false">SUMIFS('Revision Log'!$M$2:$M$609,'Revision Log'!$N$2:$N$609,$A223,'Revision Log'!$C$2:$C$609,1)</f>
        <v>7.75</v>
      </c>
      <c r="D223" s="19" t="n">
        <f aca="false">SUMIFS('Revision Log'!$M$2:$M$609,'Revision Log'!$N$2:$N$609,$A223,'Revision Log'!$C$2:$C$609,1)</f>
        <v>7.75</v>
      </c>
      <c r="E223" s="19" t="n">
        <f aca="false">SUMIFS('Revision Log'!$M$2:$M$609,'Revision Log'!$N$2:$N$609,$A223,'Revision Log'!$C$2:$C$609,1)</f>
        <v>7.75</v>
      </c>
    </row>
    <row r="224" customFormat="false" ht="15" hidden="false" customHeight="false" outlineLevel="0" collapsed="false">
      <c r="A224" s="18" t="n">
        <v>1302</v>
      </c>
      <c r="B224" s="19" t="n">
        <f aca="false">SUMIFS('Revision Log'!$M$2:$M$609,'Revision Log'!$N$2:$N$609,$A224,'Revision Log'!$C$2:$C$609,0)</f>
        <v>7.4</v>
      </c>
      <c r="C224" s="19" t="n">
        <f aca="false">SUMIFS('Revision Log'!$M$2:$M$609,'Revision Log'!$N$2:$N$609,$A224,'Revision Log'!$C$2:$C$609,1)</f>
        <v>8</v>
      </c>
      <c r="D224" s="19" t="n">
        <f aca="false">SUMIFS('Revision Log'!$M$2:$M$609,'Revision Log'!$N$2:$N$609,$A224,'Revision Log'!$C$2:$C$609,1)</f>
        <v>8</v>
      </c>
      <c r="E224" s="19" t="n">
        <f aca="false">SUMIFS('Revision Log'!$M$2:$M$609,'Revision Log'!$N$2:$N$609,$A224,'Revision Log'!$C$2:$C$609,1)</f>
        <v>8</v>
      </c>
    </row>
    <row r="225" customFormat="false" ht="15" hidden="false" customHeight="false" outlineLevel="0" collapsed="false">
      <c r="A225" s="18" t="n">
        <v>1303</v>
      </c>
      <c r="B225" s="19" t="n">
        <f aca="false">SUMIFS('Revision Log'!$M$2:$M$609,'Revision Log'!$N$2:$N$609,$A225,'Revision Log'!$C$2:$C$609,0)</f>
        <v>7.25</v>
      </c>
      <c r="C225" s="19" t="n">
        <f aca="false">SUMIFS('Revision Log'!$M$2:$M$609,'Revision Log'!$N$2:$N$609,$A225,'Revision Log'!$C$2:$C$609,1)</f>
        <v>7.85</v>
      </c>
      <c r="D225" s="19" t="n">
        <f aca="false">SUMIFS('Revision Log'!$M$2:$M$609,'Revision Log'!$N$2:$N$609,$A225,'Revision Log'!$C$2:$C$609,1)</f>
        <v>7.85</v>
      </c>
      <c r="E225" s="19" t="n">
        <f aca="false">SUMIFS('Revision Log'!$M$2:$M$609,'Revision Log'!$N$2:$N$609,$A225,'Revision Log'!$C$2:$C$609,1)</f>
        <v>7.85</v>
      </c>
    </row>
    <row r="226" customFormat="false" ht="15" hidden="false" customHeight="false" outlineLevel="0" collapsed="false">
      <c r="A226" s="18" t="n">
        <v>1304</v>
      </c>
      <c r="B226" s="19" t="n">
        <f aca="false">SUMIFS('Revision Log'!$M$2:$M$609,'Revision Log'!$N$2:$N$609,$A226,'Revision Log'!$C$2:$C$609,0)</f>
        <v>7.5</v>
      </c>
      <c r="C226" s="19" t="n">
        <f aca="false">SUMIFS('Revision Log'!$M$2:$M$609,'Revision Log'!$N$2:$N$609,$A226,'Revision Log'!$C$2:$C$609,1)</f>
        <v>7.45</v>
      </c>
      <c r="D226" s="19" t="n">
        <f aca="false">SUMIFS('Revision Log'!$M$2:$M$609,'Revision Log'!$N$2:$N$609,$A226,'Revision Log'!$C$2:$C$609,1)</f>
        <v>7.45</v>
      </c>
      <c r="E226" s="19" t="n">
        <f aca="false">SUMIFS('Revision Log'!$M$2:$M$609,'Revision Log'!$N$2:$N$609,$A226,'Revision Log'!$C$2:$C$609,1)</f>
        <v>7.45</v>
      </c>
    </row>
    <row r="227" customFormat="false" ht="15" hidden="false" customHeight="false" outlineLevel="0" collapsed="false">
      <c r="A227" s="18" t="n">
        <v>1310</v>
      </c>
      <c r="B227" s="19" t="n">
        <f aca="false">SUMIFS('Revision Log'!$M$2:$M$609,'Revision Log'!$N$2:$N$609,$A227,'Revision Log'!$C$2:$C$609,0)</f>
        <v>7.1</v>
      </c>
      <c r="C227" s="19" t="n">
        <f aca="false">SUMIFS('Revision Log'!$M$2:$M$609,'Revision Log'!$N$2:$N$609,$A227,'Revision Log'!$C$2:$C$609,1)</f>
        <v>8.35</v>
      </c>
      <c r="D227" s="19" t="n">
        <f aca="false">SUMIFS('Revision Log'!$M$2:$M$609,'Revision Log'!$N$2:$N$609,$A227,'Revision Log'!$C$2:$C$609,1)</f>
        <v>8.35</v>
      </c>
      <c r="E227" s="19" t="n">
        <f aca="false">SUMIFS('Revision Log'!$M$2:$M$609,'Revision Log'!$N$2:$N$609,$A227,'Revision Log'!$C$2:$C$609,1)</f>
        <v>8.35</v>
      </c>
    </row>
    <row r="228" customFormat="false" ht="15" hidden="false" customHeight="false" outlineLevel="0" collapsed="false">
      <c r="A228" s="18" t="n">
        <v>1311</v>
      </c>
      <c r="B228" s="19" t="n">
        <f aca="false">SUMIFS('Revision Log'!$M$2:$M$609,'Revision Log'!$N$2:$N$609,$A228,'Revision Log'!$C$2:$C$609,0)</f>
        <v>7.15</v>
      </c>
      <c r="C228" s="19" t="n">
        <f aca="false">SUMIFS('Revision Log'!$M$2:$M$609,'Revision Log'!$N$2:$N$609,$A228,'Revision Log'!$C$2:$C$609,1)</f>
        <v>8.3</v>
      </c>
      <c r="D228" s="19" t="n">
        <f aca="false">SUMIFS('Revision Log'!$M$2:$M$609,'Revision Log'!$N$2:$N$609,$A228,'Revision Log'!$C$2:$C$609,1)</f>
        <v>8.3</v>
      </c>
      <c r="E228" s="19" t="n">
        <f aca="false">SUMIFS('Revision Log'!$M$2:$M$609,'Revision Log'!$N$2:$N$609,$A228,'Revision Log'!$C$2:$C$609,1)</f>
        <v>8.3</v>
      </c>
    </row>
    <row r="229" customFormat="false" ht="15" hidden="false" customHeight="false" outlineLevel="0" collapsed="false">
      <c r="A229" s="18" t="n">
        <v>1312</v>
      </c>
      <c r="B229" s="19" t="n">
        <f aca="false">SUMIFS('Revision Log'!$M$2:$M$609,'Revision Log'!$N$2:$N$609,$A229,'Revision Log'!$C$2:$C$609,0)</f>
        <v>7.2</v>
      </c>
      <c r="C229" s="19" t="n">
        <f aca="false">SUMIFS('Revision Log'!$M$2:$M$609,'Revision Log'!$N$2:$N$609,$A229,'Revision Log'!$C$2:$C$609,1)</f>
        <v>7.75</v>
      </c>
      <c r="D229" s="19" t="n">
        <f aca="false">SUMIFS('Revision Log'!$M$2:$M$609,'Revision Log'!$N$2:$N$609,$A229,'Revision Log'!$C$2:$C$609,1)</f>
        <v>7.75</v>
      </c>
      <c r="E229" s="19" t="n">
        <f aca="false">SUMIFS('Revision Log'!$M$2:$M$609,'Revision Log'!$N$2:$N$609,$A229,'Revision Log'!$C$2:$C$609,1)</f>
        <v>7.75</v>
      </c>
    </row>
    <row r="230" customFormat="false" ht="15" hidden="false" customHeight="false" outlineLevel="0" collapsed="false">
      <c r="A230" s="18" t="n">
        <v>1313</v>
      </c>
      <c r="B230" s="19" t="n">
        <f aca="false">SUMIFS('Revision Log'!$M$2:$M$609,'Revision Log'!$N$2:$N$609,$A230,'Revision Log'!$C$2:$C$609,0)</f>
        <v>7.1</v>
      </c>
      <c r="C230" s="19" t="n">
        <f aca="false">SUMIFS('Revision Log'!$M$2:$M$609,'Revision Log'!$N$2:$N$609,$A230,'Revision Log'!$C$2:$C$609,1)</f>
        <v>8.25</v>
      </c>
      <c r="D230" s="19" t="n">
        <f aca="false">SUMIFS('Revision Log'!$M$2:$M$609,'Revision Log'!$N$2:$N$609,$A230,'Revision Log'!$C$2:$C$609,1)</f>
        <v>8.25</v>
      </c>
      <c r="E230" s="19" t="n">
        <f aca="false">SUMIFS('Revision Log'!$M$2:$M$609,'Revision Log'!$N$2:$N$609,$A230,'Revision Log'!$C$2:$C$609,1)</f>
        <v>8.25</v>
      </c>
    </row>
    <row r="231" customFormat="false" ht="15" hidden="false" customHeight="false" outlineLevel="0" collapsed="false">
      <c r="A231" s="18" t="n">
        <v>1314</v>
      </c>
      <c r="B231" s="19" t="n">
        <f aca="false">SUMIFS('Revision Log'!$M$2:$M$609,'Revision Log'!$N$2:$N$609,$A231,'Revision Log'!$C$2:$C$609,0)</f>
        <v>6.6</v>
      </c>
      <c r="C231" s="19" t="n">
        <f aca="false">SUMIFS('Revision Log'!$M$2:$M$609,'Revision Log'!$N$2:$N$609,$A231,'Revision Log'!$C$2:$C$609,1)</f>
        <v>7.55</v>
      </c>
      <c r="D231" s="19" t="n">
        <f aca="false">SUMIFS('Revision Log'!$M$2:$M$609,'Revision Log'!$N$2:$N$609,$A231,'Revision Log'!$C$2:$C$609,1)</f>
        <v>7.55</v>
      </c>
      <c r="E231" s="19" t="n">
        <f aca="false">SUMIFS('Revision Log'!$M$2:$M$609,'Revision Log'!$N$2:$N$609,$A231,'Revision Log'!$C$2:$C$609,1)</f>
        <v>7.55</v>
      </c>
    </row>
    <row r="232" customFormat="false" ht="15" hidden="false" customHeight="false" outlineLevel="0" collapsed="false">
      <c r="A232" s="18" t="n">
        <v>1320</v>
      </c>
      <c r="B232" s="19" t="n">
        <f aca="false">SUMIFS('Revision Log'!$M$2:$M$609,'Revision Log'!$N$2:$N$609,$A232,'Revision Log'!$C$2:$C$609,0)</f>
        <v>7.55</v>
      </c>
      <c r="C232" s="19" t="n">
        <f aca="false">SUMIFS('Revision Log'!$M$2:$M$609,'Revision Log'!$N$2:$N$609,$A232,'Revision Log'!$C$2:$C$609,1)</f>
        <v>7.75</v>
      </c>
      <c r="D232" s="19" t="n">
        <f aca="false">SUMIFS('Revision Log'!$M$2:$M$609,'Revision Log'!$N$2:$N$609,$A232,'Revision Log'!$C$2:$C$609,1)</f>
        <v>7.75</v>
      </c>
      <c r="E232" s="19" t="n">
        <f aca="false">SUMIFS('Revision Log'!$M$2:$M$609,'Revision Log'!$N$2:$N$609,$A232,'Revision Log'!$C$2:$C$609,1)</f>
        <v>7.75</v>
      </c>
    </row>
    <row r="233" customFormat="false" ht="15" hidden="false" customHeight="false" outlineLevel="0" collapsed="false">
      <c r="A233" s="18" t="n">
        <v>1321</v>
      </c>
      <c r="B233" s="19" t="n">
        <f aca="false">SUMIFS('Revision Log'!$M$2:$M$609,'Revision Log'!$N$2:$N$609,$A233,'Revision Log'!$C$2:$C$609,0)</f>
        <v>7.9</v>
      </c>
      <c r="C233" s="19" t="n">
        <f aca="false">SUMIFS('Revision Log'!$M$2:$M$609,'Revision Log'!$N$2:$N$609,$A233,'Revision Log'!$C$2:$C$609,1)</f>
        <v>7.8</v>
      </c>
      <c r="D233" s="19" t="n">
        <f aca="false">SUMIFS('Revision Log'!$M$2:$M$609,'Revision Log'!$N$2:$N$609,$A233,'Revision Log'!$C$2:$C$609,1)</f>
        <v>7.8</v>
      </c>
      <c r="E233" s="19" t="n">
        <f aca="false">SUMIFS('Revision Log'!$M$2:$M$609,'Revision Log'!$N$2:$N$609,$A233,'Revision Log'!$C$2:$C$609,1)</f>
        <v>7.8</v>
      </c>
    </row>
    <row r="234" customFormat="false" ht="15" hidden="false" customHeight="false" outlineLevel="0" collapsed="false">
      <c r="A234" s="18" t="n">
        <v>1322</v>
      </c>
      <c r="B234" s="19" t="n">
        <f aca="false">SUMIFS('Revision Log'!$M$2:$M$609,'Revision Log'!$N$2:$N$609,$A234,'Revision Log'!$C$2:$C$609,0)</f>
        <v>7.4</v>
      </c>
      <c r="C234" s="19" t="n">
        <f aca="false">SUMIFS('Revision Log'!$M$2:$M$609,'Revision Log'!$N$2:$N$609,$A234,'Revision Log'!$C$2:$C$609,1)</f>
        <v>7.9</v>
      </c>
      <c r="D234" s="19" t="n">
        <f aca="false">SUMIFS('Revision Log'!$M$2:$M$609,'Revision Log'!$N$2:$N$609,$A234,'Revision Log'!$C$2:$C$609,1)</f>
        <v>7.9</v>
      </c>
      <c r="E234" s="19" t="n">
        <f aca="false">SUMIFS('Revision Log'!$M$2:$M$609,'Revision Log'!$N$2:$N$609,$A234,'Revision Log'!$C$2:$C$609,1)</f>
        <v>7.9</v>
      </c>
    </row>
    <row r="235" customFormat="false" ht="15" hidden="false" customHeight="false" outlineLevel="0" collapsed="false">
      <c r="A235" s="18" t="n">
        <v>1323</v>
      </c>
      <c r="B235" s="19" t="n">
        <f aca="false">SUMIFS('Revision Log'!$M$2:$M$609,'Revision Log'!$N$2:$N$609,$A235,'Revision Log'!$C$2:$C$609,0)</f>
        <v>7.55</v>
      </c>
      <c r="C235" s="19" t="n">
        <f aca="false">SUMIFS('Revision Log'!$M$2:$M$609,'Revision Log'!$N$2:$N$609,$A235,'Revision Log'!$C$2:$C$609,1)</f>
        <v>8.15</v>
      </c>
      <c r="D235" s="19" t="n">
        <f aca="false">SUMIFS('Revision Log'!$M$2:$M$609,'Revision Log'!$N$2:$N$609,$A235,'Revision Log'!$C$2:$C$609,1)</f>
        <v>8.15</v>
      </c>
      <c r="E235" s="19" t="n">
        <f aca="false">SUMIFS('Revision Log'!$M$2:$M$609,'Revision Log'!$N$2:$N$609,$A235,'Revision Log'!$C$2:$C$609,1)</f>
        <v>8.15</v>
      </c>
    </row>
    <row r="236" customFormat="false" ht="15" hidden="false" customHeight="false" outlineLevel="0" collapsed="false">
      <c r="A236" s="18" t="n">
        <v>1324</v>
      </c>
      <c r="B236" s="19" t="n">
        <f aca="false">SUMIFS('Revision Log'!$M$2:$M$609,'Revision Log'!$N$2:$N$609,$A236,'Revision Log'!$C$2:$C$609,0)</f>
        <v>7.4</v>
      </c>
      <c r="C236" s="19" t="n">
        <f aca="false">SUMIFS('Revision Log'!$M$2:$M$609,'Revision Log'!$N$2:$N$609,$A236,'Revision Log'!$C$2:$C$609,1)</f>
        <v>7.8</v>
      </c>
      <c r="D236" s="19" t="n">
        <f aca="false">SUMIFS('Revision Log'!$M$2:$M$609,'Revision Log'!$N$2:$N$609,$A236,'Revision Log'!$C$2:$C$609,1)</f>
        <v>7.8</v>
      </c>
      <c r="E236" s="19" t="n">
        <f aca="false">SUMIFS('Revision Log'!$M$2:$M$609,'Revision Log'!$N$2:$N$609,$A236,'Revision Log'!$C$2:$C$609,1)</f>
        <v>7.8</v>
      </c>
    </row>
    <row r="237" customFormat="false" ht="15" hidden="false" customHeight="false" outlineLevel="0" collapsed="false">
      <c r="A237" s="18" t="n">
        <v>1330</v>
      </c>
      <c r="B237" s="19" t="n">
        <f aca="false">SUMIFS('Revision Log'!$M$2:$M$609,'Revision Log'!$N$2:$N$609,$A237,'Revision Log'!$C$2:$C$609,0)</f>
        <v>6.75</v>
      </c>
      <c r="C237" s="19" t="n">
        <f aca="false">SUMIFS('Revision Log'!$M$2:$M$609,'Revision Log'!$N$2:$N$609,$A237,'Revision Log'!$C$2:$C$609,1)</f>
        <v>7.5</v>
      </c>
      <c r="D237" s="19" t="n">
        <f aca="false">SUMIFS('Revision Log'!$M$2:$M$609,'Revision Log'!$N$2:$N$609,$A237,'Revision Log'!$C$2:$C$609,2)</f>
        <v>7.75</v>
      </c>
      <c r="E237" s="19" t="n">
        <f aca="false">SUMIFS('Revision Log'!$M$2:$M$609,'Revision Log'!$N$2:$N$609,$A237,'Revision Log'!$C$2:$C$609,2)</f>
        <v>7.75</v>
      </c>
    </row>
    <row r="238" customFormat="false" ht="15" hidden="false" customHeight="false" outlineLevel="0" collapsed="false">
      <c r="A238" s="18" t="n">
        <v>1331</v>
      </c>
      <c r="B238" s="19" t="n">
        <f aca="false">SUMIFS('Revision Log'!$M$2:$M$609,'Revision Log'!$N$2:$N$609,$A238,'Revision Log'!$C$2:$C$609,0)</f>
        <v>7</v>
      </c>
      <c r="C238" s="19" t="n">
        <f aca="false">SUMIFS('Revision Log'!$M$2:$M$609,'Revision Log'!$N$2:$N$609,$A238,'Revision Log'!$C$2:$C$609,1)</f>
        <v>7.75</v>
      </c>
      <c r="D238" s="19" t="n">
        <f aca="false">SUMIFS('Revision Log'!$M$2:$M$609,'Revision Log'!$N$2:$N$609,$A238,'Revision Log'!$C$2:$C$609,1)</f>
        <v>7.75</v>
      </c>
      <c r="E238" s="19" t="n">
        <f aca="false">SUMIFS('Revision Log'!$M$2:$M$609,'Revision Log'!$N$2:$N$609,$A238,'Revision Log'!$C$2:$C$609,1)</f>
        <v>7.75</v>
      </c>
    </row>
    <row r="239" customFormat="false" ht="15" hidden="false" customHeight="false" outlineLevel="0" collapsed="false">
      <c r="A239" s="18" t="n">
        <v>1332</v>
      </c>
      <c r="B239" s="19" t="n">
        <f aca="false">SUMIFS('Revision Log'!$M$2:$M$609,'Revision Log'!$N$2:$N$609,$A239,'Revision Log'!$C$2:$C$609,0)</f>
        <v>7</v>
      </c>
      <c r="C239" s="19" t="n">
        <f aca="false">SUMIFS('Revision Log'!$M$2:$M$609,'Revision Log'!$N$2:$N$609,$A239,'Revision Log'!$C$2:$C$609,1)</f>
        <v>7.4</v>
      </c>
      <c r="D239" s="19" t="n">
        <f aca="false">SUMIFS('Revision Log'!$M$2:$M$609,'Revision Log'!$N$2:$N$609,$A239,'Revision Log'!$C$2:$C$609,2)</f>
        <v>8.2</v>
      </c>
      <c r="E239" s="19" t="n">
        <f aca="false">SUMIFS('Revision Log'!$M$2:$M$609,'Revision Log'!$N$2:$N$609,$A239,'Revision Log'!$C$2:$C$609,2)</f>
        <v>8.2</v>
      </c>
    </row>
    <row r="240" customFormat="false" ht="15" hidden="false" customHeight="false" outlineLevel="0" collapsed="false">
      <c r="A240" s="18" t="n">
        <v>1333</v>
      </c>
      <c r="B240" s="19" t="n">
        <f aca="false">SUMIFS('Revision Log'!$M$2:$M$609,'Revision Log'!$N$2:$N$609,$A240,'Revision Log'!$C$2:$C$609,0)</f>
        <v>7.1</v>
      </c>
      <c r="C240" s="19" t="n">
        <f aca="false">SUMIFS('Revision Log'!$M$2:$M$609,'Revision Log'!$N$2:$N$609,$A240,'Revision Log'!$C$2:$C$609,1)</f>
        <v>7.45</v>
      </c>
      <c r="D240" s="19" t="n">
        <f aca="false">SUMIFS('Revision Log'!$M$2:$M$609,'Revision Log'!$N$2:$N$609,$A240,'Revision Log'!$C$2:$C$609,2)</f>
        <v>8.1</v>
      </c>
      <c r="E240" s="19" t="n">
        <f aca="false">SUMIFS('Revision Log'!$M$2:$M$609,'Revision Log'!$N$2:$N$609,$A240,'Revision Log'!$C$2:$C$609,2)</f>
        <v>8.1</v>
      </c>
    </row>
    <row r="241" customFormat="false" ht="15" hidden="false" customHeight="false" outlineLevel="0" collapsed="false">
      <c r="A241" s="18" t="n">
        <v>1334</v>
      </c>
      <c r="B241" s="19" t="n">
        <f aca="false">SUMIFS('Revision Log'!$M$2:$M$609,'Revision Log'!$N$2:$N$609,$A241,'Revision Log'!$C$2:$C$609,0)</f>
        <v>7</v>
      </c>
      <c r="C241" s="19" t="n">
        <f aca="false">SUMIFS('Revision Log'!$M$2:$M$609,'Revision Log'!$N$2:$N$609,$A241,'Revision Log'!$C$2:$C$609,1)</f>
        <v>8</v>
      </c>
      <c r="D241" s="19" t="n">
        <f aca="false">SUMIFS('Revision Log'!$M$2:$M$609,'Revision Log'!$N$2:$N$609,$A241,'Revision Log'!$C$2:$C$609,1)</f>
        <v>8</v>
      </c>
      <c r="E241" s="19" t="n">
        <f aca="false">SUMIFS('Revision Log'!$M$2:$M$609,'Revision Log'!$N$2:$N$609,$A241,'Revision Log'!$C$2:$C$609,1)</f>
        <v>8</v>
      </c>
    </row>
    <row r="242" customFormat="false" ht="15" hidden="false" customHeight="false" outlineLevel="0" collapsed="false">
      <c r="A242" s="18" t="n">
        <v>1340</v>
      </c>
      <c r="B242" s="19" t="n">
        <f aca="false">SUMIFS('Revision Log'!$M$2:$M$609,'Revision Log'!$N$2:$N$609,$A242,'Revision Log'!$C$2:$C$609,0)</f>
        <v>7.15</v>
      </c>
      <c r="C242" s="19" t="n">
        <f aca="false">SUMIFS('Revision Log'!$M$2:$M$609,'Revision Log'!$N$2:$N$609,$A242,'Revision Log'!$C$2:$C$609,1)</f>
        <v>7.35</v>
      </c>
      <c r="D242" s="19" t="n">
        <f aca="false">SUMIFS('Revision Log'!$M$2:$M$609,'Revision Log'!$N$2:$N$609,$A242,'Revision Log'!$C$2:$C$609,2)</f>
        <v>7.75</v>
      </c>
      <c r="E242" s="19" t="n">
        <f aca="false">SUMIFS('Revision Log'!$M$2:$M$609,'Revision Log'!$N$2:$N$609,$A242,'Revision Log'!$C$2:$C$609,2)</f>
        <v>7.75</v>
      </c>
    </row>
    <row r="243" customFormat="false" ht="15" hidden="false" customHeight="false" outlineLevel="0" collapsed="false">
      <c r="A243" s="18" t="n">
        <v>1341</v>
      </c>
      <c r="B243" s="19" t="n">
        <f aca="false">SUMIFS('Revision Log'!$M$2:$M$609,'Revision Log'!$N$2:$N$609,$A243,'Revision Log'!$C$2:$C$609,0)</f>
        <v>7.5</v>
      </c>
      <c r="C243" s="19" t="n">
        <f aca="false">SUMIFS('Revision Log'!$M$2:$M$609,'Revision Log'!$N$2:$N$609,$A243,'Revision Log'!$C$2:$C$609,1)</f>
        <v>7.5</v>
      </c>
      <c r="D243" s="19" t="n">
        <f aca="false">SUMIFS('Revision Log'!$M$2:$M$609,'Revision Log'!$N$2:$N$609,$A243,'Revision Log'!$C$2:$C$609,2)</f>
        <v>7.85</v>
      </c>
      <c r="E243" s="19" t="n">
        <f aca="false">SUMIFS('Revision Log'!$M$2:$M$609,'Revision Log'!$N$2:$N$609,$A243,'Revision Log'!$C$2:$C$609,2)</f>
        <v>7.85</v>
      </c>
    </row>
    <row r="244" customFormat="false" ht="15" hidden="false" customHeight="false" outlineLevel="0" collapsed="false">
      <c r="A244" s="18" t="n">
        <v>1342</v>
      </c>
      <c r="B244" s="19" t="n">
        <f aca="false">SUMIFS('Revision Log'!$M$2:$M$609,'Revision Log'!$N$2:$N$609,$A244,'Revision Log'!$C$2:$C$609,0)</f>
        <v>7</v>
      </c>
      <c r="C244" s="19" t="n">
        <f aca="false">SUMIFS('Revision Log'!$M$2:$M$609,'Revision Log'!$N$2:$N$609,$A244,'Revision Log'!$C$2:$C$609,1)</f>
        <v>7.8</v>
      </c>
      <c r="D244" s="19" t="n">
        <f aca="false">SUMIFS('Revision Log'!$M$2:$M$609,'Revision Log'!$N$2:$N$609,$A244,'Revision Log'!$C$2:$C$609,1)</f>
        <v>7.8</v>
      </c>
      <c r="E244" s="19" t="n">
        <f aca="false">SUMIFS('Revision Log'!$M$2:$M$609,'Revision Log'!$N$2:$N$609,$A244,'Revision Log'!$C$2:$C$609,1)</f>
        <v>7.8</v>
      </c>
    </row>
    <row r="245" customFormat="false" ht="15" hidden="false" customHeight="false" outlineLevel="0" collapsed="false">
      <c r="A245" s="18" t="n">
        <v>1343</v>
      </c>
      <c r="B245" s="19" t="n">
        <f aca="false">SUMIFS('Revision Log'!$M$2:$M$609,'Revision Log'!$N$2:$N$609,$A245,'Revision Log'!$C$2:$C$609,0)</f>
        <v>7.15</v>
      </c>
      <c r="C245" s="19" t="n">
        <f aca="false">SUMIFS('Revision Log'!$M$2:$M$609,'Revision Log'!$N$2:$N$609,$A245,'Revision Log'!$C$2:$C$609,1)</f>
        <v>7.45</v>
      </c>
      <c r="D245" s="19" t="n">
        <f aca="false">SUMIFS('Revision Log'!$M$2:$M$609,'Revision Log'!$N$2:$N$609,$A245,'Revision Log'!$C$2:$C$609,2)</f>
        <v>7.8</v>
      </c>
      <c r="E245" s="19" t="n">
        <f aca="false">SUMIFS('Revision Log'!$M$2:$M$609,'Revision Log'!$N$2:$N$609,$A245,'Revision Log'!$C$2:$C$609,2)</f>
        <v>7.8</v>
      </c>
    </row>
    <row r="246" customFormat="false" ht="15" hidden="false" customHeight="false" outlineLevel="0" collapsed="false">
      <c r="A246" s="18" t="n">
        <v>1344</v>
      </c>
      <c r="B246" s="19" t="n">
        <f aca="false">SUMIFS('Revision Log'!$M$2:$M$609,'Revision Log'!$N$2:$N$609,$A246,'Revision Log'!$C$2:$C$609,0)</f>
        <v>7.4</v>
      </c>
      <c r="C246" s="19" t="n">
        <f aca="false">SUMIFS('Revision Log'!$M$2:$M$609,'Revision Log'!$N$2:$N$609,$A246,'Revision Log'!$C$2:$C$609,1)</f>
        <v>7.8</v>
      </c>
      <c r="D246" s="19" t="n">
        <f aca="false">SUMIFS('Revision Log'!$M$2:$M$609,'Revision Log'!$N$2:$N$609,$A246,'Revision Log'!$C$2:$C$609,1)</f>
        <v>7.8</v>
      </c>
      <c r="E246" s="19" t="n">
        <f aca="false">SUMIFS('Revision Log'!$M$2:$M$609,'Revision Log'!$N$2:$N$609,$A246,'Revision Log'!$C$2:$C$609,1)</f>
        <v>7.8</v>
      </c>
    </row>
    <row r="247" customFormat="false" ht="15" hidden="false" customHeight="false" outlineLevel="0" collapsed="false">
      <c r="A247" s="18" t="n">
        <v>1350</v>
      </c>
      <c r="B247" s="19" t="n">
        <f aca="false">SUMIFS('Revision Log'!$M$2:$M$609,'Revision Log'!$N$2:$N$609,$A247,'Revision Log'!$C$2:$C$609,0)</f>
        <v>7.4</v>
      </c>
      <c r="C247" s="19" t="n">
        <f aca="false">SUMIFS('Revision Log'!$M$2:$M$609,'Revision Log'!$N$2:$N$609,$A247,'Revision Log'!$C$2:$C$609,1)</f>
        <v>8.2</v>
      </c>
      <c r="D247" s="19" t="n">
        <f aca="false">SUMIFS('Revision Log'!$M$2:$M$609,'Revision Log'!$N$2:$N$609,$A247,'Revision Log'!$C$2:$C$609,1)</f>
        <v>8.2</v>
      </c>
      <c r="E247" s="19" t="n">
        <f aca="false">SUMIFS('Revision Log'!$M$2:$M$609,'Revision Log'!$N$2:$N$609,$A247,'Revision Log'!$C$2:$C$609,1)</f>
        <v>8.2</v>
      </c>
    </row>
    <row r="248" customFormat="false" ht="15" hidden="false" customHeight="false" outlineLevel="0" collapsed="false">
      <c r="A248" s="18" t="n">
        <v>1351</v>
      </c>
      <c r="B248" s="19" t="n">
        <f aca="false">SUMIFS('Revision Log'!$M$2:$M$609,'Revision Log'!$N$2:$N$609,$A248,'Revision Log'!$C$2:$C$609,0)</f>
        <v>7.8</v>
      </c>
      <c r="C248" s="19" t="n">
        <f aca="false">SUMIFS('Revision Log'!$M$2:$M$609,'Revision Log'!$N$2:$N$609,$A248,'Revision Log'!$C$2:$C$609,1)</f>
        <v>8.2</v>
      </c>
      <c r="D248" s="19" t="n">
        <f aca="false">SUMIFS('Revision Log'!$M$2:$M$609,'Revision Log'!$N$2:$N$609,$A248,'Revision Log'!$C$2:$C$609,1)</f>
        <v>8.2</v>
      </c>
      <c r="E248" s="19" t="n">
        <f aca="false">SUMIFS('Revision Log'!$M$2:$M$609,'Revision Log'!$N$2:$N$609,$A248,'Revision Log'!$C$2:$C$609,1)</f>
        <v>8.2</v>
      </c>
    </row>
    <row r="249" customFormat="false" ht="15" hidden="false" customHeight="false" outlineLevel="0" collapsed="false">
      <c r="A249" s="18" t="n">
        <v>1352</v>
      </c>
      <c r="B249" s="19" t="n">
        <f aca="false">SUMIFS('Revision Log'!$M$2:$M$609,'Revision Log'!$N$2:$N$609,$A249,'Revision Log'!$C$2:$C$609,0)</f>
        <v>7.55</v>
      </c>
      <c r="C249" s="19" t="n">
        <f aca="false">SUMIFS('Revision Log'!$M$2:$M$609,'Revision Log'!$N$2:$N$609,$A249,'Revision Log'!$C$2:$C$609,1)</f>
        <v>7.9</v>
      </c>
      <c r="D249" s="19" t="n">
        <f aca="false">SUMIFS('Revision Log'!$M$2:$M$609,'Revision Log'!$N$2:$N$609,$A249,'Revision Log'!$C$2:$C$609,1)</f>
        <v>7.9</v>
      </c>
      <c r="E249" s="19" t="n">
        <f aca="false">SUMIFS('Revision Log'!$M$2:$M$609,'Revision Log'!$N$2:$N$609,$A249,'Revision Log'!$C$2:$C$609,1)</f>
        <v>7.9</v>
      </c>
    </row>
    <row r="250" customFormat="false" ht="15" hidden="false" customHeight="false" outlineLevel="0" collapsed="false">
      <c r="A250" s="18" t="n">
        <v>1353</v>
      </c>
      <c r="B250" s="19" t="n">
        <f aca="false">SUMIFS('Revision Log'!$M$2:$M$609,'Revision Log'!$N$2:$N$609,$A250,'Revision Log'!$C$2:$C$609,0)</f>
        <v>7.05</v>
      </c>
      <c r="C250" s="19" t="n">
        <f aca="false">SUMIFS('Revision Log'!$M$2:$M$609,'Revision Log'!$N$2:$N$609,$A250,'Revision Log'!$C$2:$C$609,1)</f>
        <v>7.5</v>
      </c>
      <c r="D250" s="19" t="n">
        <f aca="false">SUMIFS('Revision Log'!$M$2:$M$609,'Revision Log'!$N$2:$N$609,$A250,'Revision Log'!$C$2:$C$609,1)</f>
        <v>7.5</v>
      </c>
      <c r="E250" s="19" t="n">
        <f aca="false">SUMIFS('Revision Log'!$M$2:$M$609,'Revision Log'!$N$2:$N$609,$A250,'Revision Log'!$C$2:$C$609,3)</f>
        <v>7.45</v>
      </c>
    </row>
    <row r="251" customFormat="false" ht="15" hidden="false" customHeight="false" outlineLevel="0" collapsed="false">
      <c r="A251" s="18" t="n">
        <v>1354</v>
      </c>
      <c r="B251" s="19" t="n">
        <f aca="false">SUMIFS('Revision Log'!$M$2:$M$609,'Revision Log'!$N$2:$N$609,$A251,'Revision Log'!$C$2:$C$609,0)</f>
        <v>7.7</v>
      </c>
      <c r="C251" s="19" t="n">
        <f aca="false">SUMIFS('Revision Log'!$M$2:$M$609,'Revision Log'!$N$2:$N$609,$A251,'Revision Log'!$C$2:$C$609,1)</f>
        <v>7.8</v>
      </c>
      <c r="D251" s="19" t="n">
        <f aca="false">SUMIFS('Revision Log'!$M$2:$M$609,'Revision Log'!$N$2:$N$609,$A251,'Revision Log'!$C$2:$C$609,1)</f>
        <v>7.8</v>
      </c>
      <c r="E251" s="19" t="n">
        <f aca="false">SUMIFS('Revision Log'!$M$2:$M$609,'Revision Log'!$N$2:$N$609,$A251,'Revision Log'!$C$2:$C$609,1)</f>
        <v>7.8</v>
      </c>
    </row>
    <row r="252" customFormat="false" ht="15" hidden="false" customHeight="false" outlineLevel="0" collapsed="false">
      <c r="A252" s="18" t="n">
        <v>1360</v>
      </c>
      <c r="B252" s="19" t="n">
        <f aca="false">SUMIFS('Revision Log'!$M$2:$M$609,'Revision Log'!$N$2:$N$609,$A252,'Revision Log'!$C$2:$C$609,0)</f>
        <v>7.45</v>
      </c>
      <c r="C252" s="19" t="n">
        <f aca="false">SUMIFS('Revision Log'!$M$2:$M$609,'Revision Log'!$N$2:$N$609,$A252,'Revision Log'!$C$2:$C$609,1)</f>
        <v>8.25</v>
      </c>
      <c r="D252" s="19" t="n">
        <f aca="false">SUMIFS('Revision Log'!$M$2:$M$609,'Revision Log'!$N$2:$N$609,$A252,'Revision Log'!$C$2:$C$609,1)</f>
        <v>8.25</v>
      </c>
      <c r="E252" s="19" t="n">
        <f aca="false">SUMIFS('Revision Log'!$M$2:$M$609,'Revision Log'!$N$2:$N$609,$A252,'Revision Log'!$C$2:$C$609,1)</f>
        <v>8.25</v>
      </c>
    </row>
    <row r="253" customFormat="false" ht="15" hidden="false" customHeight="false" outlineLevel="0" collapsed="false">
      <c r="A253" s="18" t="n">
        <v>1361</v>
      </c>
      <c r="B253" s="19" t="n">
        <f aca="false">SUMIFS('Revision Log'!$M$2:$M$609,'Revision Log'!$N$2:$N$609,$A253,'Revision Log'!$C$2:$C$609,0)</f>
        <v>7.85</v>
      </c>
      <c r="C253" s="19" t="n">
        <f aca="false">SUMIFS('Revision Log'!$M$2:$M$609,'Revision Log'!$N$2:$N$609,$A253,'Revision Log'!$C$2:$C$609,1)</f>
        <v>8.15</v>
      </c>
      <c r="D253" s="19" t="n">
        <f aca="false">SUMIFS('Revision Log'!$M$2:$M$609,'Revision Log'!$N$2:$N$609,$A253,'Revision Log'!$C$2:$C$609,1)</f>
        <v>8.15</v>
      </c>
      <c r="E253" s="19" t="n">
        <f aca="false">SUMIFS('Revision Log'!$M$2:$M$609,'Revision Log'!$N$2:$N$609,$A253,'Revision Log'!$C$2:$C$609,1)</f>
        <v>8.15</v>
      </c>
    </row>
    <row r="254" customFormat="false" ht="15" hidden="false" customHeight="false" outlineLevel="0" collapsed="false">
      <c r="A254" s="18" t="n">
        <v>1362</v>
      </c>
      <c r="B254" s="19" t="n">
        <f aca="false">SUMIFS('Revision Log'!$M$2:$M$609,'Revision Log'!$N$2:$N$609,$A254,'Revision Log'!$C$2:$C$609,0)</f>
        <v>7.95</v>
      </c>
      <c r="C254" s="19" t="n">
        <f aca="false">SUMIFS('Revision Log'!$M$2:$M$609,'Revision Log'!$N$2:$N$609,$A254,'Revision Log'!$C$2:$C$609,1)</f>
        <v>8.45</v>
      </c>
      <c r="D254" s="19" t="n">
        <f aca="false">SUMIFS('Revision Log'!$M$2:$M$609,'Revision Log'!$N$2:$N$609,$A254,'Revision Log'!$C$2:$C$609,1)</f>
        <v>8.45</v>
      </c>
      <c r="E254" s="19" t="n">
        <f aca="false">SUMIFS('Revision Log'!$M$2:$M$609,'Revision Log'!$N$2:$N$609,$A254,'Revision Log'!$C$2:$C$609,1)</f>
        <v>8.45</v>
      </c>
    </row>
    <row r="255" customFormat="false" ht="15" hidden="false" customHeight="false" outlineLevel="0" collapsed="false">
      <c r="A255" s="18" t="n">
        <v>1363</v>
      </c>
      <c r="B255" s="19" t="n">
        <f aca="false">SUMIFS('Revision Log'!$M$2:$M$609,'Revision Log'!$N$2:$N$609,$A255,'Revision Log'!$C$2:$C$609,0)</f>
        <v>7</v>
      </c>
      <c r="C255" s="19" t="n">
        <f aca="false">SUMIFS('Revision Log'!$M$2:$M$609,'Revision Log'!$N$2:$N$609,$A255,'Revision Log'!$C$2:$C$609,1)</f>
        <v>7.85</v>
      </c>
      <c r="D255" s="19" t="n">
        <f aca="false">SUMIFS('Revision Log'!$M$2:$M$609,'Revision Log'!$N$2:$N$609,$A255,'Revision Log'!$C$2:$C$609,1)</f>
        <v>7.85</v>
      </c>
      <c r="E255" s="19" t="n">
        <f aca="false">SUMIFS('Revision Log'!$M$2:$M$609,'Revision Log'!$N$2:$N$609,$A255,'Revision Log'!$C$2:$C$609,1)</f>
        <v>7.85</v>
      </c>
    </row>
    <row r="256" customFormat="false" ht="15" hidden="false" customHeight="false" outlineLevel="0" collapsed="false">
      <c r="A256" s="18" t="n">
        <v>1364</v>
      </c>
      <c r="B256" s="19" t="n">
        <f aca="false">SUMIFS('Revision Log'!$M$2:$M$609,'Revision Log'!$N$2:$N$609,$A256,'Revision Log'!$C$2:$C$609,0)</f>
        <v>7.55</v>
      </c>
      <c r="C256" s="19" t="n">
        <f aca="false">SUMIFS('Revision Log'!$M$2:$M$609,'Revision Log'!$N$2:$N$609,$A256,'Revision Log'!$C$2:$C$609,1)</f>
        <v>7.9</v>
      </c>
      <c r="D256" s="19" t="n">
        <f aca="false">SUMIFS('Revision Log'!$M$2:$M$609,'Revision Log'!$N$2:$N$609,$A256,'Revision Log'!$C$2:$C$609,1)</f>
        <v>7.9</v>
      </c>
      <c r="E256" s="19" t="n">
        <f aca="false">SUMIFS('Revision Log'!$M$2:$M$609,'Revision Log'!$N$2:$N$609,$A256,'Revision Log'!$C$2:$C$609,1)</f>
        <v>7.9</v>
      </c>
    </row>
    <row r="257" customFormat="false" ht="15" hidden="false" customHeight="false" outlineLevel="0" collapsed="false">
      <c r="A257" s="18" t="n">
        <v>1370</v>
      </c>
      <c r="B257" s="19" t="n">
        <f aca="false">SUMIFS('Revision Log'!$M$2:$M$609,'Revision Log'!$N$2:$N$609,$A257,'Revision Log'!$C$2:$C$609,0)</f>
        <v>7.15</v>
      </c>
      <c r="C257" s="19" t="n">
        <f aca="false">SUMIFS('Revision Log'!$M$2:$M$609,'Revision Log'!$N$2:$N$609,$A257,'Revision Log'!$C$2:$C$609,1)</f>
        <v>8.6</v>
      </c>
      <c r="D257" s="19" t="n">
        <f aca="false">SUMIFS('Revision Log'!$M$2:$M$609,'Revision Log'!$N$2:$N$609,$A257,'Revision Log'!$C$2:$C$609,1)</f>
        <v>8.6</v>
      </c>
      <c r="E257" s="19" t="n">
        <f aca="false">SUMIFS('Revision Log'!$M$2:$M$609,'Revision Log'!$N$2:$N$609,$A257,'Revision Log'!$C$2:$C$609,1)</f>
        <v>8.6</v>
      </c>
    </row>
    <row r="258" customFormat="false" ht="15" hidden="false" customHeight="false" outlineLevel="0" collapsed="false">
      <c r="A258" s="18" t="n">
        <v>1371</v>
      </c>
      <c r="B258" s="19" t="n">
        <f aca="false">SUMIFS('Revision Log'!$M$2:$M$609,'Revision Log'!$N$2:$N$609,$A258,'Revision Log'!$C$2:$C$609,0)</f>
        <v>7.2</v>
      </c>
      <c r="C258" s="19" t="n">
        <f aca="false">SUMIFS('Revision Log'!$M$2:$M$609,'Revision Log'!$N$2:$N$609,$A258,'Revision Log'!$C$2:$C$609,1)</f>
        <v>7.85</v>
      </c>
      <c r="D258" s="19" t="n">
        <f aca="false">SUMIFS('Revision Log'!$M$2:$M$609,'Revision Log'!$N$2:$N$609,$A258,'Revision Log'!$C$2:$C$609,1)</f>
        <v>7.85</v>
      </c>
      <c r="E258" s="19" t="n">
        <f aca="false">SUMIFS('Revision Log'!$M$2:$M$609,'Revision Log'!$N$2:$N$609,$A258,'Revision Log'!$C$2:$C$609,1)</f>
        <v>7.85</v>
      </c>
    </row>
    <row r="259" customFormat="false" ht="15" hidden="false" customHeight="false" outlineLevel="0" collapsed="false">
      <c r="A259" s="18" t="n">
        <v>1372</v>
      </c>
      <c r="B259" s="19" t="n">
        <f aca="false">SUMIFS('Revision Log'!$M$2:$M$609,'Revision Log'!$N$2:$N$609,$A259,'Revision Log'!$C$2:$C$609,0)</f>
        <v>7</v>
      </c>
      <c r="C259" s="19" t="n">
        <f aca="false">SUMIFS('Revision Log'!$M$2:$M$609,'Revision Log'!$N$2:$N$609,$A259,'Revision Log'!$C$2:$C$609,1)</f>
        <v>7.45</v>
      </c>
      <c r="D259" s="19" t="n">
        <f aca="false">SUMIFS('Revision Log'!$M$2:$M$609,'Revision Log'!$N$2:$N$609,$A259,'Revision Log'!$C$2:$C$609,1)</f>
        <v>7.45</v>
      </c>
      <c r="E259" s="19" t="n">
        <f aca="false">SUMIFS('Revision Log'!$M$2:$M$609,'Revision Log'!$N$2:$N$609,$A259,'Revision Log'!$C$2:$C$609,1)</f>
        <v>7.45</v>
      </c>
    </row>
    <row r="260" customFormat="false" ht="15" hidden="false" customHeight="false" outlineLevel="0" collapsed="false">
      <c r="A260" s="18" t="n">
        <v>1373</v>
      </c>
      <c r="B260" s="19" t="n">
        <f aca="false">SUMIFS('Revision Log'!$M$2:$M$609,'Revision Log'!$N$2:$N$609,$A260,'Revision Log'!$C$2:$C$609,0)</f>
        <v>7.1</v>
      </c>
      <c r="C260" s="19" t="n">
        <f aca="false">SUMIFS('Revision Log'!$M$2:$M$609,'Revision Log'!$N$2:$N$609,$A260,'Revision Log'!$C$2:$C$609,1)</f>
        <v>7.9</v>
      </c>
      <c r="D260" s="19" t="n">
        <f aca="false">SUMIFS('Revision Log'!$M$2:$M$609,'Revision Log'!$N$2:$N$609,$A260,'Revision Log'!$C$2:$C$609,1)</f>
        <v>7.9</v>
      </c>
      <c r="E260" s="19" t="n">
        <f aca="false">SUMIFS('Revision Log'!$M$2:$M$609,'Revision Log'!$N$2:$N$609,$A260,'Revision Log'!$C$2:$C$609,1)</f>
        <v>7.9</v>
      </c>
    </row>
    <row r="261" customFormat="false" ht="15" hidden="false" customHeight="false" outlineLevel="0" collapsed="false">
      <c r="A261" s="18" t="n">
        <v>1374</v>
      </c>
      <c r="B261" s="19" t="n">
        <f aca="false">SUMIFS('Revision Log'!$M$2:$M$609,'Revision Log'!$N$2:$N$609,$A261,'Revision Log'!$C$2:$C$609,0)</f>
        <v>7.1</v>
      </c>
      <c r="C261" s="19" t="n">
        <f aca="false">SUMIFS('Revision Log'!$M$2:$M$609,'Revision Log'!$N$2:$N$609,$A261,'Revision Log'!$C$2:$C$609,1)</f>
        <v>8.35</v>
      </c>
      <c r="D261" s="19" t="n">
        <f aca="false">SUMIFS('Revision Log'!$M$2:$M$609,'Revision Log'!$N$2:$N$609,$A261,'Revision Log'!$C$2:$C$609,1)</f>
        <v>8.35</v>
      </c>
      <c r="E261" s="19" t="n">
        <f aca="false">SUMIFS('Revision Log'!$M$2:$M$609,'Revision Log'!$N$2:$N$609,$A261,'Revision Log'!$C$2:$C$609,1)</f>
        <v>8.35</v>
      </c>
    </row>
    <row r="262" customFormat="false" ht="15" hidden="false" customHeight="false" outlineLevel="0" collapsed="false">
      <c r="A262" s="18" t="n">
        <v>1380</v>
      </c>
      <c r="B262" s="19" t="n">
        <f aca="false">SUMIFS('Revision Log'!$M$2:$M$609,'Revision Log'!$N$2:$N$609,$A262,'Revision Log'!$C$2:$C$609,0)</f>
        <v>7.5</v>
      </c>
      <c r="C262" s="19" t="n">
        <f aca="false">SUMIFS('Revision Log'!$M$2:$M$609,'Revision Log'!$N$2:$N$609,$A262,'Revision Log'!$C$2:$C$609,1)</f>
        <v>7.8</v>
      </c>
      <c r="D262" s="19" t="n">
        <f aca="false">SUMIFS('Revision Log'!$M$2:$M$609,'Revision Log'!$N$2:$N$609,$A262,'Revision Log'!$C$2:$C$609,1)</f>
        <v>7.8</v>
      </c>
      <c r="E262" s="19" t="n">
        <f aca="false">SUMIFS('Revision Log'!$M$2:$M$609,'Revision Log'!$N$2:$N$609,$A262,'Revision Log'!$C$2:$C$609,1)</f>
        <v>7.8</v>
      </c>
    </row>
    <row r="263" customFormat="false" ht="15" hidden="false" customHeight="false" outlineLevel="0" collapsed="false">
      <c r="A263" s="18" t="n">
        <v>1381</v>
      </c>
      <c r="B263" s="19" t="n">
        <f aca="false">SUMIFS('Revision Log'!$M$2:$M$609,'Revision Log'!$N$2:$N$609,$A263,'Revision Log'!$C$2:$C$609,0)</f>
        <v>7</v>
      </c>
      <c r="C263" s="19" t="n">
        <f aca="false">SUMIFS('Revision Log'!$M$2:$M$609,'Revision Log'!$N$2:$N$609,$A263,'Revision Log'!$C$2:$C$609,1)</f>
        <v>7.85</v>
      </c>
      <c r="D263" s="19" t="n">
        <f aca="false">SUMIFS('Revision Log'!$M$2:$M$609,'Revision Log'!$N$2:$N$609,$A263,'Revision Log'!$C$2:$C$609,1)</f>
        <v>7.85</v>
      </c>
      <c r="E263" s="19" t="n">
        <f aca="false">SUMIFS('Revision Log'!$M$2:$M$609,'Revision Log'!$N$2:$N$609,$A263,'Revision Log'!$C$2:$C$609,1)</f>
        <v>7.85</v>
      </c>
    </row>
    <row r="264" customFormat="false" ht="15" hidden="false" customHeight="false" outlineLevel="0" collapsed="false">
      <c r="A264" s="18" t="n">
        <v>1382</v>
      </c>
      <c r="B264" s="19" t="n">
        <f aca="false">SUMIFS('Revision Log'!$M$2:$M$609,'Revision Log'!$N$2:$N$609,$A264,'Revision Log'!$C$2:$C$609,0)</f>
        <v>6.45</v>
      </c>
      <c r="C264" s="19" t="n">
        <f aca="false">SUMIFS('Revision Log'!$M$2:$M$609,'Revision Log'!$N$2:$N$609,$A264,'Revision Log'!$C$2:$C$609,1)</f>
        <v>8.1</v>
      </c>
      <c r="D264" s="19" t="n">
        <f aca="false">SUMIFS('Revision Log'!$M$2:$M$609,'Revision Log'!$N$2:$N$609,$A264,'Revision Log'!$C$2:$C$609,1)</f>
        <v>8.1</v>
      </c>
      <c r="E264" s="19" t="n">
        <f aca="false">SUMIFS('Revision Log'!$M$2:$M$609,'Revision Log'!$N$2:$N$609,$A264,'Revision Log'!$C$2:$C$609,1)</f>
        <v>8.1</v>
      </c>
    </row>
    <row r="265" customFormat="false" ht="15" hidden="false" customHeight="false" outlineLevel="0" collapsed="false">
      <c r="A265" s="18" t="n">
        <v>1383</v>
      </c>
      <c r="B265" s="19" t="n">
        <f aca="false">SUMIFS('Revision Log'!$M$2:$M$609,'Revision Log'!$N$2:$N$609,$A265,'Revision Log'!$C$2:$C$609,0)</f>
        <v>7</v>
      </c>
      <c r="C265" s="19" t="n">
        <f aca="false">SUMIFS('Revision Log'!$M$2:$M$609,'Revision Log'!$N$2:$N$609,$A265,'Revision Log'!$C$2:$C$609,1)</f>
        <v>8.9</v>
      </c>
      <c r="D265" s="19" t="n">
        <f aca="false">SUMIFS('Revision Log'!$M$2:$M$609,'Revision Log'!$N$2:$N$609,$A265,'Revision Log'!$C$2:$C$609,1)</f>
        <v>8.9</v>
      </c>
      <c r="E265" s="19" t="n">
        <f aca="false">SUMIFS('Revision Log'!$M$2:$M$609,'Revision Log'!$N$2:$N$609,$A265,'Revision Log'!$C$2:$C$609,1)</f>
        <v>8.9</v>
      </c>
    </row>
    <row r="266" customFormat="false" ht="15" hidden="false" customHeight="false" outlineLevel="0" collapsed="false">
      <c r="A266" s="18" t="n">
        <v>1384</v>
      </c>
      <c r="B266" s="19" t="n">
        <f aca="false">SUMIFS('Revision Log'!$M$2:$M$609,'Revision Log'!$N$2:$N$609,$A266,'Revision Log'!$C$2:$C$609,0)</f>
        <v>6.7</v>
      </c>
      <c r="C266" s="19" t="n">
        <f aca="false">SUMIFS('Revision Log'!$M$2:$M$609,'Revision Log'!$N$2:$N$609,$A266,'Revision Log'!$C$2:$C$609,1)</f>
        <v>7.4</v>
      </c>
      <c r="D266" s="19" t="n">
        <f aca="false">SUMIFS('Revision Log'!$M$2:$M$609,'Revision Log'!$N$2:$N$609,$A266,'Revision Log'!$C$2:$C$609,1)</f>
        <v>7.4</v>
      </c>
      <c r="E266" s="19" t="n">
        <f aca="false">SUMIFS('Revision Log'!$M$2:$M$609,'Revision Log'!$N$2:$N$609,$A266,'Revision Log'!$C$2:$C$609,3)</f>
        <v>8</v>
      </c>
    </row>
    <row r="267" customFormat="false" ht="15" hidden="false" customHeight="false" outlineLevel="0" collapsed="false">
      <c r="A267" s="18" t="n">
        <v>1390</v>
      </c>
      <c r="B267" s="19" t="n">
        <f aca="false">SUMIFS('Revision Log'!$M$2:$M$609,'Revision Log'!$N$2:$N$609,$A267,'Revision Log'!$C$2:$C$609,0)</f>
        <v>6.4</v>
      </c>
      <c r="C267" s="19" t="n">
        <f aca="false">SUMIFS('Revision Log'!$M$2:$M$609,'Revision Log'!$N$2:$N$609,$A267,'Revision Log'!$C$2:$C$609,1)</f>
        <v>7.9</v>
      </c>
      <c r="D267" s="19" t="n">
        <f aca="false">SUMIFS('Revision Log'!$M$2:$M$609,'Revision Log'!$N$2:$N$609,$A267,'Revision Log'!$C$2:$C$609,1)</f>
        <v>7.9</v>
      </c>
      <c r="E267" s="19" t="n">
        <f aca="false">SUMIFS('Revision Log'!$M$2:$M$609,'Revision Log'!$N$2:$N$609,$A267,'Revision Log'!$C$2:$C$609,1)</f>
        <v>7.9</v>
      </c>
    </row>
    <row r="268" customFormat="false" ht="15" hidden="false" customHeight="false" outlineLevel="0" collapsed="false">
      <c r="A268" s="18" t="n">
        <v>1391</v>
      </c>
      <c r="B268" s="19" t="n">
        <f aca="false">SUMIFS('Revision Log'!$M$2:$M$609,'Revision Log'!$N$2:$N$609,$A268,'Revision Log'!$C$2:$C$609,0)</f>
        <v>7.1</v>
      </c>
      <c r="C268" s="19" t="n">
        <f aca="false">SUMIFS('Revision Log'!$M$2:$M$609,'Revision Log'!$N$2:$N$609,$A268,'Revision Log'!$C$2:$C$609,1)</f>
        <v>7.9</v>
      </c>
      <c r="D268" s="19" t="n">
        <f aca="false">SUMIFS('Revision Log'!$M$2:$M$609,'Revision Log'!$N$2:$N$609,$A268,'Revision Log'!$C$2:$C$609,1)</f>
        <v>7.9</v>
      </c>
      <c r="E268" s="19" t="n">
        <f aca="false">SUMIFS('Revision Log'!$M$2:$M$609,'Revision Log'!$N$2:$N$609,$A268,'Revision Log'!$C$2:$C$609,1)</f>
        <v>7.9</v>
      </c>
    </row>
    <row r="269" customFormat="false" ht="15" hidden="false" customHeight="false" outlineLevel="0" collapsed="false">
      <c r="A269" s="18" t="n">
        <v>1392</v>
      </c>
      <c r="B269" s="19" t="n">
        <f aca="false">SUMIFS('Revision Log'!$M$2:$M$609,'Revision Log'!$N$2:$N$609,$A269,'Revision Log'!$C$2:$C$609,0)</f>
        <v>6.65</v>
      </c>
      <c r="C269" s="19" t="n">
        <f aca="false">SUMIFS('Revision Log'!$M$2:$M$609,'Revision Log'!$N$2:$N$609,$A269,'Revision Log'!$C$2:$C$609,1)</f>
        <v>7.95</v>
      </c>
      <c r="D269" s="19" t="n">
        <f aca="false">SUMIFS('Revision Log'!$M$2:$M$609,'Revision Log'!$N$2:$N$609,$A269,'Revision Log'!$C$2:$C$609,1)</f>
        <v>7.95</v>
      </c>
      <c r="E269" s="19" t="n">
        <f aca="false">SUMIFS('Revision Log'!$M$2:$M$609,'Revision Log'!$N$2:$N$609,$A269,'Revision Log'!$C$2:$C$609,1)</f>
        <v>7.95</v>
      </c>
    </row>
    <row r="270" customFormat="false" ht="15" hidden="false" customHeight="false" outlineLevel="0" collapsed="false">
      <c r="A270" s="18" t="n">
        <v>1393</v>
      </c>
      <c r="B270" s="19" t="n">
        <f aca="false">SUMIFS('Revision Log'!$M$2:$M$609,'Revision Log'!$N$2:$N$609,$A270,'Revision Log'!$C$2:$C$609,0)</f>
        <v>6.75</v>
      </c>
      <c r="C270" s="19" t="n">
        <f aca="false">SUMIFS('Revision Log'!$M$2:$M$609,'Revision Log'!$N$2:$N$609,$A270,'Revision Log'!$C$2:$C$609,1)</f>
        <v>7.8</v>
      </c>
      <c r="D270" s="19" t="n">
        <f aca="false">SUMIFS('Revision Log'!$M$2:$M$609,'Revision Log'!$N$2:$N$609,$A270,'Revision Log'!$C$2:$C$609,1)</f>
        <v>7.8</v>
      </c>
      <c r="E270" s="19" t="n">
        <f aca="false">SUMIFS('Revision Log'!$M$2:$M$609,'Revision Log'!$N$2:$N$609,$A270,'Revision Log'!$C$2:$C$609,1)</f>
        <v>7.8</v>
      </c>
    </row>
    <row r="271" customFormat="false" ht="15" hidden="false" customHeight="false" outlineLevel="0" collapsed="false">
      <c r="A271" s="18" t="n">
        <v>1394</v>
      </c>
      <c r="B271" s="19" t="n">
        <f aca="false">SUMIFS('Revision Log'!$M$2:$M$609,'Revision Log'!$N$2:$N$609,$A271,'Revision Log'!$C$2:$C$609,0)</f>
        <v>6.9</v>
      </c>
      <c r="C271" s="19" t="n">
        <f aca="false">SUMIFS('Revision Log'!$M$2:$M$609,'Revision Log'!$N$2:$N$609,$A271,'Revision Log'!$C$2:$C$609,1)</f>
        <v>7.45</v>
      </c>
      <c r="D271" s="19" t="n">
        <f aca="false">SUMIFS('Revision Log'!$M$2:$M$609,'Revision Log'!$N$2:$N$609,$A271,'Revision Log'!$C$2:$C$609,1)</f>
        <v>7.45</v>
      </c>
      <c r="E271" s="19" t="n">
        <f aca="false">SUMIFS('Revision Log'!$M$2:$M$609,'Revision Log'!$N$2:$N$609,$A271,'Revision Log'!$C$2:$C$609,1)</f>
        <v>7.45</v>
      </c>
    </row>
    <row r="272" customFormat="false" ht="15" hidden="false" customHeight="false" outlineLevel="0" collapsed="false">
      <c r="A272" s="18" t="n">
        <v>1400</v>
      </c>
      <c r="B272" s="19" t="n">
        <f aca="false">SUMIFS('Revision Log'!$M$2:$M$609,'Revision Log'!$N$2:$N$609,$A272,'Revision Log'!$C$2:$C$609,0)</f>
        <v>7.1</v>
      </c>
      <c r="C272" s="19" t="n">
        <f aca="false">SUMIFS('Revision Log'!$M$2:$M$609,'Revision Log'!$N$2:$N$609,$A272,'Revision Log'!$C$2:$C$609,1)</f>
        <v>7.8</v>
      </c>
      <c r="D272" s="19" t="n">
        <f aca="false">SUMIFS('Revision Log'!$M$2:$M$609,'Revision Log'!$N$2:$N$609,$A272,'Revision Log'!$C$2:$C$609,1)</f>
        <v>7.8</v>
      </c>
      <c r="E272" s="19" t="n">
        <f aca="false">SUMIFS('Revision Log'!$M$2:$M$609,'Revision Log'!$N$2:$N$609,$A272,'Revision Log'!$C$2:$C$609,1)</f>
        <v>7.8</v>
      </c>
    </row>
    <row r="273" customFormat="false" ht="15" hidden="false" customHeight="false" outlineLevel="0" collapsed="false">
      <c r="A273" s="18" t="n">
        <v>1401</v>
      </c>
      <c r="B273" s="19" t="n">
        <f aca="false">SUMIFS('Revision Log'!$M$2:$M$609,'Revision Log'!$N$2:$N$609,$A273,'Revision Log'!$C$2:$C$609,0)</f>
        <v>7.4</v>
      </c>
      <c r="C273" s="19" t="n">
        <f aca="false">SUMIFS('Revision Log'!$M$2:$M$609,'Revision Log'!$N$2:$N$609,$A273,'Revision Log'!$C$2:$C$609,1)</f>
        <v>7.45</v>
      </c>
      <c r="D273" s="19" t="n">
        <f aca="false">SUMIFS('Revision Log'!$M$2:$M$609,'Revision Log'!$N$2:$N$609,$A273,'Revision Log'!$C$2:$C$609,2)</f>
        <v>7.8</v>
      </c>
      <c r="E273" s="19" t="n">
        <f aca="false">SUMIFS('Revision Log'!$M$2:$M$609,'Revision Log'!$N$2:$N$609,$A273,'Revision Log'!$C$2:$C$609,2)</f>
        <v>7.8</v>
      </c>
    </row>
    <row r="274" customFormat="false" ht="15" hidden="false" customHeight="false" outlineLevel="0" collapsed="false">
      <c r="A274" s="18" t="n">
        <v>1402</v>
      </c>
      <c r="B274" s="19" t="n">
        <f aca="false">SUMIFS('Revision Log'!$M$2:$M$609,'Revision Log'!$N$2:$N$609,$A274,'Revision Log'!$C$2:$C$609,0)</f>
        <v>6.45</v>
      </c>
      <c r="C274" s="19" t="n">
        <f aca="false">SUMIFS('Revision Log'!$M$2:$M$609,'Revision Log'!$N$2:$N$609,$A274,'Revision Log'!$C$2:$C$609,1)</f>
        <v>7.4</v>
      </c>
      <c r="D274" s="19" t="n">
        <f aca="false">SUMIFS('Revision Log'!$M$2:$M$609,'Revision Log'!$N$2:$N$609,$A274,'Revision Log'!$C$2:$C$609,2)</f>
        <v>7.75</v>
      </c>
      <c r="E274" s="19" t="n">
        <f aca="false">SUMIFS('Revision Log'!$M$2:$M$609,'Revision Log'!$N$2:$N$609,$A274,'Revision Log'!$C$2:$C$609,2)</f>
        <v>7.75</v>
      </c>
    </row>
    <row r="275" customFormat="false" ht="15" hidden="false" customHeight="false" outlineLevel="0" collapsed="false">
      <c r="A275" s="18" t="n">
        <v>1403</v>
      </c>
      <c r="B275" s="19" t="n">
        <f aca="false">SUMIFS('Revision Log'!$M$2:$M$609,'Revision Log'!$N$2:$N$609,$A275,'Revision Log'!$C$2:$C$609,0)</f>
        <v>6.6</v>
      </c>
      <c r="C275" s="19" t="n">
        <f aca="false">SUMIFS('Revision Log'!$M$2:$M$609,'Revision Log'!$N$2:$N$609,$A275,'Revision Log'!$C$2:$C$609,1)</f>
        <v>7.1</v>
      </c>
      <c r="D275" s="19" t="n">
        <f aca="false">SUMIFS('Revision Log'!$M$2:$M$609,'Revision Log'!$N$2:$N$609,$A275,'Revision Log'!$C$2:$C$609,2)</f>
        <v>7.45</v>
      </c>
      <c r="E275" s="19" t="n">
        <f aca="false">SUMIFS('Revision Log'!$M$2:$M$609,'Revision Log'!$N$2:$N$609,$A275,'Revision Log'!$C$2:$C$609,2)</f>
        <v>7.45</v>
      </c>
    </row>
    <row r="276" customFormat="false" ht="15" hidden="false" customHeight="false" outlineLevel="0" collapsed="false">
      <c r="A276" s="18" t="n">
        <v>1404</v>
      </c>
      <c r="B276" s="19" t="n">
        <f aca="false">SUMIFS('Revision Log'!$M$2:$M$609,'Revision Log'!$N$2:$N$609,$A276,'Revision Log'!$C$2:$C$609,0)</f>
        <v>6.7</v>
      </c>
      <c r="C276" s="19" t="n">
        <f aca="false">SUMIFS('Revision Log'!$M$2:$M$609,'Revision Log'!$N$2:$N$609,$A276,'Revision Log'!$C$2:$C$609,1)</f>
        <v>7.8</v>
      </c>
      <c r="D276" s="19" t="n">
        <f aca="false">SUMIFS('Revision Log'!$M$2:$M$609,'Revision Log'!$N$2:$N$609,$A276,'Revision Log'!$C$2:$C$609,1)</f>
        <v>7.8</v>
      </c>
      <c r="E276" s="19" t="n">
        <f aca="false">SUMIFS('Revision Log'!$M$2:$M$609,'Revision Log'!$N$2:$N$609,$A276,'Revision Log'!$C$2:$C$609,1)</f>
        <v>7.8</v>
      </c>
    </row>
    <row r="277" customFormat="false" ht="15" hidden="false" customHeight="false" outlineLevel="0" collapsed="false">
      <c r="A277" s="18" t="n">
        <v>1410</v>
      </c>
      <c r="B277" s="19" t="n">
        <f aca="false">SUMIFS('Revision Log'!$M$2:$M$609,'Revision Log'!$N$2:$N$609,$A277,'Revision Log'!$C$2:$C$609,0)</f>
        <v>6.3</v>
      </c>
      <c r="C277" s="19" t="n">
        <f aca="false">SUMIFS('Revision Log'!$M$2:$M$609,'Revision Log'!$N$2:$N$609,$A277,'Revision Log'!$C$2:$C$609,1)</f>
        <v>7.4</v>
      </c>
      <c r="D277" s="19" t="n">
        <f aca="false">SUMIFS('Revision Log'!$M$2:$M$609,'Revision Log'!$N$2:$N$609,$A277,'Revision Log'!$C$2:$C$609,2)</f>
        <v>7.8</v>
      </c>
      <c r="E277" s="19" t="n">
        <f aca="false">SUMIFS('Revision Log'!$M$2:$M$609,'Revision Log'!$N$2:$N$609,$A277,'Revision Log'!$C$2:$C$609,2)</f>
        <v>7.8</v>
      </c>
    </row>
    <row r="278" customFormat="false" ht="15" hidden="false" customHeight="false" outlineLevel="0" collapsed="false">
      <c r="A278" s="18" t="n">
        <v>1411</v>
      </c>
      <c r="B278" s="19" t="n">
        <f aca="false">SUMIFS('Revision Log'!$M$2:$M$609,'Revision Log'!$N$2:$N$609,$A278,'Revision Log'!$C$2:$C$609,0)</f>
        <v>6.3</v>
      </c>
      <c r="C278" s="19" t="n">
        <f aca="false">SUMIFS('Revision Log'!$M$2:$M$609,'Revision Log'!$N$2:$N$609,$A278,'Revision Log'!$C$2:$C$609,1)</f>
        <v>6.7</v>
      </c>
      <c r="D278" s="19" t="n">
        <f aca="false">SUMIFS('Revision Log'!$M$2:$M$609,'Revision Log'!$N$2:$N$609,$A278,'Revision Log'!$C$2:$C$609,2)</f>
        <v>7.4</v>
      </c>
      <c r="E278" s="19" t="n">
        <f aca="false">SUMIFS('Revision Log'!$M$2:$M$609,'Revision Log'!$N$2:$N$609,$A278,'Revision Log'!$C$2:$C$609,2)</f>
        <v>7.4</v>
      </c>
    </row>
    <row r="279" customFormat="false" ht="15" hidden="false" customHeight="false" outlineLevel="0" collapsed="false">
      <c r="A279" s="18" t="n">
        <v>1412</v>
      </c>
      <c r="B279" s="19" t="n">
        <f aca="false">SUMIFS('Revision Log'!$M$2:$M$609,'Revision Log'!$N$2:$N$609,$A279,'Revision Log'!$C$2:$C$609,0)</f>
        <v>6.2</v>
      </c>
      <c r="C279" s="19" t="n">
        <f aca="false">SUMIFS('Revision Log'!$M$2:$M$609,'Revision Log'!$N$2:$N$609,$A279,'Revision Log'!$C$2:$C$609,1)</f>
        <v>6.65</v>
      </c>
      <c r="D279" s="19" t="n">
        <f aca="false">SUMIFS('Revision Log'!$M$2:$M$609,'Revision Log'!$N$2:$N$609,$A279,'Revision Log'!$C$2:$C$609,2)</f>
        <v>7.05</v>
      </c>
      <c r="E279" s="19" t="n">
        <f aca="false">SUMIFS('Revision Log'!$M$2:$M$609,'Revision Log'!$N$2:$N$609,$A279,'Revision Log'!$C$2:$C$609,3)</f>
        <v>7.1</v>
      </c>
    </row>
    <row r="280" customFormat="false" ht="15" hidden="false" customHeight="false" outlineLevel="0" collapsed="false">
      <c r="A280" s="18" t="n">
        <v>1413</v>
      </c>
      <c r="B280" s="19" t="n">
        <f aca="false">SUMIFS('Revision Log'!$M$2:$M$609,'Revision Log'!$N$2:$N$609,$A280,'Revision Log'!$C$2:$C$609,0)</f>
        <v>6.45</v>
      </c>
      <c r="C280" s="19" t="n">
        <f aca="false">SUMIFS('Revision Log'!$M$2:$M$609,'Revision Log'!$N$2:$N$609,$A280,'Revision Log'!$C$2:$C$609,1)</f>
        <v>7</v>
      </c>
      <c r="D280" s="19" t="n">
        <f aca="false">SUMIFS('Revision Log'!$M$2:$M$609,'Revision Log'!$N$2:$N$609,$A280,'Revision Log'!$C$2:$C$609,2)</f>
        <v>7.3</v>
      </c>
      <c r="E280" s="19" t="n">
        <f aca="false">SUMIFS('Revision Log'!$M$2:$M$609,'Revision Log'!$N$2:$N$609,$A280,'Revision Log'!$C$2:$C$609,2)</f>
        <v>7.3</v>
      </c>
    </row>
    <row r="281" customFormat="false" ht="15" hidden="false" customHeight="false" outlineLevel="0" collapsed="false">
      <c r="A281" s="18" t="n">
        <v>1414</v>
      </c>
      <c r="B281" s="19" t="n">
        <f aca="false">SUMIFS('Revision Log'!$M$2:$M$609,'Revision Log'!$N$2:$N$609,$A281,'Revision Log'!$C$2:$C$609,0)</f>
        <v>6.3</v>
      </c>
      <c r="C281" s="19" t="n">
        <f aca="false">SUMIFS('Revision Log'!$M$2:$M$609,'Revision Log'!$N$2:$N$609,$A281,'Revision Log'!$C$2:$C$609,1)</f>
        <v>6.3</v>
      </c>
      <c r="D281" s="19" t="n">
        <f aca="false">SUMIFS('Revision Log'!$M$2:$M$609,'Revision Log'!$N$2:$N$609,$A281,'Revision Log'!$C$2:$C$609,2)</f>
        <v>7.35</v>
      </c>
      <c r="E281" s="19" t="n">
        <f aca="false">SUMIFS('Revision Log'!$M$2:$M$609,'Revision Log'!$N$2:$N$609,$A281,'Revision Log'!$C$2:$C$609,2)</f>
        <v>7.35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2"/>
    <col collapsed="false" customWidth="true" hidden="false" outlineLevel="0" max="3" min="3" style="0" width="34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" t="s">
        <v>827</v>
      </c>
      <c r="B1" s="1" t="s">
        <v>828</v>
      </c>
      <c r="C1" s="1" t="s">
        <v>829</v>
      </c>
      <c r="D1" s="1" t="s">
        <v>830</v>
      </c>
    </row>
    <row r="2" customFormat="false" ht="23.85" hidden="false" customHeight="false" outlineLevel="0" collapsed="false">
      <c r="A2" s="2" t="s">
        <v>831</v>
      </c>
      <c r="B2" s="2" t="s">
        <v>832</v>
      </c>
      <c r="C2" s="20"/>
      <c r="D2" s="2" t="s">
        <v>833</v>
      </c>
    </row>
    <row r="3" customFormat="false" ht="15" hidden="false" customHeight="false" outlineLevel="0" collapsed="false">
      <c r="A3" s="2" t="s">
        <v>834</v>
      </c>
      <c r="B3" s="2" t="s">
        <v>835</v>
      </c>
      <c r="C3" s="20"/>
      <c r="D3" s="2" t="s">
        <v>836</v>
      </c>
    </row>
    <row r="4" customFormat="false" ht="15" hidden="false" customHeight="false" outlineLevel="0" collapsed="false">
      <c r="A4" s="2" t="s">
        <v>837</v>
      </c>
      <c r="B4" s="2" t="s">
        <v>838</v>
      </c>
      <c r="C4" s="20"/>
      <c r="D4" s="2" t="s">
        <v>839</v>
      </c>
    </row>
    <row r="5" customFormat="false" ht="15" hidden="false" customHeight="false" outlineLevel="0" collapsed="false">
      <c r="A5" s="2" t="s">
        <v>840</v>
      </c>
      <c r="B5" s="2" t="s">
        <v>841</v>
      </c>
      <c r="C5" s="20"/>
      <c r="D5" s="2" t="s">
        <v>842</v>
      </c>
    </row>
    <row r="6" customFormat="false" ht="15" hidden="false" customHeight="false" outlineLevel="0" collapsed="false">
      <c r="A6" s="2" t="s">
        <v>843</v>
      </c>
      <c r="B6" s="2" t="s">
        <v>844</v>
      </c>
      <c r="C6" s="20"/>
      <c r="D6" s="2" t="s">
        <v>842</v>
      </c>
    </row>
    <row r="7" customFormat="false" ht="15" hidden="false" customHeight="false" outlineLevel="0" collapsed="false">
      <c r="A7" s="2" t="s">
        <v>845</v>
      </c>
      <c r="B7" s="2" t="s">
        <v>846</v>
      </c>
      <c r="C7" s="20"/>
      <c r="D7" s="2" t="s">
        <v>847</v>
      </c>
    </row>
    <row r="8" customFormat="false" ht="15" hidden="false" customHeight="false" outlineLevel="0" collapsed="false">
      <c r="A8" s="2" t="s">
        <v>848</v>
      </c>
      <c r="B8" s="2" t="s">
        <v>849</v>
      </c>
      <c r="C8" s="20"/>
      <c r="D8" s="2" t="s">
        <v>850</v>
      </c>
    </row>
    <row r="9" customFormat="false" ht="15" hidden="false" customHeight="false" outlineLevel="0" collapsed="false">
      <c r="A9" s="2" t="s">
        <v>851</v>
      </c>
      <c r="B9" s="2" t="s">
        <v>852</v>
      </c>
      <c r="C9" s="20"/>
      <c r="D9" s="2" t="s">
        <v>853</v>
      </c>
    </row>
    <row r="10" customFormat="false" ht="15" hidden="false" customHeight="false" outlineLevel="0" collapsed="false">
      <c r="A10" s="2" t="s">
        <v>854</v>
      </c>
      <c r="B10" s="2" t="s">
        <v>855</v>
      </c>
      <c r="C10" s="20"/>
      <c r="D10" s="2" t="s">
        <v>850</v>
      </c>
    </row>
    <row r="11" customFormat="false" ht="15" hidden="false" customHeight="false" outlineLevel="0" collapsed="false">
      <c r="A11" s="2" t="s">
        <v>856</v>
      </c>
      <c r="B11" s="2" t="s">
        <v>857</v>
      </c>
      <c r="C11" s="20"/>
      <c r="D11" s="2" t="s">
        <v>858</v>
      </c>
    </row>
    <row r="12" customFormat="false" ht="15" hidden="false" customHeight="false" outlineLevel="0" collapsed="false">
      <c r="A12" s="2" t="s">
        <v>859</v>
      </c>
      <c r="B12" s="2" t="s">
        <v>860</v>
      </c>
      <c r="C12" s="20"/>
      <c r="D12" s="2" t="s">
        <v>861</v>
      </c>
    </row>
    <row r="13" customFormat="false" ht="15" hidden="false" customHeight="false" outlineLevel="0" collapsed="false">
      <c r="A13" s="2" t="s">
        <v>862</v>
      </c>
      <c r="B13" s="2" t="s">
        <v>863</v>
      </c>
      <c r="C13" s="20"/>
      <c r="D13" s="2" t="s">
        <v>864</v>
      </c>
    </row>
    <row r="14" customFormat="false" ht="23.85" hidden="false" customHeight="false" outlineLevel="0" collapsed="false">
      <c r="A14" s="2" t="s">
        <v>865</v>
      </c>
      <c r="B14" s="2" t="s">
        <v>866</v>
      </c>
      <c r="C14" s="20"/>
      <c r="D14" s="2" t="s">
        <v>867</v>
      </c>
    </row>
    <row r="15" customFormat="false" ht="23.85" hidden="false" customHeight="false" outlineLevel="0" collapsed="false">
      <c r="A15" s="2" t="s">
        <v>868</v>
      </c>
      <c r="B15" s="2" t="s">
        <v>869</v>
      </c>
      <c r="C15" s="20"/>
      <c r="D15" s="2" t="s">
        <v>870</v>
      </c>
    </row>
    <row r="16" customFormat="false" ht="15" hidden="false" customHeight="false" outlineLevel="0" collapsed="false">
      <c r="A16" s="2" t="s">
        <v>871</v>
      </c>
      <c r="B16" s="2" t="s">
        <v>872</v>
      </c>
      <c r="C16" s="20"/>
      <c r="D16" s="2" t="s">
        <v>21</v>
      </c>
    </row>
    <row r="17" customFormat="false" ht="15" hidden="false" customHeight="false" outlineLevel="0" collapsed="false">
      <c r="A17" s="2" t="s">
        <v>873</v>
      </c>
      <c r="B17" s="2" t="s">
        <v>874</v>
      </c>
      <c r="C17" s="20"/>
      <c r="D17" s="2" t="s">
        <v>21</v>
      </c>
    </row>
    <row r="18" customFormat="false" ht="15" hidden="false" customHeight="false" outlineLevel="0" collapsed="false">
      <c r="A18" s="2" t="s">
        <v>875</v>
      </c>
      <c r="B18" s="2" t="s">
        <v>876</v>
      </c>
      <c r="C18" s="20"/>
      <c r="D18" s="2" t="s">
        <v>21</v>
      </c>
    </row>
    <row r="19" customFormat="false" ht="15" hidden="false" customHeight="false" outlineLevel="0" collapsed="false">
      <c r="A19" s="2" t="s">
        <v>877</v>
      </c>
      <c r="B19" s="2" t="s">
        <v>878</v>
      </c>
      <c r="C19" s="20"/>
      <c r="D19" s="2" t="s">
        <v>879</v>
      </c>
    </row>
    <row r="20" customFormat="false" ht="15" hidden="false" customHeight="false" outlineLevel="0" collapsed="false">
      <c r="A20" s="2" t="s">
        <v>880</v>
      </c>
      <c r="B20" s="2" t="s">
        <v>881</v>
      </c>
      <c r="C20" s="20"/>
      <c r="D20" s="2" t="s">
        <v>35</v>
      </c>
    </row>
    <row r="21" customFormat="false" ht="15" hidden="false" customHeight="false" outlineLevel="0" collapsed="false">
      <c r="A21" s="2" t="s">
        <v>882</v>
      </c>
      <c r="B21" s="2" t="s">
        <v>883</v>
      </c>
      <c r="C21" s="20"/>
      <c r="D21" s="2" t="s">
        <v>50</v>
      </c>
    </row>
    <row r="22" customFormat="false" ht="46.25" hidden="false" customHeight="false" outlineLevel="0" collapsed="false">
      <c r="A22" s="2" t="s">
        <v>884</v>
      </c>
      <c r="B22" s="2" t="s">
        <v>885</v>
      </c>
      <c r="C22" s="20"/>
      <c r="D22" s="2" t="s">
        <v>886</v>
      </c>
    </row>
    <row r="23" customFormat="false" ht="23.85" hidden="false" customHeight="false" outlineLevel="0" collapsed="false">
      <c r="A23" s="2" t="s">
        <v>887</v>
      </c>
      <c r="B23" s="2" t="s">
        <v>888</v>
      </c>
      <c r="C23" s="20"/>
      <c r="D23" s="2" t="s">
        <v>889</v>
      </c>
    </row>
    <row r="24" customFormat="false" ht="23.85" hidden="false" customHeight="false" outlineLevel="0" collapsed="false">
      <c r="A24" s="2" t="s">
        <v>890</v>
      </c>
      <c r="B24" s="2" t="s">
        <v>891</v>
      </c>
      <c r="C24" s="20"/>
      <c r="D24" s="2" t="s">
        <v>892</v>
      </c>
    </row>
    <row r="25" customFormat="false" ht="46.25" hidden="false" customHeight="false" outlineLevel="0" collapsed="false">
      <c r="A25" s="2" t="s">
        <v>893</v>
      </c>
      <c r="B25" s="2" t="s">
        <v>894</v>
      </c>
      <c r="C25" s="20"/>
      <c r="D25" s="2" t="s">
        <v>895</v>
      </c>
    </row>
    <row r="26" customFormat="false" ht="15" hidden="false" customHeight="false" outlineLevel="0" collapsed="false">
      <c r="A26" s="2" t="s">
        <v>896</v>
      </c>
      <c r="B26" s="2" t="s">
        <v>897</v>
      </c>
      <c r="C26" s="20"/>
      <c r="D26" s="2" t="s">
        <v>898</v>
      </c>
    </row>
    <row r="28" customFormat="false" ht="61.5" hidden="false" customHeight="true" outlineLevel="0" collapsed="false">
      <c r="A28" s="21" t="s">
        <v>899</v>
      </c>
      <c r="B28" s="21"/>
      <c r="C28" s="21"/>
      <c r="D28" s="21"/>
    </row>
  </sheetData>
  <mergeCells count="1"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2026-10-20T20:06:18Z</dcterms:created>
  <dc:creator>openpyxl</dc:creator>
  <dc:description/>
  <dc:language>en-US</dc:language>
  <cp:lastModifiedBy/>
  <dcterms:modified xsi:type="dcterms:W3CDTF">2026-10-20T20:06:18Z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